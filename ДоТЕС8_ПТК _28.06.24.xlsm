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tables/table3.xml" ContentType="application/vnd.openxmlformats-officedocument.spreadsheetml.table+xml"/>
  <Override PartName="/xl/customProperty4.bin" ContentType="application/vnd.openxmlformats-officedocument.spreadsheetml.customProperty"/>
  <Override PartName="/xl/tables/table4.xml" ContentType="application/vnd.openxmlformats-officedocument.spreadsheetml.table+xml"/>
  <Override PartName="/xl/customProperty5.bin" ContentType="application/vnd.openxmlformats-officedocument.spreadsheetml.customProperty"/>
  <Override PartName="/xl/tables/table5.xml" ContentType="application/vnd.openxmlformats-officedocument.spreadsheetml.table+xml"/>
  <Override PartName="/xl/customProperty6.bin" ContentType="application/vnd.openxmlformats-officedocument.spreadsheetml.customProperty"/>
  <Override PartName="/xl/tables/table6.xml" ContentType="application/vnd.openxmlformats-officedocument.spreadsheetml.table+xml"/>
  <Override PartName="/xl/customProperty7.bin" ContentType="application/vnd.openxmlformats-officedocument.spreadsheetml.customProperty"/>
  <Override PartName="/xl/tables/table7.xml" ContentType="application/vnd.openxmlformats-officedocument.spreadsheetml.table+xml"/>
  <Override PartName="/xl/customProperty8.bin" ContentType="application/vnd.openxmlformats-officedocument.spreadsheetml.customProperty"/>
  <Override PartName="/xl/tables/table8.xml" ContentType="application/vnd.openxmlformats-officedocument.spreadsheetml.table+xml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onomarenkoESe\Desktop\ДоТЭС\Бл.№8\РД Бл.№8\КЖ\К проекту РД\Для АСУ (Киричек)\"/>
    </mc:Choice>
  </mc:AlternateContent>
  <xr:revisionPtr revIDLastSave="0" documentId="13_ncr:1_{100FC5A4-A753-409E-A77A-7AE44A8A8928}" xr6:coauthVersionLast="47" xr6:coauthVersionMax="47" xr10:uidLastSave="{00000000-0000-0000-0000-000000000000}"/>
  <bookViews>
    <workbookView xWindow="-108" yWindow="-108" windowWidth="23256" windowHeight="12456" tabRatio="767" firstSheet="5" activeTab="6" xr2:uid="{00000000-000D-0000-FFFF-FFFF00000000}"/>
  </bookViews>
  <sheets>
    <sheet name="Механізми" sheetId="4" state="hidden" r:id="rId1"/>
    <sheet name="Механізми. Сигнали" sheetId="17" state="hidden" r:id="rId2"/>
    <sheet name="РСЗО. Схеми" sheetId="13" state="hidden" r:id="rId3"/>
    <sheet name="РСЗО. Сигнали" sheetId="12" state="hidden" r:id="rId4"/>
    <sheet name="ШЖСПС. Сигнали" sheetId="11" state="hidden" r:id="rId5"/>
    <sheet name="ТХА,ТХК" sheetId="2" r:id="rId6"/>
    <sheet name="ТСП, Pt" sheetId="3" r:id="rId7"/>
    <sheet name="СКМВТ_Зміни" sheetId="15" state="hidden" r:id="rId8"/>
    <sheet name="!Сигнали" sheetId="1" state="hidden" r:id="rId9"/>
  </sheets>
  <externalReferences>
    <externalReference r:id="rId10"/>
    <externalReference r:id="rId11"/>
  </externalReferences>
  <definedNames>
    <definedName name="_xlnm._FilterDatabase" localSheetId="1" hidden="1">'Механізми. Сигнали'!$G$1:$G$411</definedName>
    <definedName name="_xlnm._FilterDatabase" localSheetId="6" hidden="1">'ТСП, Pt'!$A$2:$C$483</definedName>
    <definedName name="_xlnm._FilterDatabase" localSheetId="5" hidden="1">'ТХА,ТХК'!$A$2:$D$409</definedName>
    <definedName name="_xlnm.Print_Area" localSheetId="6">'ТСП, Pt'!$A$1:$G$483</definedName>
    <definedName name="_xlnm.Print_Area" localSheetId="5">'ТХА,ТХК'!$A$1:$O$409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7" l="1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  <c r="G381" i="17"/>
  <c r="G382" i="17"/>
  <c r="G383" i="17"/>
  <c r="G384" i="17"/>
  <c r="G385" i="17"/>
  <c r="G386" i="17"/>
  <c r="G387" i="17"/>
  <c r="G388" i="17"/>
  <c r="G389" i="17"/>
  <c r="G390" i="17"/>
  <c r="G391" i="17"/>
  <c r="G392" i="17"/>
  <c r="G393" i="17"/>
  <c r="G394" i="17"/>
  <c r="G395" i="17"/>
  <c r="G396" i="17"/>
  <c r="G397" i="17"/>
  <c r="G398" i="17"/>
  <c r="G399" i="17"/>
  <c r="G400" i="17"/>
  <c r="G401" i="17"/>
  <c r="G402" i="17"/>
  <c r="G403" i="17"/>
  <c r="G404" i="17"/>
  <c r="G405" i="17"/>
  <c r="G406" i="17"/>
  <c r="G407" i="17"/>
  <c r="G408" i="17"/>
  <c r="G409" i="17"/>
  <c r="G410" i="17"/>
  <c r="G411" i="17"/>
  <c r="K2" i="11" l="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G2" i="1" l="1"/>
  <c r="G7" i="1" l="1"/>
  <c r="I3" i="1"/>
  <c r="H3" i="1"/>
  <c r="L8" i="1"/>
  <c r="C2" i="1" s="1"/>
  <c r="C7" i="1"/>
  <c r="J10" i="1"/>
  <c r="C4" i="1" s="1"/>
  <c r="K9" i="1"/>
  <c r="C3" i="1" s="1"/>
  <c r="I2" i="1"/>
  <c r="H2" i="1"/>
  <c r="C5" i="1" l="1"/>
  <c r="C6" i="1"/>
</calcChain>
</file>

<file path=xl/sharedStrings.xml><?xml version="1.0" encoding="utf-8"?>
<sst xmlns="http://schemas.openxmlformats.org/spreadsheetml/2006/main" count="19316" uniqueCount="4863">
  <si>
    <t xml:space="preserve">Тип </t>
  </si>
  <si>
    <t>Кількість</t>
  </si>
  <si>
    <t>Т перегрітої пари за котлом нитка А</t>
  </si>
  <si>
    <t>Т перегрітої пари за котлом нитка Б</t>
  </si>
  <si>
    <t>T пари до аварійного вприску А</t>
  </si>
  <si>
    <t>T вторинної пари нитка -А АРТ основна</t>
  </si>
  <si>
    <t xml:space="preserve">T вторинної пари нитка -А </t>
  </si>
  <si>
    <t>T мет підвідного водопроводу аварійного вприску А</t>
  </si>
  <si>
    <t xml:space="preserve">T мет до аварійного вприску А (верх) </t>
  </si>
  <si>
    <t xml:space="preserve">T мет до аварійного вприску А (низ) </t>
  </si>
  <si>
    <t xml:space="preserve">T мет після аварійного вприску А (верх) </t>
  </si>
  <si>
    <t xml:space="preserve">T мет після аварійного вприску А (низ) </t>
  </si>
  <si>
    <t>T пари до аварійного вприску Б</t>
  </si>
  <si>
    <t>T вторинної пари нитка -Б АРТ основна</t>
  </si>
  <si>
    <t xml:space="preserve">T вторинної пари нитка -Б </t>
  </si>
  <si>
    <t>T мет підвідного водопроводу аварійного вприску Б</t>
  </si>
  <si>
    <t xml:space="preserve">T мет до аварійного вприску Б (верх) </t>
  </si>
  <si>
    <t xml:space="preserve">T мет до аварійного вприску Б (низ) </t>
  </si>
  <si>
    <t xml:space="preserve">T мет після аварійного вприску Б (верх) </t>
  </si>
  <si>
    <t xml:space="preserve">T мет після аварійного вприску Б (низ) </t>
  </si>
  <si>
    <t>T пари до 1-го приску А</t>
  </si>
  <si>
    <t>T пари до 2-го приску А</t>
  </si>
  <si>
    <t>АРТ основна 1 вприску А</t>
  </si>
  <si>
    <t>АРТ основна 2 вприску А</t>
  </si>
  <si>
    <t>T пари до 1-го приску Б</t>
  </si>
  <si>
    <t>T пари до 2-го приску Б</t>
  </si>
  <si>
    <t>АРТ основна 1 вприску Б</t>
  </si>
  <si>
    <t>АРТ основна 2 вприску Б</t>
  </si>
  <si>
    <t>T мет підвідного водопроводу 1-го вприску А</t>
  </si>
  <si>
    <t>T мет до 1-го вприску (верх) А</t>
  </si>
  <si>
    <t>T мет до 1-го вприску (низ) А</t>
  </si>
  <si>
    <t>T мет після 1-го вприску (низ) А</t>
  </si>
  <si>
    <t>T мет підвідного водопроводу 1-го вприску Б</t>
  </si>
  <si>
    <t>T мет до 1-го вприску (верх) Б</t>
  </si>
  <si>
    <t>T мет до 1-го вприску (низ) Б</t>
  </si>
  <si>
    <t>T мет після 1-го вприску (низ) Б</t>
  </si>
  <si>
    <t>T мет підвідного водопроводу 2-го вприску А</t>
  </si>
  <si>
    <t>T мет до 2-го вприску (верх) А</t>
  </si>
  <si>
    <t>T мет до 2-го вприску (низ) А</t>
  </si>
  <si>
    <t>T мет після 2-го вприску (низ) А</t>
  </si>
  <si>
    <t>T мет підвідного водопроводу 2-го вприску Б</t>
  </si>
  <si>
    <t>T мет до 2-го вприску (верх) Б</t>
  </si>
  <si>
    <t>T мет до 2-го вприску (низ) Б</t>
  </si>
  <si>
    <t>T мет після 2-го вприску (низ) Б</t>
  </si>
  <si>
    <t>T труби мікроблоку №4</t>
  </si>
  <si>
    <t>T труби мікроблоку №9</t>
  </si>
  <si>
    <t>T труби мікроблоку №14</t>
  </si>
  <si>
    <t>T газів в районі мікроблоків №14-15</t>
  </si>
  <si>
    <t>T труби мікроблоку №20</t>
  </si>
  <si>
    <t>T труби мікроблоку №24</t>
  </si>
  <si>
    <t>T труби мікроблоку №76</t>
  </si>
  <si>
    <t>T труби мікроблоку №81</t>
  </si>
  <si>
    <t>T труби мікроблоку №86</t>
  </si>
  <si>
    <t>T газів в районі мікроблоків №86-87</t>
  </si>
  <si>
    <t>T труби мікроблоку №92</t>
  </si>
  <si>
    <t>T труби мікроблоку №96</t>
  </si>
  <si>
    <t>T пари на виході з поворотних камер А</t>
  </si>
  <si>
    <t>T мет.вих.хол.ширм 1ст. А1</t>
  </si>
  <si>
    <t>T мет.вих.хол.ширм 1ст. А2</t>
  </si>
  <si>
    <t>T мет.вих.хол.ширм 1ст. А3</t>
  </si>
  <si>
    <t>T мет.вих.хол.ширм 1ст. А4</t>
  </si>
  <si>
    <t>T мет.вих.хол.ширм 1ст. А5</t>
  </si>
  <si>
    <t>T мет.вих.хол.ширм 1ст. А6</t>
  </si>
  <si>
    <t>T мет.вих.хол.ширм 1ст. А7</t>
  </si>
  <si>
    <t>T мет.вих.хол.ширм 1ст. А8</t>
  </si>
  <si>
    <t>T мет.вих.хол.ширм 1ст. А9</t>
  </si>
  <si>
    <t>T мет.вих.хол.ширм 1ст. А10</t>
  </si>
  <si>
    <t>T мет.вих.хол.ширм 1ст. А11</t>
  </si>
  <si>
    <t>T мет.вих.хол.ширм 1ст. А12</t>
  </si>
  <si>
    <t>T мет.вих.хол.ширм 1ст. А13</t>
  </si>
  <si>
    <t>T мет.вих.хол.ширм 1ст. А14</t>
  </si>
  <si>
    <t>T мет.вих.хол.ширм 1ст. А15</t>
  </si>
  <si>
    <t>T мет.вих.хол.ширм 1ст. А16</t>
  </si>
  <si>
    <t>T мет.вих.хол.ширм 1ст. А17</t>
  </si>
  <si>
    <t>T мет.вих.хол.ширм 1ст. А18</t>
  </si>
  <si>
    <t>T колекторів між 1-2 ст. ширм А1</t>
  </si>
  <si>
    <t>T колекторів між 1-2 ст. ширм А2</t>
  </si>
  <si>
    <t>T колекторів між 1-2 ст. ширм А3</t>
  </si>
  <si>
    <t>T колекторів між 1-2 ст. ширм А4</t>
  </si>
  <si>
    <t>T колекторів між 1-2 ст. ширм А5</t>
  </si>
  <si>
    <t>T колекторів між 1-2 ст. ширм А6</t>
  </si>
  <si>
    <t>T колекторів між 1-2 ст. ширм А7</t>
  </si>
  <si>
    <t>T мет.вих.хол.ширм 2ст. А1</t>
  </si>
  <si>
    <t>T мет.вих.хол.ширм 2ст. А2</t>
  </si>
  <si>
    <t>T мет.вих.хол.ширм 2ст. А3</t>
  </si>
  <si>
    <t>T мет.вих.хол.ширм 2ст. А4</t>
  </si>
  <si>
    <t>T мет.вих.хол.ширм 2ст. А5</t>
  </si>
  <si>
    <t>T мет.вих.хол.ширм 2ст. А6</t>
  </si>
  <si>
    <t>T мет.вих.хол.ширм 2ст. А7</t>
  </si>
  <si>
    <t>T мет.вих.хол.ширм 2ст. А8</t>
  </si>
  <si>
    <t>T мет.вих.хол.ширм 2ст. А9</t>
  </si>
  <si>
    <t>T мет.вих.хол.ширм 2ст. А10</t>
  </si>
  <si>
    <t>T мет.вих.хол.ширм 2ст. А11</t>
  </si>
  <si>
    <t>T мет.вих.хол.ширм 2ст. А12</t>
  </si>
  <si>
    <t>T мет.вих.хол.ширм 2ст. А13</t>
  </si>
  <si>
    <t>T мет.вих.хол.ширм 2ст. А14</t>
  </si>
  <si>
    <t>T мет.вих.гар.ширм 2ст. А1</t>
  </si>
  <si>
    <t>T мет.вих.гар.ширм 2ст. А2</t>
  </si>
  <si>
    <t>T мет.вих.гар.ширм 2ст. А3</t>
  </si>
  <si>
    <t>T мет.вих.гар.ширм 2ст. А4</t>
  </si>
  <si>
    <t>T мет.вих.гар.ширм 2ст. А5</t>
  </si>
  <si>
    <t>T мет.вих.гар.ширм 2ст. А6</t>
  </si>
  <si>
    <t>T мет.вих.гар.ширм 2ст. А7</t>
  </si>
  <si>
    <t>T мет.вих.гар.ширм 2ст. А8</t>
  </si>
  <si>
    <t>T мет.вих.гар.ширм 2ст. А9</t>
  </si>
  <si>
    <t>T мет.вих.гар.ширм 2ст. А10</t>
  </si>
  <si>
    <t>T мет.вих.гар.ширм 2ст. А11</t>
  </si>
  <si>
    <t>T мет.вих.гар.ширм 2ст. А12</t>
  </si>
  <si>
    <t>T мет.вих.гар.ширм 2ст. А13</t>
  </si>
  <si>
    <t>T мет.вих.гар.ширм 2ст. А14</t>
  </si>
  <si>
    <t>T пари на виході з поворотних камер Б</t>
  </si>
  <si>
    <t>T мет.вих.хол.ширм 1ст. Б1</t>
  </si>
  <si>
    <t>T мет.вих.хол.ширм 1ст. Б2</t>
  </si>
  <si>
    <t>T мет.вих.хол.ширм 1ст. Б3</t>
  </si>
  <si>
    <t>T мет.вих.хол.ширм 1ст. Б6</t>
  </si>
  <si>
    <t>T мет.вих.хол.ширм 2ст. Б1</t>
  </si>
  <si>
    <t>T мет.вих.хол.ширм 2ст. Б2</t>
  </si>
  <si>
    <t>T мет.вих.хол.ширм 2ст. Б3</t>
  </si>
  <si>
    <t>T мет.вих.хол.ширм 2ст. Б4</t>
  </si>
  <si>
    <t>T мет.вих.хол.ширм 2ст. Б5</t>
  </si>
  <si>
    <t>T мет.вих.хол.ширм 2ст. Б6</t>
  </si>
  <si>
    <t>T мет.вих.хол.ширм 2ст. Б7</t>
  </si>
  <si>
    <t>T мет.вих.хол.ширм 2ст. Б8</t>
  </si>
  <si>
    <t>T мет.вих.хол.ширм 2ст. Б9</t>
  </si>
  <si>
    <t>T мет.вих.хол.ширм 2ст. Б10</t>
  </si>
  <si>
    <t>T мет.вих.хол.ширм 2ст. Б11</t>
  </si>
  <si>
    <t>T мет.вих.хол.ширм 2ст. Б12</t>
  </si>
  <si>
    <t>T мет.вих.хол.ширм 2ст. Б13</t>
  </si>
  <si>
    <t>T мет.вих.хол.ширм 2ст. Б14</t>
  </si>
  <si>
    <t>T мет.вих.гар.ширм 2ст. Б1</t>
  </si>
  <si>
    <t>T фронт.наст.пароперегр.зліва поз 12-А-1</t>
  </si>
  <si>
    <t>T фронт.наст.пароперегр.зліва поз 12-А-2</t>
  </si>
  <si>
    <t>T фронт.наст.пароперегр.зліва поз 12-А-3</t>
  </si>
  <si>
    <t>T фронт.наст.пароперегр.зліва поз 12-А-4</t>
  </si>
  <si>
    <t>T фронт.наст.пароперегр.зліва поз 12-А-5</t>
  </si>
  <si>
    <t>T фронт.наст.пароперегр.зліва поз 12-А-6</t>
  </si>
  <si>
    <t>T фронт.наст.пароперегр.зліва поз 12-А-7</t>
  </si>
  <si>
    <t>T фронт.наст.пароперегр.зліва поз 12-А-8</t>
  </si>
  <si>
    <t>T фронт.наст.пароперегр.зліва поз 12-А-9</t>
  </si>
  <si>
    <t>T фронт.наст.пароперегр.зліва поз 12-А-10</t>
  </si>
  <si>
    <t>T фронт.наст.пароперегр.зліва поз 12-А-11</t>
  </si>
  <si>
    <t>T фронт.наст.пароперегр.зліва поз 12-А-12</t>
  </si>
  <si>
    <t>T фронт.наст.пароперегр.зліва поз 12-А-13</t>
  </si>
  <si>
    <t>T фронт.наст.пароперегр.зліва поз 12-А-14</t>
  </si>
  <si>
    <t>T фронт.наст.пароперегр.зліва поз 12-А-15</t>
  </si>
  <si>
    <t>T фронт.наст.пароперегр.справа поз 12-Б-1</t>
  </si>
  <si>
    <t>T фронт.наст.пароперегр.справа поз 12-Б-2</t>
  </si>
  <si>
    <t>T фронт.наст.пароперегр.справа поз 12-Б-3</t>
  </si>
  <si>
    <t>T фронт.наст.пароперегр.справа поз 12-Б-4</t>
  </si>
  <si>
    <t>T фронт.наст.пароперегр.справа поз 12-Б-5</t>
  </si>
  <si>
    <t>T фронт.наст.пароперегр.справа поз 12-Б-6</t>
  </si>
  <si>
    <t>T фронт.наст.пароперегр.справа поз 12-Б-7</t>
  </si>
  <si>
    <t>T фронт.наст.пароперегр.справа поз 12-Б-8</t>
  </si>
  <si>
    <t>T фронт.наст.пароперегр.справа поз 12-Б-9</t>
  </si>
  <si>
    <t>T фронт.наст.пароперегр.справа поз 12-Б-10</t>
  </si>
  <si>
    <t>T фронт.наст.пароперегр.справа поз 12-Б-11</t>
  </si>
  <si>
    <t>T фронт.наст.пароперегр.справа поз 12-Б-12</t>
  </si>
  <si>
    <t>T фронт.наст.пароперегр.справа поз 12-Б-13</t>
  </si>
  <si>
    <t>T фронт.наст.пароперегр.справа поз 12-Б-14</t>
  </si>
  <si>
    <t>T фронт.наст.пароперегр.справа поз 12-Б-15</t>
  </si>
  <si>
    <t>Т до пароперегрівача зліва</t>
  </si>
  <si>
    <t>Т до пароперегрівача справа</t>
  </si>
  <si>
    <t>Т після пароперегрівача зліва</t>
  </si>
  <si>
    <t>Т після пароперегрівача справа</t>
  </si>
  <si>
    <t>Т повітря до рециркуляції справа</t>
  </si>
  <si>
    <t>Т повітря до рециркуляції зліва</t>
  </si>
  <si>
    <t>Т повітря повітряпідігрівача Б</t>
  </si>
  <si>
    <t>Т газу повітряпідігрівача Б</t>
  </si>
  <si>
    <t>Т повітря повітряпідігрівача А</t>
  </si>
  <si>
    <t>Т газу повітряпідігрівача А</t>
  </si>
  <si>
    <t>T до повітряпідігрівача Б</t>
  </si>
  <si>
    <t>T до повітряпідігрівача А</t>
  </si>
  <si>
    <t>T повітря після повітряпідігрівача Б</t>
  </si>
  <si>
    <t>T повітря після повітряпідігрівача А</t>
  </si>
  <si>
    <t>T повітря після ДВ-Б</t>
  </si>
  <si>
    <t>T повітря після ДВ-А</t>
  </si>
  <si>
    <t>T пари ГПП скид у конденсатор сторона-А</t>
  </si>
  <si>
    <t>T пари ГПП скид у конденсатор сторона-Б</t>
  </si>
  <si>
    <t>T пари в ХПП сторона-Б</t>
  </si>
  <si>
    <t>T пари в ХПП сторона-А</t>
  </si>
  <si>
    <t>T гострої пари нитка-А після ГПЗ</t>
  </si>
  <si>
    <t>T гострої пари нитка-А до ГПЗ</t>
  </si>
  <si>
    <t>T гострої пари нитка-Б після ГПЗ</t>
  </si>
  <si>
    <t>T гострої пари нитка-Б до ГПЗ</t>
  </si>
  <si>
    <t>T пари яка скидається у конденсатор сторона-Б</t>
  </si>
  <si>
    <t>T пари яка скидається у конденсатор сторона-А</t>
  </si>
  <si>
    <t>T металу стопорний клапан верх зліва</t>
  </si>
  <si>
    <t>T металу стопорний клапан верх справа</t>
  </si>
  <si>
    <t>T металу стопорний клапан низ зліва</t>
  </si>
  <si>
    <t>T метал після ГПЗ сторона-А</t>
  </si>
  <si>
    <t>T метал після ГПЗ сторона-Б</t>
  </si>
  <si>
    <t>T ЦВТ у зоні регулюючої ступені верх</t>
  </si>
  <si>
    <t>T ЦВТ у зоні регулюючої ступені низ</t>
  </si>
  <si>
    <t>T ЦВТ у зоні ХПП верх</t>
  </si>
  <si>
    <t>T ЦВТ у зоні ХПП низ</t>
  </si>
  <si>
    <t>T ЦВТ у зоні ГПП верх</t>
  </si>
  <si>
    <t>T ЦВТ у зоні ГПП низ</t>
  </si>
  <si>
    <t>T ЦВТ у зоні 3-4 відборів верх</t>
  </si>
  <si>
    <t>T ЦВТ у зоні 3-4 відборів низ</t>
  </si>
  <si>
    <t>T металу пароперепускн. труби ГПП сторона-Б верхній трубопровід</t>
  </si>
  <si>
    <t>T металу пароперепускн. труби ГПП сторона-Б нижній трубопровід</t>
  </si>
  <si>
    <t>T металу пароперепускн. труби ГПП сторона-А верхній трубопровід</t>
  </si>
  <si>
    <t>T металу пароперепускн. труби ГПП сторона-А нижній трубопровід</t>
  </si>
  <si>
    <t>T корпусу ГПЗ нитка-А зліва</t>
  </si>
  <si>
    <t>T корпусу ГПЗ нитка-А справа</t>
  </si>
  <si>
    <t>T корпусу ГПЗ нитка-Б справа</t>
  </si>
  <si>
    <t>T корпусу ГПЗ нитка-Б зліва</t>
  </si>
  <si>
    <t>T фланця в зоні регулюючої ступені сторона-Б</t>
  </si>
  <si>
    <t>T фланця в зоні регулюючої ступені сторона-А</t>
  </si>
  <si>
    <t>T пари у відборі №4</t>
  </si>
  <si>
    <t>T пари у відборі №3</t>
  </si>
  <si>
    <t>T металу корпусу клапана ГПП сторона-Б</t>
  </si>
  <si>
    <t>T металу корпусу клапана ГПП сторона-А</t>
  </si>
  <si>
    <t>T металу фланцю в районі шпильки №16 сторона-А</t>
  </si>
  <si>
    <t>T пари вихлопної частини ЦНТсторона-А</t>
  </si>
  <si>
    <t>T пари вихлопної частини ЦНТсторона-Б</t>
  </si>
  <si>
    <t>T металу фланцю в районі шпильки №16 сторона-Б</t>
  </si>
  <si>
    <t>T металу пароперепускної труби №3 верх</t>
  </si>
  <si>
    <t>T металу пароперепускної труби №3 низ</t>
  </si>
  <si>
    <t>T металу пароперепускної труби №2 верх</t>
  </si>
  <si>
    <t>T металу пароперепускної труби №2 низ</t>
  </si>
  <si>
    <t xml:space="preserve"> T металу пароперепускної труби №1 верх</t>
  </si>
  <si>
    <t>T металу пароперепускної труби №1 низ</t>
  </si>
  <si>
    <t>T металу пароперепускної труби №4 верх</t>
  </si>
  <si>
    <t>T металу паро перепускної труби №4 низ</t>
  </si>
  <si>
    <t>T пари у відборі №6</t>
  </si>
  <si>
    <t>T металу регулюючої ступені в середині ЦВТ</t>
  </si>
  <si>
    <t>T металу шпильки №2 сторона-Б</t>
  </si>
  <si>
    <t>T пари в середині ЦВТ</t>
  </si>
  <si>
    <t>T металу шпильки №2 сторона-А</t>
  </si>
  <si>
    <t>T металу шпильки №16 сторона-А</t>
  </si>
  <si>
    <t>T металу шпильки №16 сторона-Б</t>
  </si>
  <si>
    <t>T вторинної пари нитка-А /захист</t>
  </si>
  <si>
    <t>T вторинної пари нитка-Б /захист</t>
  </si>
  <si>
    <t>Температура гарячого повітря після МВ №1</t>
  </si>
  <si>
    <t>Температура гарячого повітря після МВ №2</t>
  </si>
  <si>
    <t>Температура гарячого повітря після МВ №3</t>
  </si>
  <si>
    <t>Температура гарячого повітря після МВ №4</t>
  </si>
  <si>
    <t>Температура гарячого повітря після МВ №5</t>
  </si>
  <si>
    <t>Температура гарячого повітря після МВ №6</t>
  </si>
  <si>
    <t>T пилоповітряної суміші млина №1</t>
  </si>
  <si>
    <t>T пилоповітряної суміші млина №2</t>
  </si>
  <si>
    <t>T пилоповітряної суміші млина №3</t>
  </si>
  <si>
    <t>T пилоповітряної суміші млина №4</t>
  </si>
  <si>
    <t>T пилоповітряної суміші млина №5</t>
  </si>
  <si>
    <t>T пилоповітряної суміші млина №6</t>
  </si>
  <si>
    <t>T підш.ел.дв. ДС-Б (стор. механізму)</t>
  </si>
  <si>
    <t>T підш.ел.дв. ДС-Б (вільна стор.)</t>
  </si>
  <si>
    <t>T підш.механізму ДС-Б (вільна стор.)</t>
  </si>
  <si>
    <t>T підш.ел.дв. ДС-А (вільна стор.)</t>
  </si>
  <si>
    <t>T підш.ел.дв. ДС-А (стор. механізму)</t>
  </si>
  <si>
    <t>T підш.механізму ДС-А (вільна стор.)</t>
  </si>
  <si>
    <t>T підш.ел.дв. ДВ-Б (вільна стор.)</t>
  </si>
  <si>
    <t>T підш.ел.дв. ДВ-Б (стор. механізму)</t>
  </si>
  <si>
    <t>T підш.механізму ДВ-Б ( стор. двигуна)</t>
  </si>
  <si>
    <t>T підш.механізму ДВ-Б (вільна стор.)</t>
  </si>
  <si>
    <t>T підш.ел.дв. ДВ-А (стор. механізму)</t>
  </si>
  <si>
    <t>T підш.ел.дв. ДВ-А (вільна стор.)</t>
  </si>
  <si>
    <t>T підш.механізму ДВ-А (вільна стор.)</t>
  </si>
  <si>
    <t>T масла в картері млина №1</t>
  </si>
  <si>
    <t>T масла в картері млина №2</t>
  </si>
  <si>
    <t>T масла в картері млина №3</t>
  </si>
  <si>
    <t>T масла в картері млина №4</t>
  </si>
  <si>
    <t>T масла в картері млина №5</t>
  </si>
  <si>
    <t>T масла в картері млина №6</t>
  </si>
  <si>
    <t>T масла після охолодження млина №1</t>
  </si>
  <si>
    <t>T масла після охолодження млина №2</t>
  </si>
  <si>
    <t>T масла після охолодження млина №3</t>
  </si>
  <si>
    <t>T масла після охолодження млина №4</t>
  </si>
  <si>
    <t>T масла після охолодження млина №5</t>
  </si>
  <si>
    <t>T масла після охолодження млина №6</t>
  </si>
  <si>
    <t>T підш.ел.дв.млина №1 (стор механізму)</t>
  </si>
  <si>
    <t>T підш.ел.дв.млина №1 (вільна стор)</t>
  </si>
  <si>
    <t>T підш.ел.дв.млина №2 (стор механізму)</t>
  </si>
  <si>
    <t>T підш.ел.дв.млина №2 (вільна стор)</t>
  </si>
  <si>
    <t>T підш.ел.дв.млина №3 (стор механізму)</t>
  </si>
  <si>
    <t>T підш.ел.дв.млина №3 (вільна стор)</t>
  </si>
  <si>
    <t>T підш.ел.дв.млина №4 (стор механізму)</t>
  </si>
  <si>
    <t>T підш.ел.дв.млина №4 (вільна стор)</t>
  </si>
  <si>
    <t>T підш.ел.дв.млина №5 (стор механізму)</t>
  </si>
  <si>
    <t>T підш.ел.дв.млина №5 (вільна стор)</t>
  </si>
  <si>
    <t>T підш.ел.дв.млина №6 (стор механізму)</t>
  </si>
  <si>
    <t>T підш.ел.дв.млина №6 (вільна стор)</t>
  </si>
  <si>
    <t>T підш.ел.дв. МВ №1 (стор механізму)</t>
  </si>
  <si>
    <t>T підш.ел.дв. МВ №1 (вільна стор)</t>
  </si>
  <si>
    <t>T підш.ел.дв. МВ №2 (стор механізму)</t>
  </si>
  <si>
    <t>T підш.ел.дв. МВ №2 (вільна стор)</t>
  </si>
  <si>
    <t>T підш.ел.дв. МВ №3 (стор механізму)</t>
  </si>
  <si>
    <t>T підш.ел.дв. МВ №3 (вільна стор)</t>
  </si>
  <si>
    <t>T підш.ел.дв. МВ №4 (стор механізму)</t>
  </si>
  <si>
    <t>T підш.ел.дв. МВ №4 (вільна стор)</t>
  </si>
  <si>
    <t>T підш.ел.дв. МВ №5 (стор механізму)</t>
  </si>
  <si>
    <t>T підш.ел.дв. МВ №5 (вільна стор)</t>
  </si>
  <si>
    <t>T підш.ел.дв. МВ №6 (стор механізму)</t>
  </si>
  <si>
    <t>T підш.ел.дв. МВ №6 (вільна стор)</t>
  </si>
  <si>
    <t>T підш.МВ №1 (стор двигуна)</t>
  </si>
  <si>
    <t>T підш.МВ №1 (стор механізму)</t>
  </si>
  <si>
    <t>T підш.МВ №2 (стор двигуна)</t>
  </si>
  <si>
    <t>T підш.МВ №2 (стор механізму)</t>
  </si>
  <si>
    <t>T підш.МВ №3 (стор двигуна)</t>
  </si>
  <si>
    <t>T підш.МВ №3 (стор механізму)</t>
  </si>
  <si>
    <t>T підш.МВ №4 (стор двигуна)</t>
  </si>
  <si>
    <t>T підш.МВ №4 (стор механізму)</t>
  </si>
  <si>
    <t>T підш.МВ №5 (стор двигуна)</t>
  </si>
  <si>
    <t>T підш.МВ №5 (стор механізму)</t>
  </si>
  <si>
    <t>T підш.МВ №6 (стор двигуна)</t>
  </si>
  <si>
    <t>T підш.МВ №6 (стор механізму)</t>
  </si>
  <si>
    <t>Т масла в маслобаці маслостанції МВ №1</t>
  </si>
  <si>
    <t>Т масла в маслобаці маслостанції МВ №2</t>
  </si>
  <si>
    <t>Т масла в маслобаці маслостанції МВ №3</t>
  </si>
  <si>
    <t>Т масла в маслобаці маслостанції МВ №4</t>
  </si>
  <si>
    <t>Т масла в маслобаці маслостанції МВ №5</t>
  </si>
  <si>
    <t>Т масла в маслобаці маслостанції МВ №6</t>
  </si>
  <si>
    <t>T бабіту упорного підшипника верхньої колодки №10 сторони генератора</t>
  </si>
  <si>
    <t>T бабіту упорного підшипника верхньої колодки №11 сторони генератора</t>
  </si>
  <si>
    <t>T бабіту упорного підшипника верхньої колодки №12 сторони генератора</t>
  </si>
  <si>
    <t>T бабіту упорного підшипника верхньої колодки №13 сторони генератора</t>
  </si>
  <si>
    <t>T бабіту упорного підшипника нижньої колодки №14 сторони генератора</t>
  </si>
  <si>
    <t>T бабіту упорного підшипника нижньої колодки №15 сторони генератора</t>
  </si>
  <si>
    <t>T бабіту упорного підшипника нижньої колодки №16 сторони генератора</t>
  </si>
  <si>
    <t>T бабіту упорного підшипника нижньої колодки №17 сторони генератора</t>
  </si>
  <si>
    <t>T оп.підш. №1</t>
  </si>
  <si>
    <t>T оп.підш. №2</t>
  </si>
  <si>
    <t>T оп.підш. №3</t>
  </si>
  <si>
    <t>T оп.підш. №4</t>
  </si>
  <si>
    <t>T оп.підш. №5</t>
  </si>
  <si>
    <t>T оп.підш. №6</t>
  </si>
  <si>
    <t>T бабіту упорного підшипника верхньої колодки №2 сторони регулятора</t>
  </si>
  <si>
    <t>T бабіту упорного підшипника верхньої колодки №3 сторони регулятора</t>
  </si>
  <si>
    <t>T бабіту упорного підшипника верхньої колодки №4 сторони регулятора</t>
  </si>
  <si>
    <t>T бабіту упорного підшипника верхньої колодки №5 сторони регулятора</t>
  </si>
  <si>
    <t>T бабіту упорного підшипника нижньої колодки №7 сторони регулятора</t>
  </si>
  <si>
    <t>T бабіту упорного підшипника нижньої колодки №8 сторони регулятора</t>
  </si>
  <si>
    <t>T бабіту упорного підшипника нижньої колодки №9 сторони регулятора</t>
  </si>
  <si>
    <t xml:space="preserve">T масла на зливі з оп.підш. №2 </t>
  </si>
  <si>
    <t xml:space="preserve">T масла на зливі з ущільн. (стор турбіни) </t>
  </si>
  <si>
    <t xml:space="preserve">T масла на зливі з уп.підш. (стор. рег-ра) </t>
  </si>
  <si>
    <t xml:space="preserve">T масла на зливі з уп.підш. (стор. ген-ра) </t>
  </si>
  <si>
    <t>T масла перед МО турбіни</t>
  </si>
  <si>
    <t>T масла після МО турбіни</t>
  </si>
  <si>
    <t>Т води до МО1 генератора</t>
  </si>
  <si>
    <t>Т води після МО1 генератора</t>
  </si>
  <si>
    <t>Т води до МО2 генератора</t>
  </si>
  <si>
    <t>Т води після МО2 генератора</t>
  </si>
  <si>
    <t xml:space="preserve">T масла на вході в ущільнення сторона турбіни </t>
  </si>
  <si>
    <t>T масла на вході в ущільнення сторона збудження</t>
  </si>
  <si>
    <t>T відпрацьованої пари (передня секція)</t>
  </si>
  <si>
    <t>T відпрацьованої пари (задня секція)</t>
  </si>
  <si>
    <t>T циркуляційної води на вході</t>
  </si>
  <si>
    <t>T зливу циркуляційної води зліва</t>
  </si>
  <si>
    <t>T зливу циркуляційної води справа</t>
  </si>
  <si>
    <t>T охол води на вході в ТО СООС – Б</t>
  </si>
  <si>
    <t>T охол води на виході з ТО СООС – Б</t>
  </si>
  <si>
    <t>T охол води на вході в ТО СООС – А</t>
  </si>
  <si>
    <t>T охол води на виході з ТО СООС – А</t>
  </si>
  <si>
    <t>T дистиляту на вході в ТО СООС – Б</t>
  </si>
  <si>
    <t>T дистиляту на виході з ТО СООС – Б</t>
  </si>
  <si>
    <t>T дистиляту на вході в ТО СООС – А</t>
  </si>
  <si>
    <t>T дистиляту на виході з ТО СООС – А</t>
  </si>
  <si>
    <t>T дистиляту на виході з ТО ВПТГ</t>
  </si>
  <si>
    <t xml:space="preserve">T металу у вихлопному патрубку сторона нитка А зі сторони генератора </t>
  </si>
  <si>
    <t xml:space="preserve">T металу у вихлопному патрубку сторона нитка Б зі сторони генератора </t>
  </si>
  <si>
    <t>T металу у вихлопному патрубку сторона нитка А зі сторони ЦВТ</t>
  </si>
  <si>
    <t>T металу у вихлопному патрубку сторона нитка Б зі сторони ЦВТ</t>
  </si>
  <si>
    <t>T в конденсаторі</t>
  </si>
  <si>
    <t>T конденсату перед конд насосом (КН)</t>
  </si>
  <si>
    <t>T прямої мережної води</t>
  </si>
  <si>
    <t>T зворотної мережної води</t>
  </si>
  <si>
    <t>T води після пікового бойлера</t>
  </si>
  <si>
    <t>T води після основного бойлера</t>
  </si>
  <si>
    <t>Т активного заліза, паз №3</t>
  </si>
  <si>
    <t>Т активного заліза, паз №10</t>
  </si>
  <si>
    <t>Т активного заліза, паз №17</t>
  </si>
  <si>
    <t>Т активного заліза, паз №24</t>
  </si>
  <si>
    <t>Т активного заліза, паз №31</t>
  </si>
  <si>
    <t>Т активного заліза, паз №32</t>
  </si>
  <si>
    <t xml:space="preserve">Т активного заліза, паз №38 </t>
  </si>
  <si>
    <t>Т холодний газ</t>
  </si>
  <si>
    <t>Т гарячий газ</t>
  </si>
  <si>
    <t>Т бабіта вкладиша ущіл сторона турбіни</t>
  </si>
  <si>
    <t>Т холодного повітря</t>
  </si>
  <si>
    <t>Т гарячого повітря</t>
  </si>
  <si>
    <t>Т води на вході ГО</t>
  </si>
  <si>
    <t>Т води на зливі ГО</t>
  </si>
  <si>
    <t>Т дистиляту на вході обмоток статора</t>
  </si>
  <si>
    <t>Т дистиляту на зливі обмоток статора</t>
  </si>
  <si>
    <t>T міді обм.статора ген-ра, паз №1</t>
  </si>
  <si>
    <t>T міді обм.статора ген-ра, паз №2</t>
  </si>
  <si>
    <t>T міді обм.статора ген-ра, паз №3</t>
  </si>
  <si>
    <t>T міді обм.статора ген-ра, паз №4</t>
  </si>
  <si>
    <t>T міді обм.статора ген-ра, паз №5</t>
  </si>
  <si>
    <t>T міді обм.статора ген-ра, паз №6</t>
  </si>
  <si>
    <t>T міді обм.статора ген-ра, паз №7</t>
  </si>
  <si>
    <t>T міді обм.статора ген-ра, паз №8</t>
  </si>
  <si>
    <t>T міді обм.статора ген-ра, паз №9</t>
  </si>
  <si>
    <t>T міді обм.статора ген-ра, паз №10</t>
  </si>
  <si>
    <t>T міді обм.статора ген-ра, паз №11</t>
  </si>
  <si>
    <t>T міді обм.статора ген-ра, паз №12</t>
  </si>
  <si>
    <t>T міді обм.статора ген-ра, паз №13</t>
  </si>
  <si>
    <t>T міді обм.статора ген-ра, паз №14</t>
  </si>
  <si>
    <t>T міді обм.статора ген-ра, паз №15</t>
  </si>
  <si>
    <t>T міді обм.статора ген-ра, паз №16</t>
  </si>
  <si>
    <t>T міді обм.статора ген-ра, паз №17</t>
  </si>
  <si>
    <t>T міді обм.статора ген-ра, паз №18</t>
  </si>
  <si>
    <t>T міді обм.статора ген-ра, паз №19</t>
  </si>
  <si>
    <t>T міді обм.статора ген-ра, паз №20</t>
  </si>
  <si>
    <t>T міді обм.статора ген-ра, паз №21</t>
  </si>
  <si>
    <t>T міді обм.статора ген-ра, паз №22</t>
  </si>
  <si>
    <t>T міді обм.статора ген-ра, паз №23</t>
  </si>
  <si>
    <t>T міді обм.статора ген-ра, паз №24</t>
  </si>
  <si>
    <t>T міді обм.статора ген-ра, паз №25</t>
  </si>
  <si>
    <t>T міді обм.статора ген-ра, паз №26</t>
  </si>
  <si>
    <t>T міді обм.статора ген-ра, паз №27</t>
  </si>
  <si>
    <t>T міді обм.статора ген-ра, паз №28</t>
  </si>
  <si>
    <t>T міді обм.статора ген-ра, паз №29</t>
  </si>
  <si>
    <t>T міді обм.статора ген-ра, паз №30</t>
  </si>
  <si>
    <t>T міді обм.статора ген-ра, паз №31</t>
  </si>
  <si>
    <t>T міді обм.статора ген-ра, паз №32</t>
  </si>
  <si>
    <t>T міді обм.статора ген-ра, паз №33</t>
  </si>
  <si>
    <t>T міді обм.статора ген-ра, паз №34</t>
  </si>
  <si>
    <t>T міді обм.статора ген-ра, паз №35</t>
  </si>
  <si>
    <t>T міді обм.статора ген-ра, паз №36</t>
  </si>
  <si>
    <t>T міді обм.статора ген-ра, паз №37</t>
  </si>
  <si>
    <t>T міді обм.статора ген-ра, паз №38</t>
  </si>
  <si>
    <t>T міді обм.статора ген-ра, паз №39</t>
  </si>
  <si>
    <t>T міді обм.статора ген-ра, паз №40</t>
  </si>
  <si>
    <t>T міді обм.статора ген-ра, паз №41</t>
  </si>
  <si>
    <t>T міді обм.статора ген-ра, паз №42</t>
  </si>
  <si>
    <t>Температура пари після РУ-А на вході в конденсатор</t>
  </si>
  <si>
    <t>Температура пари після РУ-Б на вході в конденсатор</t>
  </si>
  <si>
    <t>Т зовнішнього повітря</t>
  </si>
  <si>
    <t>Т пари в ресівері</t>
  </si>
  <si>
    <t xml:space="preserve">T мазуту </t>
  </si>
  <si>
    <t>Термоопір, Ом</t>
  </si>
  <si>
    <t>Термопари, мВ</t>
  </si>
  <si>
    <t>Струм, 4-20 мА</t>
  </si>
  <si>
    <t>Дискретний ввід</t>
  </si>
  <si>
    <t>Дискретний вивід</t>
  </si>
  <si>
    <t>№ з/п</t>
  </si>
  <si>
    <t>Диспечерське найменування</t>
  </si>
  <si>
    <t>KKS</t>
  </si>
  <si>
    <t>Тип сигналу</t>
  </si>
  <si>
    <t>Димосос</t>
  </si>
  <si>
    <t>DI</t>
  </si>
  <si>
    <t>DO</t>
  </si>
  <si>
    <t>Дуттьовий вентилятор</t>
  </si>
  <si>
    <t>Млин</t>
  </si>
  <si>
    <t>М-11-1</t>
  </si>
  <si>
    <t>М-11-2</t>
  </si>
  <si>
    <t>М-11-3</t>
  </si>
  <si>
    <t>М-11-4</t>
  </si>
  <si>
    <t>М-11-5</t>
  </si>
  <si>
    <t>М-11-6</t>
  </si>
  <si>
    <t>Млиновий вентилятор</t>
  </si>
  <si>
    <t>МВ-11-1</t>
  </si>
  <si>
    <t>МВ-11-2</t>
  </si>
  <si>
    <t>МВ-11-3</t>
  </si>
  <si>
    <t>МВ-11-4</t>
  </si>
  <si>
    <t>МВ-11-5</t>
  </si>
  <si>
    <t>МВ-11-6</t>
  </si>
  <si>
    <t>Живильний електронасос</t>
  </si>
  <si>
    <t>ЖЕН-7А</t>
  </si>
  <si>
    <t>ЖЕН-7Б</t>
  </si>
  <si>
    <t>Конденсатний насос</t>
  </si>
  <si>
    <t>КН-7А</t>
  </si>
  <si>
    <t>КН-7Б</t>
  </si>
  <si>
    <t>Насос бака запаса конденсату</t>
  </si>
  <si>
    <t>НБЗК-7А</t>
  </si>
  <si>
    <t>НБЗК-7Б</t>
  </si>
  <si>
    <t>Пусковий електричний масляний насос</t>
  </si>
  <si>
    <t xml:space="preserve">ПЕМН-ТГ-7 </t>
  </si>
  <si>
    <t>Аварійний електричний масляний насос</t>
  </si>
  <si>
    <t xml:space="preserve">АЕМН ТГ-7 </t>
  </si>
  <si>
    <t>Масляний насос живильного електронасоса</t>
  </si>
  <si>
    <t>МН ЖЕН-7А1</t>
  </si>
  <si>
    <t>МН ЖЕН-7А2</t>
  </si>
  <si>
    <t>МН ЖЕН-7Б1</t>
  </si>
  <si>
    <t>МН ЖЕН-7Б2</t>
  </si>
  <si>
    <t>Живильник сирого вугілля</t>
  </si>
  <si>
    <t>ЖСВ-11-1</t>
  </si>
  <si>
    <t>ЖСВ-11-2</t>
  </si>
  <si>
    <t>ЖСВ-11-3</t>
  </si>
  <si>
    <t>ЖСВ-11-4</t>
  </si>
  <si>
    <t>ЖСВ-11-5</t>
  </si>
  <si>
    <t>ЖСВ-11-6</t>
  </si>
  <si>
    <t>Транспортувальний живильник сирого вугілля</t>
  </si>
  <si>
    <t>ТЖСВ-11-3</t>
  </si>
  <si>
    <t>ТЖСВ-11-4</t>
  </si>
  <si>
    <t>ВУП-11-1</t>
  </si>
  <si>
    <t>ВУП-11-2</t>
  </si>
  <si>
    <t>ВУП-11-3</t>
  </si>
  <si>
    <t>ВУП-11-4</t>
  </si>
  <si>
    <t>ВУП-11-5</t>
  </si>
  <si>
    <t>ВУП-11-6</t>
  </si>
  <si>
    <t>Засувки</t>
  </si>
  <si>
    <t>Регулятори</t>
  </si>
  <si>
    <t>Механізми</t>
  </si>
  <si>
    <t>AI</t>
  </si>
  <si>
    <t>Датчики</t>
  </si>
  <si>
    <t>RTD</t>
  </si>
  <si>
    <t>TC</t>
  </si>
  <si>
    <t>ТСП</t>
  </si>
  <si>
    <t>ТХА/ТХК</t>
  </si>
  <si>
    <t>Витрата/тиск</t>
  </si>
  <si>
    <t>Аналоговий вихід, 4-20 мА</t>
  </si>
  <si>
    <t>AOH</t>
  </si>
  <si>
    <t>Дискретні</t>
  </si>
  <si>
    <t>№</t>
  </si>
  <si>
    <t>Найменування параметра</t>
  </si>
  <si>
    <t>Од. вим.</t>
  </si>
  <si>
    <t>Тип</t>
  </si>
  <si>
    <t>Примітки</t>
  </si>
  <si>
    <t>Найменування</t>
  </si>
  <si>
    <t>Шафа</t>
  </si>
  <si>
    <t>Місце в шафі</t>
  </si>
  <si>
    <t>Засувка на водяному фільтрі №1</t>
  </si>
  <si>
    <t>Засувка на водяному фільтрі №2</t>
  </si>
  <si>
    <t>Засувка напірна циркводоводу</t>
  </si>
  <si>
    <t>Засувка зливна циркводоводу</t>
  </si>
  <si>
    <t>Засувка на перемичці циркводоводу</t>
  </si>
  <si>
    <t>АРегулятор розрідження в топці котла А</t>
  </si>
  <si>
    <t>АРегулятор розрідження в топці котла Б</t>
  </si>
  <si>
    <t>АРегулятор тиску повітря А</t>
  </si>
  <si>
    <t>АРегулятор тиску повітря Б</t>
  </si>
  <si>
    <t>Подача конденсату на вприски загальна</t>
  </si>
  <si>
    <t>Подача Ж.В. на вприски  шир-вого п\п загальна</t>
  </si>
  <si>
    <t>Подача Ж.В. на аварійні вприски загальна</t>
  </si>
  <si>
    <t>Вприск 1А запірна</t>
  </si>
  <si>
    <t>Вприск 2А лобова</t>
  </si>
  <si>
    <t>Вприск 2Б лобова</t>
  </si>
  <si>
    <t>Вприск 2А запірна</t>
  </si>
  <si>
    <t>Вприск 2Б запірна</t>
  </si>
  <si>
    <t>Вприск 1А лобова</t>
  </si>
  <si>
    <t>Вприск 1Б лобова</t>
  </si>
  <si>
    <t>Вприск 1Б запірна</t>
  </si>
  <si>
    <t>Аварійний вприск А лобова</t>
  </si>
  <si>
    <t>Аварійний вприск Б лобова</t>
  </si>
  <si>
    <t>Аварійний вприск А запірна</t>
  </si>
  <si>
    <t>Аварійний вприск Б запірна</t>
  </si>
  <si>
    <t>Аварійний скид №1</t>
  </si>
  <si>
    <t>Аварійний скид №2</t>
  </si>
  <si>
    <t>Напір мазуту</t>
  </si>
  <si>
    <t>Скид мазуту</t>
  </si>
  <si>
    <t>З-ка пож.гас-ня каб п.п. загальна</t>
  </si>
  <si>
    <t>З-ка пож.гас-ня каб п.п. бл.7</t>
  </si>
  <si>
    <t>З-ка пож.гас-ня каб п.п. бл.8</t>
  </si>
  <si>
    <t>Лобова А</t>
  </si>
  <si>
    <t>Лобова Б</t>
  </si>
  <si>
    <t>Запірна А</t>
  </si>
  <si>
    <t>Запірна Б</t>
  </si>
  <si>
    <t>ДУ – 100</t>
  </si>
  <si>
    <t>Перем. між 1 та 2 магістралями</t>
  </si>
  <si>
    <t>ДУ – 50</t>
  </si>
  <si>
    <t>Засувка на лінії безперервної продувки</t>
  </si>
  <si>
    <t>Продувка пароперегрівача №1</t>
  </si>
  <si>
    <t>Продувка пароперегрівача №2</t>
  </si>
  <si>
    <t>Рециркуляція барабан - водяний економайзер</t>
  </si>
  <si>
    <t>Засувка по тиску пари на обдувку</t>
  </si>
  <si>
    <t>АРегулятор температури вторинної пари вприск А</t>
  </si>
  <si>
    <t>АРегулятор температури вторинної пари вприск Б</t>
  </si>
  <si>
    <t>АРегулятор живлен-ня котла водою 50</t>
  </si>
  <si>
    <t>АРегулятор живлен-ня котла водою 100</t>
  </si>
  <si>
    <t>АРегулятор живлен-ня котла водою №1 250</t>
  </si>
  <si>
    <t>АРегулятор живлен-ня котла водою №2 250</t>
  </si>
  <si>
    <t>АРегулятор безперервної продувки</t>
  </si>
  <si>
    <t>АРегулятор температури перегрітої пари вприск 1А</t>
  </si>
  <si>
    <t>АРегулятор температури перегрітої пари вприск 1Б</t>
  </si>
  <si>
    <t>АРегулятор температури перегрітої пари вприск 2А</t>
  </si>
  <si>
    <t>АРегулятор температури перегрітої пари вприск 2Б</t>
  </si>
  <si>
    <t>РК рециркуляції гарячого повітря н-А</t>
  </si>
  <si>
    <t>РК рециркуляції гарячого повітря н-Б</t>
  </si>
  <si>
    <t>Основний регулюючий клапан</t>
  </si>
  <si>
    <t>Вібратор №1</t>
  </si>
  <si>
    <t>Вібратор №2</t>
  </si>
  <si>
    <t>Вібратор №3</t>
  </si>
  <si>
    <t>Вібратор №4</t>
  </si>
  <si>
    <t>Вібратор №5</t>
  </si>
  <si>
    <t>Вібратор №6</t>
  </si>
  <si>
    <t>Головна газова засувка</t>
  </si>
  <si>
    <t>Засувка Газова секційна</t>
  </si>
  <si>
    <t>Обдувний апарат №1</t>
  </si>
  <si>
    <t>Обдувний апарат №2</t>
  </si>
  <si>
    <t>Обдувний апарат №3</t>
  </si>
  <si>
    <t>Обдувний апарат №4</t>
  </si>
  <si>
    <t>Обдувний апарат №5</t>
  </si>
  <si>
    <t>Обдувний апарат №6</t>
  </si>
  <si>
    <t>Обдувний апарат №7</t>
  </si>
  <si>
    <t>Обдувний апарат №8</t>
  </si>
  <si>
    <t>Обдувний апарат №9</t>
  </si>
  <si>
    <t>Обдувний апарат №10</t>
  </si>
  <si>
    <t>Обдувний апарат №11</t>
  </si>
  <si>
    <t>Обдувний апарат №12</t>
  </si>
  <si>
    <t>Обдувний апарат №13</t>
  </si>
  <si>
    <t>Обдувний апарат №14</t>
  </si>
  <si>
    <t>Обдувний апарат №15</t>
  </si>
  <si>
    <t>Обдувний апарат №16</t>
  </si>
  <si>
    <t>Обдувний апарат №17</t>
  </si>
  <si>
    <t>Обдувний апарат №18</t>
  </si>
  <si>
    <t>Обдувний апарат №19</t>
  </si>
  <si>
    <t>Обдувний апарат №20</t>
  </si>
  <si>
    <t>Обдувний апарат №21</t>
  </si>
  <si>
    <t>Обдувний апарат №22</t>
  </si>
  <si>
    <t>Обдувний апарат №23</t>
  </si>
  <si>
    <t>Обдувний апарат №24</t>
  </si>
  <si>
    <t>Вприск РОУ-А №1</t>
  </si>
  <si>
    <t>Вприск РОУ-А №2</t>
  </si>
  <si>
    <t>Вприск РОУ-Б №1</t>
  </si>
  <si>
    <t>Вприск РОУ-Б №2</t>
  </si>
  <si>
    <t>Шунт РОУ-А №1</t>
  </si>
  <si>
    <t>Шунт РОУ-А №2</t>
  </si>
  <si>
    <t>Шунт РОУ-Б №1</t>
  </si>
  <si>
    <t>Шунт РОУ-Б №2</t>
  </si>
  <si>
    <t>1-й відбір на ПВТ-8</t>
  </si>
  <si>
    <t>2-й відбір на ПВТ-7</t>
  </si>
  <si>
    <t>3-й відбір на ПВТ-6</t>
  </si>
  <si>
    <t>4-й відбір на ДВТ</t>
  </si>
  <si>
    <t>5-й відбір на ПНТ-4</t>
  </si>
  <si>
    <t>6-й відбір на ПНТ-3</t>
  </si>
  <si>
    <t>Зрив вакууму</t>
  </si>
  <si>
    <t>Головна парова засувка – А</t>
  </si>
  <si>
    <t>Головна парова засувка – Б</t>
  </si>
  <si>
    <t>Холодний пром.перегрів – А</t>
  </si>
  <si>
    <t>Холодний пром.перегрів – Б</t>
  </si>
  <si>
    <t>Аварійний скид в ДВТ</t>
  </si>
  <si>
    <t>Підживлення з БЗК в ДВТ</t>
  </si>
  <si>
    <t>Опорожнення на БЗК</t>
  </si>
  <si>
    <t>АРегулятор рівня в розширювачі безперервної продувки</t>
  </si>
  <si>
    <t>АРегулятор тиску пари на лабіринтове ущільнення від колектора</t>
  </si>
  <si>
    <t>АРегулятор тиску в ДВТ</t>
  </si>
  <si>
    <t>Байпас ГПЗ-А1</t>
  </si>
  <si>
    <t>Байпас ГПЗ-А2</t>
  </si>
  <si>
    <t>Байпас ГПЗ-Б1</t>
  </si>
  <si>
    <t>Байпас ГПЗ-Б2</t>
  </si>
  <si>
    <t>Кінцевий вприск</t>
  </si>
  <si>
    <t>Вхід конденсату в ПНТ-1</t>
  </si>
  <si>
    <t>Перемичка рециркуляція конденсату</t>
  </si>
  <si>
    <t>Пара від ХПП-Б на ТГ-8</t>
  </si>
  <si>
    <t>ХОВ №1</t>
  </si>
  <si>
    <t>ХОВ №2</t>
  </si>
  <si>
    <t>Дренаж пари з ПВТ на ДВТ</t>
  </si>
  <si>
    <t>Вихід конденсату з ПНТ-4</t>
  </si>
  <si>
    <t>Дренаж з БНТ</t>
  </si>
  <si>
    <t>Подача пари від ХПП на ежектор</t>
  </si>
  <si>
    <t>АРегулятор рівня в конденсаторі</t>
  </si>
  <si>
    <t>АРегулятор рівня в ДВТ</t>
  </si>
  <si>
    <t>АРегулятор рівня ПНТ-1</t>
  </si>
  <si>
    <t>АРегулятор рівня ПНТ-3</t>
  </si>
  <si>
    <t>АРегулятор рівня ПНТ-4</t>
  </si>
  <si>
    <t>Вхід в ПВТ</t>
  </si>
  <si>
    <t>Вихід з ПВТ</t>
  </si>
  <si>
    <t>Скид гостр. пари в конденсатор №1</t>
  </si>
  <si>
    <t>Скид гостр. пари в конденсатор №2</t>
  </si>
  <si>
    <t>Скид гострої пари в ХПП №1</t>
  </si>
  <si>
    <t>Скид гострої пари в ХПП №2</t>
  </si>
  <si>
    <t>Засувка вприску в РОУ</t>
  </si>
  <si>
    <t>Вентиль ТЗ ПВТ №1</t>
  </si>
  <si>
    <t>Вентиль ТЗ ПВТ №2</t>
  </si>
  <si>
    <t>АРегулятор рівня ПВТ-6</t>
  </si>
  <si>
    <t>АРегулятор рівня ПВТ-7</t>
  </si>
  <si>
    <t>АРегулятор рівня ПВТ-8</t>
  </si>
  <si>
    <t>Засувка на байпасі підігрівача (основний)</t>
  </si>
  <si>
    <t>Засувка на байпасі підігрівача (піковий)</t>
  </si>
  <si>
    <t>Засувка на мережній воді (основний)</t>
  </si>
  <si>
    <t>Засувка на мережній воді після підігрівача (основний)</t>
  </si>
  <si>
    <t>Засувка на мережній воді (піковий)</t>
  </si>
  <si>
    <t>Засувка на мережній воді після підігрівача (піковий)</t>
  </si>
  <si>
    <t>Засувка на парі до підігрівача (піковий)</t>
  </si>
  <si>
    <t>Засувка на парі до підігрівача (основний)</t>
  </si>
  <si>
    <t>Злив брудної води – А</t>
  </si>
  <si>
    <t>Злив брудної води – Б</t>
  </si>
  <si>
    <t>Фільтр – А</t>
  </si>
  <si>
    <t>Фільтр – Б</t>
  </si>
  <si>
    <t>На зливному трубопроводі із М/О</t>
  </si>
  <si>
    <t>АРегулятор рівня в основному бойлері</t>
  </si>
  <si>
    <t>АРегулятор рівня в піковому бойлері</t>
  </si>
  <si>
    <t>АРегулятор тиску мережної води</t>
  </si>
  <si>
    <t>АРегулятор температури на виході з пікового бойлера</t>
  </si>
  <si>
    <t>АРегулятор температури на виході з основного бойлера</t>
  </si>
  <si>
    <t>Арматура</t>
  </si>
  <si>
    <t>Шибери</t>
  </si>
  <si>
    <t>7HFB11AF001</t>
  </si>
  <si>
    <t>7HFB12AF001</t>
  </si>
  <si>
    <t>7HFB13AF001</t>
  </si>
  <si>
    <t>7HFB14AF001</t>
  </si>
  <si>
    <t>7HFB15AF001</t>
  </si>
  <si>
    <t>7HFB16AF001</t>
  </si>
  <si>
    <t>7HFB13AF002</t>
  </si>
  <si>
    <t>7HFB14AF002</t>
  </si>
  <si>
    <t>7HFC11AJ001</t>
  </si>
  <si>
    <t>7HFC12AJ001</t>
  </si>
  <si>
    <t>7HFC13AJ001</t>
  </si>
  <si>
    <t>7HFC14AJ001</t>
  </si>
  <si>
    <t>7HFC15AJ001</t>
  </si>
  <si>
    <t>7HFC16AJ001</t>
  </si>
  <si>
    <t>7HFE11AN001</t>
  </si>
  <si>
    <t>7HFE12AN001</t>
  </si>
  <si>
    <t>7HFE13AN001</t>
  </si>
  <si>
    <t>7HFE14AN001</t>
  </si>
  <si>
    <t>7HFE15AN001</t>
  </si>
  <si>
    <t>7HFE16AN001</t>
  </si>
  <si>
    <t>7HFW11AN001</t>
  </si>
  <si>
    <t>7HFW12AN001</t>
  </si>
  <si>
    <t>7HFW13AN001</t>
  </si>
  <si>
    <t>7HFW14AN001</t>
  </si>
  <si>
    <t>7HFW15AN001</t>
  </si>
  <si>
    <t>7HFW16AN001</t>
  </si>
  <si>
    <t>7LCB11AP001</t>
  </si>
  <si>
    <t>7LCB12AP001</t>
  </si>
  <si>
    <t>7LAC11AP001</t>
  </si>
  <si>
    <t>7LAC12AP001</t>
  </si>
  <si>
    <t>7MAV11AP001</t>
  </si>
  <si>
    <t>7MAV12AP001</t>
  </si>
  <si>
    <t>7MAV13AP001</t>
  </si>
  <si>
    <t>7HNC10AN101</t>
  </si>
  <si>
    <t>Д-11А-І шв.</t>
  </si>
  <si>
    <t>Д-11А-II шв.</t>
  </si>
  <si>
    <t>Д-11Б-І шв.</t>
  </si>
  <si>
    <t>Д-11Б-ІI шв.</t>
  </si>
  <si>
    <t>7HNC20AN101</t>
  </si>
  <si>
    <t>ДВ-11А-І шв.</t>
  </si>
  <si>
    <t>ДВ-11А-IІ шв.</t>
  </si>
  <si>
    <t>7HLB10AN101</t>
  </si>
  <si>
    <t>ДВ-11Б-І шв.</t>
  </si>
  <si>
    <t>7HLB20AN101</t>
  </si>
  <si>
    <t>ДВ-11Б-IІ шв.</t>
  </si>
  <si>
    <t>Вентилятор ущільнення повітря</t>
  </si>
  <si>
    <t>7MAB01CG901XG01</t>
  </si>
  <si>
    <t>7MAB01CG901XG02</t>
  </si>
  <si>
    <t>7MAB02CG901XG01</t>
  </si>
  <si>
    <t>7MAB02CG901XG02</t>
  </si>
  <si>
    <t>7MAA01CG901XG01</t>
  </si>
  <si>
    <t>7MAA01CG901XG02</t>
  </si>
  <si>
    <t>7LBQ60CG901XG02</t>
  </si>
  <si>
    <t>7LBQ70CG901XG02</t>
  </si>
  <si>
    <t>7LBS20CG901XG02</t>
  </si>
  <si>
    <t>7LBS30CG901XG02</t>
  </si>
  <si>
    <t>7LBS40CG901XG02</t>
  </si>
  <si>
    <t>7LBQ80CG901XG02</t>
  </si>
  <si>
    <t>Резервний електричний масляний насос</t>
  </si>
  <si>
    <t xml:space="preserve">РЕМН ТГ-7 </t>
  </si>
  <si>
    <t>Клапан атмосферний на повітрі М-11-5</t>
  </si>
  <si>
    <t>Клапан атмосферний на повітрі М-11-6</t>
  </si>
  <si>
    <t>Схема підключення</t>
  </si>
  <si>
    <t>ECV2</t>
  </si>
  <si>
    <t>ESV1-1</t>
  </si>
  <si>
    <t>ESV1-3</t>
  </si>
  <si>
    <t>Засувка на парі пожежогасіння М-11-1</t>
  </si>
  <si>
    <t>ESV2-1</t>
  </si>
  <si>
    <t>Засувка на парі пожежогасіння М-11-2</t>
  </si>
  <si>
    <t>Засувка на парі пожежогасіння М-11-3</t>
  </si>
  <si>
    <t>Засувка на парі пожежогасіння М-11-4</t>
  </si>
  <si>
    <t>Засувка на парі пожежогасіння М-11-5</t>
  </si>
  <si>
    <t>Засувка на парі пожежогасіння М-11-6</t>
  </si>
  <si>
    <t>Підживлення з БЗК в ДВТ 2 черги</t>
  </si>
  <si>
    <t>ECV1</t>
  </si>
  <si>
    <t>АРегулятор витрати повітря М-11-1</t>
  </si>
  <si>
    <t>АРегулятор витрати повітря М-11-2</t>
  </si>
  <si>
    <t>АРегулятор витрати повітря М-11-3</t>
  </si>
  <si>
    <t>АРегулятор витрати повітря М-11-4</t>
  </si>
  <si>
    <t>АРегулятор витрати повітря М-11-5</t>
  </si>
  <si>
    <t>АРегулятор витрати повітря М-11-6</t>
  </si>
  <si>
    <t>АРегулятор температури пилеповітряної суміші М-11-1</t>
  </si>
  <si>
    <t>АРегулятор температури пилеповітряної суміші М-11-2</t>
  </si>
  <si>
    <t>АРегулятор температури пилеповітряної суміші М-11-3</t>
  </si>
  <si>
    <t>АРегулятор температури пилеповітряної суміші М-11-4</t>
  </si>
  <si>
    <t>АРегулятор температури пилеповітряної суміші М-11-5</t>
  </si>
  <si>
    <t>АРегулятор температури пилеповітряної суміші М-11-6</t>
  </si>
  <si>
    <t>Клапан атмосферний на повітрі М-11-1</t>
  </si>
  <si>
    <t>Клапан атмосферний на повітрі М-11-2</t>
  </si>
  <si>
    <t>Регулятор гарячого повітря М-11-1</t>
  </si>
  <si>
    <t>Регулятор гарячого повітря М-11-2</t>
  </si>
  <si>
    <t>Регулятор гарячого повітря М-11-3</t>
  </si>
  <si>
    <t>Регулятор гарячого повітря М-11-4</t>
  </si>
  <si>
    <t>Регулятор гарячого повітря М-11-5</t>
  </si>
  <si>
    <t>Регулятор гарячого повітря М-11-6</t>
  </si>
  <si>
    <t>Клапан атмосферний на повітрі М-11-3</t>
  </si>
  <si>
    <t>Клапан атмосферний на повітрі М-11-4</t>
  </si>
  <si>
    <t xml:space="preserve">Шибер заг пов М-11-1 </t>
  </si>
  <si>
    <t>Шибер заг пов М-11-2</t>
  </si>
  <si>
    <t>Шибер заг пов М-11-3</t>
  </si>
  <si>
    <t xml:space="preserve">Шибер заг пов М-11-4 </t>
  </si>
  <si>
    <t>Шибер заг пов М-11-5</t>
  </si>
  <si>
    <t>Шибер заг пов М-11-6</t>
  </si>
  <si>
    <t>ESV4</t>
  </si>
  <si>
    <t>ESV5</t>
  </si>
  <si>
    <t>ESV1-8</t>
  </si>
  <si>
    <t>На байпасі регулятора рівня в конденсаторі</t>
  </si>
  <si>
    <t>ECV3</t>
  </si>
  <si>
    <t>ESV2-2</t>
  </si>
  <si>
    <t>ESV2-7</t>
  </si>
  <si>
    <t>Рециркуляція ЖЕН-7А</t>
  </si>
  <si>
    <t>Рециркуляція ЖЕН-7Б</t>
  </si>
  <si>
    <t>Напірна ЖЕН-7А</t>
  </si>
  <si>
    <t>ESV1-2</t>
  </si>
  <si>
    <t>Напірна ЖЕН-7Б</t>
  </si>
  <si>
    <t>Холодний стояк</t>
  </si>
  <si>
    <t>ESV2-4</t>
  </si>
  <si>
    <t>ESV1-4</t>
  </si>
  <si>
    <t>РК поворотною заслінкою на кульковій очистці конд-ра н-А</t>
  </si>
  <si>
    <t>РК поворотною заслінкою на кульковій очистці конд-ра н-Б</t>
  </si>
  <si>
    <t>ШЖСПС</t>
  </si>
  <si>
    <t>Клапан відсічний на подачі мазута</t>
  </si>
  <si>
    <t>Клапан відсічний на рециркуляції мазута</t>
  </si>
  <si>
    <t>P, кВт</t>
  </si>
  <si>
    <t>ІЗК (контрольні) н.А, н.Б</t>
  </si>
  <si>
    <t>ІЗК (робочі) н.А, н.Б</t>
  </si>
  <si>
    <t>ІЗК ХПП н.А, н.Б</t>
  </si>
  <si>
    <t>ІЗК ГПП н.А, н.Б</t>
  </si>
  <si>
    <t>Стопорний клапан ВТ (ЦВТ, ПП-А, ПП-Б)</t>
  </si>
  <si>
    <t>КІС зворотніх клапанів турбіни ЗК №№1-6</t>
  </si>
  <si>
    <t>Наявність напруги на основному вводі =220 В</t>
  </si>
  <si>
    <t>Наявність напруги на резервному вводі =220 В</t>
  </si>
  <si>
    <t>Наявність напруги на шафі =220 В</t>
  </si>
  <si>
    <t>Наявність напруги на шинках сигналізації =24 В</t>
  </si>
  <si>
    <t>Сигналізація 'Виклик на збірку'</t>
  </si>
  <si>
    <t>XB06</t>
  </si>
  <si>
    <t>Клапан відсічний швидкодіючий на підводі газу до котла (ПГ)</t>
  </si>
  <si>
    <t>Команда 'ЗАКРИТИ' клапан</t>
  </si>
  <si>
    <t>Сигнал 'НАЯВНІСТЬ ЖИВЛЕННЯ'</t>
  </si>
  <si>
    <t>Сигнал клапан 'ЗАКРИТИЙ'</t>
  </si>
  <si>
    <t>Команда 'ВІДКРИТИ' ІЗК</t>
  </si>
  <si>
    <t>Команда 'ЗАКРИТИ' ІЗК</t>
  </si>
  <si>
    <t>Сигнал 'ВІДКРИТТЯ ІЗК'</t>
  </si>
  <si>
    <t>Сигнал 'ЗАКРИТТЯ ІЗК'</t>
  </si>
  <si>
    <t>Тип блоку</t>
  </si>
  <si>
    <t>Сигнали ПТК</t>
  </si>
  <si>
    <t>Команда 'ВЗВЕСТИ' ел. маг. СК ЦВТ</t>
  </si>
  <si>
    <t>Команда 'ВИБИТИ' ел. маг. СК ЦВТ</t>
  </si>
  <si>
    <t>Сигнал 'НАЯВНІСТЬ ЖИВЛЕННЯ' ел. маг. СК ЦВТ</t>
  </si>
  <si>
    <t>Сигнал 'СК ЦВТ ВІДКРИТИЙ'</t>
  </si>
  <si>
    <t>Сигнал 'СК ЦВТ ЗАКРИТИЙ'</t>
  </si>
  <si>
    <t>Сигнал 'СК ПП-А ЗАКРИТИЙ'</t>
  </si>
  <si>
    <t>Сигнал 'СК ПП-А ВІДКРИТИЙ'</t>
  </si>
  <si>
    <t>Сигнал 'СК ПП-Б ВІДКРИТИЙ'</t>
  </si>
  <si>
    <t>Сигнал 'СК ПП-Б ЗАКРИТИЙ'</t>
  </si>
  <si>
    <t>Сигнал серводвигун РК ЦВТ 'ЗАКРИТИЙ'</t>
  </si>
  <si>
    <t>Команда 'ВІДКРИТИ' ЗК</t>
  </si>
  <si>
    <t>Команда 'ЗАКРИТИ' ЗК</t>
  </si>
  <si>
    <t>Сигнал 'НАЯВНІСТЬ ЖИВЛЕННЯ' ЗК</t>
  </si>
  <si>
    <t>Сигнал 'ЗК №1 ЗАКРИТИЙ'</t>
  </si>
  <si>
    <t>Сигнал 'ЗК №2 ЗАКРИТИЙ'</t>
  </si>
  <si>
    <t>Сигнал 'ЗК №3 ЗАКРИТИЙ'</t>
  </si>
  <si>
    <t>Сигнал 'ЗК №4 ЗАКРИТИЙ'</t>
  </si>
  <si>
    <t>Сигнал 'ЗК №5 ЗАКРИТИЙ'</t>
  </si>
  <si>
    <t>Сигнал 'ЗК №6 ЗАКРИТИЙ'</t>
  </si>
  <si>
    <t>Найменування клапана</t>
  </si>
  <si>
    <t>Давач положення</t>
  </si>
  <si>
    <t>РК не відкритий</t>
  </si>
  <si>
    <t>РК не закритий</t>
  </si>
  <si>
    <t>Наявність живлення РК</t>
  </si>
  <si>
    <t>Команда 'Закрити'</t>
  </si>
  <si>
    <t>Команда 'Відкрити'</t>
  </si>
  <si>
    <t>Перегрів AUMA</t>
  </si>
  <si>
    <t>Спрацювали моментні муфти</t>
  </si>
  <si>
    <t>Засувка не відкрита</t>
  </si>
  <si>
    <t>Засувка не закрита</t>
  </si>
  <si>
    <t>Наявність живлення</t>
  </si>
  <si>
    <t>Штурвал вставлений</t>
  </si>
  <si>
    <t>Дозвіл на місцеве керування</t>
  </si>
  <si>
    <t>Немає живлення</t>
  </si>
  <si>
    <t>Вібратори №1-6 Відключені</t>
  </si>
  <si>
    <t>Команда 'Вперед'</t>
  </si>
  <si>
    <t>Команда 'Назад'</t>
  </si>
  <si>
    <t>Сигналізація руху 'Вперед'</t>
  </si>
  <si>
    <t>Сигналізація руху 'Назад'</t>
  </si>
  <si>
    <t>Вібратор Відключений</t>
  </si>
  <si>
    <t>Команда 'Включити вібратор'</t>
  </si>
  <si>
    <t>РСЗО</t>
  </si>
  <si>
    <t>Скорочене найменування</t>
  </si>
  <si>
    <t>КВ</t>
  </si>
  <si>
    <t>НВ</t>
  </si>
  <si>
    <t>НЗ</t>
  </si>
  <si>
    <t>КЗ</t>
  </si>
  <si>
    <t>ДП</t>
  </si>
  <si>
    <t>Тип сигналу, рівні</t>
  </si>
  <si>
    <t>4-20 mA</t>
  </si>
  <si>
    <t>48 VDC</t>
  </si>
  <si>
    <t>24 VDC</t>
  </si>
  <si>
    <t>НЖ</t>
  </si>
  <si>
    <t>РММ</t>
  </si>
  <si>
    <t>МК</t>
  </si>
  <si>
    <t>ШТ</t>
  </si>
  <si>
    <t>КН</t>
  </si>
  <si>
    <t>ПГР</t>
  </si>
  <si>
    <t>ВЖ</t>
  </si>
  <si>
    <t>ВІДКЛ</t>
  </si>
  <si>
    <t>ВПЕРЕД</t>
  </si>
  <si>
    <t>НАЗАД</t>
  </si>
  <si>
    <t>T пари після 1-го приску А</t>
  </si>
  <si>
    <t>T пари після 2-го приску А</t>
  </si>
  <si>
    <t>T пари після 1-го приску Б</t>
  </si>
  <si>
    <t>T пари після 2-го приску Б</t>
  </si>
  <si>
    <t>T тіла барабану п.5А 1</t>
  </si>
  <si>
    <t xml:space="preserve">T пари після аварійного вприску А </t>
  </si>
  <si>
    <t xml:space="preserve">T пари після аварійного вприску Б </t>
  </si>
  <si>
    <t>T тіла барабану п.5А 2</t>
  </si>
  <si>
    <t>T тіла барабану п.5А 3</t>
  </si>
  <si>
    <t>T тіла барабану п.5А 4</t>
  </si>
  <si>
    <t>T тіла барабану п.5А 5</t>
  </si>
  <si>
    <t>T тіла барабану п.5А 6</t>
  </si>
  <si>
    <t>T тіла барабану п.5А 7</t>
  </si>
  <si>
    <t>T тіла барабану п.5А 8</t>
  </si>
  <si>
    <t>T тіла барабану п.5А 9</t>
  </si>
  <si>
    <t>T тіла барабану п.5А 10</t>
  </si>
  <si>
    <t>T тіла барабану п.5А 11</t>
  </si>
  <si>
    <t>T тіла барабану п.5А 12</t>
  </si>
  <si>
    <t>T тіла барабану п.5Б 1</t>
  </si>
  <si>
    <t>T тіла барабану п.5Б 2</t>
  </si>
  <si>
    <t>T тіла барабану п.5Б 3</t>
  </si>
  <si>
    <t>T тіла барабану п.5Б 4</t>
  </si>
  <si>
    <t>T тіла барабану п.5Б 5</t>
  </si>
  <si>
    <t>T тіла барабану п.5Б 6</t>
  </si>
  <si>
    <t>T тіла барабану п.5Б 7</t>
  </si>
  <si>
    <t>T тіла барабану п.5Б 8</t>
  </si>
  <si>
    <t>T тіла барабану п.5Б 9</t>
  </si>
  <si>
    <t>T тіла барабану п.5Б 10</t>
  </si>
  <si>
    <t>T тіла барабану п.5Б 11</t>
  </si>
  <si>
    <t>T тіла барабану п.5Б 12</t>
  </si>
  <si>
    <t>T мет після 1-го вприску (верх) А</t>
  </si>
  <si>
    <t>T мет після 1-го вприску (верх) Б</t>
  </si>
  <si>
    <t>T мет після 2-го вприску (верх) А</t>
  </si>
  <si>
    <t>T мет після 2-го вприску (верх) Б</t>
  </si>
  <si>
    <t>T за 2 ст. повітряпідігрівача Б</t>
  </si>
  <si>
    <t>T за 2 ст. повітряпідігрівача середина Б</t>
  </si>
  <si>
    <t>T за 2 ст. повітряпідігрівача середина А</t>
  </si>
  <si>
    <t>T за 2 ст. повітряпідігрівача А</t>
  </si>
  <si>
    <t>T за 1 ст. повітряпідігрівача Б</t>
  </si>
  <si>
    <t>T за 1 ст. повітряпідігрівача середина Б</t>
  </si>
  <si>
    <t>T за 1 ст. повітряпідігрівача середина А</t>
  </si>
  <si>
    <t>T за 1 ст. повітряпідігрівача А</t>
  </si>
  <si>
    <t>T металу паропровода до ГПП сторона-Б</t>
  </si>
  <si>
    <t>T металу паропровода до ГПП сторона-А</t>
  </si>
  <si>
    <t>T бабіту упорного підшипника нижньої колодки №6 сторони регулятора</t>
  </si>
  <si>
    <t xml:space="preserve">T масла на зливі з оп.підш. №1 </t>
  </si>
  <si>
    <t xml:space="preserve">T масла на зливі з оп.підш. №3 </t>
  </si>
  <si>
    <t xml:space="preserve">T масла на зливі з оп.підш. №4 </t>
  </si>
  <si>
    <t xml:space="preserve">T масла на зливі з оп.підш. №5 </t>
  </si>
  <si>
    <t xml:space="preserve">T масла на зливі з оп.підш. №6 </t>
  </si>
  <si>
    <t>T води води після МО- А турбіни</t>
  </si>
  <si>
    <t>T води води після МО-Б турбіни</t>
  </si>
  <si>
    <t>T води води після МО- В турбіни</t>
  </si>
  <si>
    <t>T масла після МО- А турбіни</t>
  </si>
  <si>
    <t>T масла після МО-Б турбіни</t>
  </si>
  <si>
    <t>T масла після МО- В турбіни</t>
  </si>
  <si>
    <t>T масла після МО генератора</t>
  </si>
  <si>
    <t>T масла до МО генератора</t>
  </si>
  <si>
    <t>T до повітропідігрівача середина Б</t>
  </si>
  <si>
    <t>T до повітропідігрівача середина А</t>
  </si>
  <si>
    <t>ТХА</t>
  </si>
  <si>
    <t>ТХК</t>
  </si>
  <si>
    <t>T підш.механізму ДС-А (стор. двигуна)</t>
  </si>
  <si>
    <t>T підш.механізму ДС-Б (стор. двигуна)</t>
  </si>
  <si>
    <t>T підш.механізму ДВ-А (стор. двигуна)</t>
  </si>
  <si>
    <t>БД Emerson</t>
  </si>
  <si>
    <t>7HHG10CG901YB02</t>
  </si>
  <si>
    <t>7HHG10CG901XB06</t>
  </si>
  <si>
    <t>7HHG10CG901XG02</t>
  </si>
  <si>
    <t>7HJF10CG901YB02</t>
  </si>
  <si>
    <t>7HJF10CG901XB06</t>
  </si>
  <si>
    <t>7HJF10CG901XG02</t>
  </si>
  <si>
    <t>7HJF10CG902YB02</t>
  </si>
  <si>
    <t>7HJF10CG902XB06</t>
  </si>
  <si>
    <t>7HJF10CG902XG02</t>
  </si>
  <si>
    <t>7LBY11AA601YB01</t>
  </si>
  <si>
    <t>7LBY11AA601YB02</t>
  </si>
  <si>
    <t>7LBY11AA601XB06</t>
  </si>
  <si>
    <t>7LBY11AA601XB01</t>
  </si>
  <si>
    <t>7LBY11AA601XB02</t>
  </si>
  <si>
    <t>7LBY12AA601YB01</t>
  </si>
  <si>
    <t>7LBY12AA601YB02</t>
  </si>
  <si>
    <t>7LBY12AA601XB06</t>
  </si>
  <si>
    <t>7LBY12AA601XB01</t>
  </si>
  <si>
    <t>7LBY12AA601XB02</t>
  </si>
  <si>
    <t>7LBY21AA601YB01</t>
  </si>
  <si>
    <t>7LBY21AA601YB02</t>
  </si>
  <si>
    <t>7LBY21AA601XB06</t>
  </si>
  <si>
    <t>7LBY21AA601XB01</t>
  </si>
  <si>
    <t>7LBY21AA601XB02</t>
  </si>
  <si>
    <t>7LBY22AA601YB01</t>
  </si>
  <si>
    <t>7LBY22AA601YB02</t>
  </si>
  <si>
    <t>7LBY22AA601XB06</t>
  </si>
  <si>
    <t>7LBY22AA601XB01</t>
  </si>
  <si>
    <t>7LBY22AA601XB02</t>
  </si>
  <si>
    <t>YB02</t>
  </si>
  <si>
    <t>XG02</t>
  </si>
  <si>
    <t>YB01</t>
  </si>
  <si>
    <t>XB01</t>
  </si>
  <si>
    <t>XB02</t>
  </si>
  <si>
    <t>XG01</t>
  </si>
  <si>
    <t>7LBQ80CG901YB01</t>
  </si>
  <si>
    <t>7LBQ80CG901YB02</t>
  </si>
  <si>
    <t>7LBQ80CG901XB06</t>
  </si>
  <si>
    <t>КІС зворотніх клапанів турбіни ЗК №№1-7</t>
  </si>
  <si>
    <t>КІС зворотніх клапанів турбіни ЗК №№1-8</t>
  </si>
  <si>
    <t>КІС зворотніх клапанів турбіни ЗК №№1-9</t>
  </si>
  <si>
    <t>КІС зворотніх клапанів турбіни ЗК №№1-10</t>
  </si>
  <si>
    <t>КІС зворотніх клапанів турбіни ЗК №№1-11</t>
  </si>
  <si>
    <t>КІС зворотніх клапанів турбіни ЗК №№1-12</t>
  </si>
  <si>
    <t>КІС зворотніх клапанів турбіни ЗК №№1-13</t>
  </si>
  <si>
    <t>КІС зворотніх клапанів турбіни ЗК №№1-14</t>
  </si>
  <si>
    <t>7MAA01CG901YB01</t>
  </si>
  <si>
    <t>7MAA01CG901YB02</t>
  </si>
  <si>
    <t>7MAA01CG901XB06</t>
  </si>
  <si>
    <t>7MAA01CG902YB01</t>
  </si>
  <si>
    <t>7MAA01CG902YB02</t>
  </si>
  <si>
    <t>7MAA01CG902XB06</t>
  </si>
  <si>
    <t>7MAA01CG902XG01</t>
  </si>
  <si>
    <t>7MAA01CG902XG02</t>
  </si>
  <si>
    <t>7MAB01CG902XG01</t>
  </si>
  <si>
    <t>7MAB01CG902XG02</t>
  </si>
  <si>
    <t>7MAB02CG902XG01</t>
  </si>
  <si>
    <t>7MAB02CG902XG02</t>
  </si>
  <si>
    <t>7MAY01CG901XG02</t>
  </si>
  <si>
    <t>7MAY01CG902XG02</t>
  </si>
  <si>
    <t>Закінчення KKS</t>
  </si>
  <si>
    <t>7ANK01GH001XB06</t>
  </si>
  <si>
    <t>7ANK01GH002XB06</t>
  </si>
  <si>
    <t>7ANK01GH003XB06</t>
  </si>
  <si>
    <t>7ANK01GH004XB06</t>
  </si>
  <si>
    <t>7ANK01GH005XB06</t>
  </si>
  <si>
    <t>Закінчення KKS сигналу</t>
  </si>
  <si>
    <t>XQ01</t>
  </si>
  <si>
    <t>XB51</t>
  </si>
  <si>
    <t>XB52</t>
  </si>
  <si>
    <t>XB07</t>
  </si>
  <si>
    <t>XB53</t>
  </si>
  <si>
    <t>XB10</t>
  </si>
  <si>
    <t>YB03</t>
  </si>
  <si>
    <t>XB47</t>
  </si>
  <si>
    <t>7HNC10AA001XQ01</t>
  </si>
  <si>
    <t>7HNC10AA001XB51</t>
  </si>
  <si>
    <t>7HNC10AA001XB52</t>
  </si>
  <si>
    <t>7HNC10AA001XB06</t>
  </si>
  <si>
    <t>7HNC10AA001XB07</t>
  </si>
  <si>
    <t>7HNC10AA001XB53</t>
  </si>
  <si>
    <t>7HNC10AA001YB01</t>
  </si>
  <si>
    <t>7HNC10AA001YB02</t>
  </si>
  <si>
    <t>7HNC20AA001XQ01</t>
  </si>
  <si>
    <t>7HNC20AA001XB51</t>
  </si>
  <si>
    <t>7HNC20AA001XB52</t>
  </si>
  <si>
    <t>7HNC20AA001XB06</t>
  </si>
  <si>
    <t>7HNC20AA001XB07</t>
  </si>
  <si>
    <t>7HNC20AA001XB53</t>
  </si>
  <si>
    <t>7HNC20AA001YB01</t>
  </si>
  <si>
    <t>7HNC20AA001YB02</t>
  </si>
  <si>
    <t>7HLB10AA001XQ01</t>
  </si>
  <si>
    <t>7HLB10AA001XB51</t>
  </si>
  <si>
    <t>7HLB10AA001XB52</t>
  </si>
  <si>
    <t>7HLB10AA001XB06</t>
  </si>
  <si>
    <t>7HLB10AA001XB07</t>
  </si>
  <si>
    <t>7HLB10AA001XB53</t>
  </si>
  <si>
    <t>7HLB10AA001YB01</t>
  </si>
  <si>
    <t>7HLB10AA001YB02</t>
  </si>
  <si>
    <t>7HLB20AA001XQ01</t>
  </si>
  <si>
    <t>7HLB20AA001XB51</t>
  </si>
  <si>
    <t>7HLB20AA001XB52</t>
  </si>
  <si>
    <t>7HLB20AA001XB06</t>
  </si>
  <si>
    <t>7HLB20AA001XB07</t>
  </si>
  <si>
    <t>7HLB20AA001XB53</t>
  </si>
  <si>
    <t>7HLB20AA001YB01</t>
  </si>
  <si>
    <t>7HLB20AA001YB02</t>
  </si>
  <si>
    <t>7LAE00AA101XB51</t>
  </si>
  <si>
    <t>7LAE00AA101XB52</t>
  </si>
  <si>
    <t>7LAE00AA101XB10</t>
  </si>
  <si>
    <t>7LAE00AA101XB06</t>
  </si>
  <si>
    <t>7LAE00AA101YB01</t>
  </si>
  <si>
    <t>7LAE00AA101YB02</t>
  </si>
  <si>
    <t>7LAE10AA101XB51</t>
  </si>
  <si>
    <t>7LAE10AA101XB52</t>
  </si>
  <si>
    <t>7LAE10AA101XB10</t>
  </si>
  <si>
    <t>7LAE10AA101XB06</t>
  </si>
  <si>
    <t>7LAE10AA101YB01</t>
  </si>
  <si>
    <t>7LAE10AA101YB02</t>
  </si>
  <si>
    <t>7LAF10AA101XB51</t>
  </si>
  <si>
    <t>7LAF10AA101XB52</t>
  </si>
  <si>
    <t>7LAF10AA101XB10</t>
  </si>
  <si>
    <t>7LAF10AA101XB06</t>
  </si>
  <si>
    <t>7LAF10AA101YB01</t>
  </si>
  <si>
    <t>7LAF10AA101YB02</t>
  </si>
  <si>
    <t>7LAE11AA102XB51</t>
  </si>
  <si>
    <t>7LAE11AA102XB52</t>
  </si>
  <si>
    <t>7LAE11AA102XB10</t>
  </si>
  <si>
    <t>7LAE11AA102XB06</t>
  </si>
  <si>
    <t>7LAE11AA102YB01</t>
  </si>
  <si>
    <t>7LAE11AA102YB02</t>
  </si>
  <si>
    <t>7LAE13AA101XB51</t>
  </si>
  <si>
    <t>7LAE13AA101XB52</t>
  </si>
  <si>
    <t>7LAE13AA101XB10</t>
  </si>
  <si>
    <t>7LAE13AA101XB06</t>
  </si>
  <si>
    <t>7LAE13AA101YB01</t>
  </si>
  <si>
    <t>7LAE13AA101YB02</t>
  </si>
  <si>
    <t>7LAE14AA101XB51</t>
  </si>
  <si>
    <t>7LAE14AA101XB52</t>
  </si>
  <si>
    <t>7LAE14AA101XB10</t>
  </si>
  <si>
    <t>7LAE14AA101XB06</t>
  </si>
  <si>
    <t>7LAE14AA101YB01</t>
  </si>
  <si>
    <t>7LAE14AA101YB02</t>
  </si>
  <si>
    <t>7LAE13AA102XB51</t>
  </si>
  <si>
    <t>7LAE13AA102XB52</t>
  </si>
  <si>
    <t>7LAE13AA102XB10</t>
  </si>
  <si>
    <t>7LAE13AA102XB06</t>
  </si>
  <si>
    <t>7LAE13AA102YB01</t>
  </si>
  <si>
    <t>7LAE13AA102YB02</t>
  </si>
  <si>
    <t>7LAE14AA102XB51</t>
  </si>
  <si>
    <t>7LAE14AA102XB52</t>
  </si>
  <si>
    <t>7LAE14AA102XB10</t>
  </si>
  <si>
    <t>7LAE14AA102XB06</t>
  </si>
  <si>
    <t>7LAE14AA102YB01</t>
  </si>
  <si>
    <t>7LAE14AA102YB02</t>
  </si>
  <si>
    <t>7LAE11AA101XB51</t>
  </si>
  <si>
    <t>7LAE11AA101XB52</t>
  </si>
  <si>
    <t>7LAE11AA101XB10</t>
  </si>
  <si>
    <t>7LAE11AA101XB06</t>
  </si>
  <si>
    <t>7LAE11AA101YB01</t>
  </si>
  <si>
    <t>7LAE11AA101YB02</t>
  </si>
  <si>
    <t>7LAE12AA101XB51</t>
  </si>
  <si>
    <t>7LAE12AA101XB52</t>
  </si>
  <si>
    <t>7LAE12AA101XB10</t>
  </si>
  <si>
    <t>7LAE12AA101XB06</t>
  </si>
  <si>
    <t>7LAE12AA101YB01</t>
  </si>
  <si>
    <t>7LAE12AA101YB02</t>
  </si>
  <si>
    <t>7LAE12AA102XB51</t>
  </si>
  <si>
    <t>7LAE12AA102XB52</t>
  </si>
  <si>
    <t>7LAE12AA102XB10</t>
  </si>
  <si>
    <t>7LAE12AA102XB06</t>
  </si>
  <si>
    <t>7LAE12AA102YB01</t>
  </si>
  <si>
    <t>7LAE12AA102YB02</t>
  </si>
  <si>
    <t>7LAF11AA101XB51</t>
  </si>
  <si>
    <t>7LAF11AA101XB52</t>
  </si>
  <si>
    <t>7LAF11AA101XB10</t>
  </si>
  <si>
    <t>7LAF11AA101XB06</t>
  </si>
  <si>
    <t>7LAF11AA101YB01</t>
  </si>
  <si>
    <t>7LAF11AA101YB02</t>
  </si>
  <si>
    <t>7LAF12AA101XB51</t>
  </si>
  <si>
    <t>7LAF12AA101XB52</t>
  </si>
  <si>
    <t>7LAF12AA101XB10</t>
  </si>
  <si>
    <t>7LAF12AA101XB06</t>
  </si>
  <si>
    <t>7LAF12AA101YB01</t>
  </si>
  <si>
    <t>7LAF12AA101YB02</t>
  </si>
  <si>
    <t>7LAF11AA102XB51</t>
  </si>
  <si>
    <t>7LAF11AA102XB52</t>
  </si>
  <si>
    <t>7LAF11AA102XB10</t>
  </si>
  <si>
    <t>7LAF11AA102XB06</t>
  </si>
  <si>
    <t>7LAF11AA102YB01</t>
  </si>
  <si>
    <t>7LAF11AA102YB02</t>
  </si>
  <si>
    <t>7LAF12AA102XB51</t>
  </si>
  <si>
    <t>7LAF12AA102XB52</t>
  </si>
  <si>
    <t>7LAF12AA102XB10</t>
  </si>
  <si>
    <t>7LAF12AA102XB06</t>
  </si>
  <si>
    <t>7LAF12AA102YB01</t>
  </si>
  <si>
    <t>7LAF12AA102YB02</t>
  </si>
  <si>
    <t>7SGA11AA101XB51</t>
  </si>
  <si>
    <t>7SGA11AA101XB52</t>
  </si>
  <si>
    <t>7SGA11AA101XB10</t>
  </si>
  <si>
    <t>7SGA11AA101XB06</t>
  </si>
  <si>
    <t>7SGA11AA101YB01</t>
  </si>
  <si>
    <t>7SGA11AA101YB02</t>
  </si>
  <si>
    <t>7SGA12AA101XB51</t>
  </si>
  <si>
    <t>7SGA12AA101XB52</t>
  </si>
  <si>
    <t>7SGA12AA101XB10</t>
  </si>
  <si>
    <t>7SGA12AA101XB06</t>
  </si>
  <si>
    <t>7SGA12AA101YB01</t>
  </si>
  <si>
    <t>7SGA12AA101YB02</t>
  </si>
  <si>
    <t>7SGA13AA101XB51</t>
  </si>
  <si>
    <t>7SGA13AA101XB52</t>
  </si>
  <si>
    <t>7SGA13AA101XB10</t>
  </si>
  <si>
    <t>7SGA13AA101XB06</t>
  </si>
  <si>
    <t>7SGA13AA101YB01</t>
  </si>
  <si>
    <t>7SGA13AA101YB02</t>
  </si>
  <si>
    <t>7SGA14AA101XB51</t>
  </si>
  <si>
    <t>7SGA14AA101XB52</t>
  </si>
  <si>
    <t>7SGA14AA101XB10</t>
  </si>
  <si>
    <t>7SGA14AA101XB06</t>
  </si>
  <si>
    <t>7SGA14AA101YB01</t>
  </si>
  <si>
    <t>7SGA14AA101YB02</t>
  </si>
  <si>
    <t>7SGA15AA101XB51</t>
  </si>
  <si>
    <t>7SGA15AA101XB52</t>
  </si>
  <si>
    <t>7SGA15AA101XB10</t>
  </si>
  <si>
    <t>7SGA15AA101XB06</t>
  </si>
  <si>
    <t>7SGA15AA101YB01</t>
  </si>
  <si>
    <t>7SGA15AA101YB02</t>
  </si>
  <si>
    <t>7SGA16AA101XB51</t>
  </si>
  <si>
    <t>7SGA16AA101XB52</t>
  </si>
  <si>
    <t>7SGA16AA101XB10</t>
  </si>
  <si>
    <t>7SGA16AA101XB06</t>
  </si>
  <si>
    <t>7SGA16AA101YB01</t>
  </si>
  <si>
    <t>7SGA16AA101YB02</t>
  </si>
  <si>
    <t>7HAD10AA101XB51</t>
  </si>
  <si>
    <t>7HAD10AA101XB52</t>
  </si>
  <si>
    <t>7HAD10AA101XB10</t>
  </si>
  <si>
    <t>7HAD10AA101XB06</t>
  </si>
  <si>
    <t>7HAD10AA101YB01</t>
  </si>
  <si>
    <t>7HAD10AA101YB02</t>
  </si>
  <si>
    <t>7HAD10AA102XB51</t>
  </si>
  <si>
    <t>7HAD10AA102XB52</t>
  </si>
  <si>
    <t>7HAD10AA102XB10</t>
  </si>
  <si>
    <t>7HAD10AA102XB06</t>
  </si>
  <si>
    <t>7HAD10AA102YB01</t>
  </si>
  <si>
    <t>7HAD10AA102YB02</t>
  </si>
  <si>
    <t>7HJF10AA101XB51</t>
  </si>
  <si>
    <t>7HJF10AA101XB52</t>
  </si>
  <si>
    <t>7HJF10AA101XB10</t>
  </si>
  <si>
    <t>7HJF10AA101XB06</t>
  </si>
  <si>
    <t>7HJF10AA101YB01</t>
  </si>
  <si>
    <t>7HJF10AA101YB02</t>
  </si>
  <si>
    <t>7HJF10AA103XB51</t>
  </si>
  <si>
    <t>7HJF10AA103XB52</t>
  </si>
  <si>
    <t>7HJF10AA103XB10</t>
  </si>
  <si>
    <t>7HJF10AA103XB06</t>
  </si>
  <si>
    <t>7HJF10AA103YB01</t>
  </si>
  <si>
    <t>7HJF10AA103YB02</t>
  </si>
  <si>
    <t>7LCP30AA101XB51</t>
  </si>
  <si>
    <t>7LCP30AA101XB52</t>
  </si>
  <si>
    <t>7LCP30AA101XB10</t>
  </si>
  <si>
    <t>7LCP30AA101XB06</t>
  </si>
  <si>
    <t>7LCP30AA101YB01</t>
  </si>
  <si>
    <t>7LCP30AA101YB02</t>
  </si>
  <si>
    <t>7SGA00AA101XB51</t>
  </si>
  <si>
    <t>7SGA00AA101XB52</t>
  </si>
  <si>
    <t>7SGA00AA101XB10</t>
  </si>
  <si>
    <t>7SGA00AA101XB06</t>
  </si>
  <si>
    <t>7SGA00AA101YB01</t>
  </si>
  <si>
    <t>7SGA00AA101YB02</t>
  </si>
  <si>
    <t>7SGA07AA101XB51</t>
  </si>
  <si>
    <t>7SGA07AA101XB52</t>
  </si>
  <si>
    <t>7SGA07AA101XB10</t>
  </si>
  <si>
    <t>7SGA07AA101XB06</t>
  </si>
  <si>
    <t>7SGA07AA101YB01</t>
  </si>
  <si>
    <t>7SGA07AA101YB02</t>
  </si>
  <si>
    <t>7SGA08AA101XB51</t>
  </si>
  <si>
    <t>7SGA08AA101XB52</t>
  </si>
  <si>
    <t>7SGA08AA101XB10</t>
  </si>
  <si>
    <t>7SGA08AA101XB06</t>
  </si>
  <si>
    <t>7SGA08AA101YB01</t>
  </si>
  <si>
    <t>7SGA08AA101YB02</t>
  </si>
  <si>
    <t>7LAB11AA102XB51</t>
  </si>
  <si>
    <t>7LAB11AA102XB52</t>
  </si>
  <si>
    <t>7LAB11AA102XB10</t>
  </si>
  <si>
    <t>7LAB11AA102XB06</t>
  </si>
  <si>
    <t>7LAB11AA102YB01</t>
  </si>
  <si>
    <t>7LAB11AA102YB02</t>
  </si>
  <si>
    <t>7LAB12AA102XB51</t>
  </si>
  <si>
    <t>7LAB12AA102XB52</t>
  </si>
  <si>
    <t>7LAB12AA102XB10</t>
  </si>
  <si>
    <t>7LAB12AA102XB06</t>
  </si>
  <si>
    <t>7LAB12AA102YB01</t>
  </si>
  <si>
    <t>7LAB12AA102YB02</t>
  </si>
  <si>
    <t>7LAB11AA101XB51</t>
  </si>
  <si>
    <t>7LAB11AA101XB52</t>
  </si>
  <si>
    <t>7LAB11AA101XB10</t>
  </si>
  <si>
    <t>7LAB11AA101XB06</t>
  </si>
  <si>
    <t>7LAB11AA101YB01</t>
  </si>
  <si>
    <t>7LAB11AA101YB02</t>
  </si>
  <si>
    <t>7LAB12AA101XB51</t>
  </si>
  <si>
    <t>7LAB12AA101XB52</t>
  </si>
  <si>
    <t>7LAB12AA101XB10</t>
  </si>
  <si>
    <t>7LAB12AA101XB06</t>
  </si>
  <si>
    <t>7LAB12AA101YB01</t>
  </si>
  <si>
    <t>7LAB12AA101YB02</t>
  </si>
  <si>
    <t>7LAB13AA101XB51</t>
  </si>
  <si>
    <t>7LAB13AA101XB52</t>
  </si>
  <si>
    <t>7LAB13AA101XB10</t>
  </si>
  <si>
    <t>7LAB13AA101XB06</t>
  </si>
  <si>
    <t>7LAB13AA101YB01</t>
  </si>
  <si>
    <t>7LAB13AA101YB02</t>
  </si>
  <si>
    <t>7LBG12AA101XB51</t>
  </si>
  <si>
    <t>7LBG12AA101XB52</t>
  </si>
  <si>
    <t>7LBG12AA101XB10</t>
  </si>
  <si>
    <t>7LBG12AA101XB06</t>
  </si>
  <si>
    <t>7LBG12AA101YB01</t>
  </si>
  <si>
    <t>7LBG12AA101YB02</t>
  </si>
  <si>
    <t>7LAB14AA101XB51</t>
  </si>
  <si>
    <t>7LAB14AA101XB52</t>
  </si>
  <si>
    <t>7LAB14AA101XB10</t>
  </si>
  <si>
    <t>7LAB14AA101XB06</t>
  </si>
  <si>
    <t>7LAB14AA101YB01</t>
  </si>
  <si>
    <t>7LAB14AA101YB02</t>
  </si>
  <si>
    <t>7LCQ10AA101XB51</t>
  </si>
  <si>
    <t>7LCQ10AA101XB52</t>
  </si>
  <si>
    <t>7LCQ10AA101XB10</t>
  </si>
  <si>
    <t>7LCQ10AA101XB06</t>
  </si>
  <si>
    <t>7LCQ10AA101YB01</t>
  </si>
  <si>
    <t>7LCQ10AA101YB02</t>
  </si>
  <si>
    <t>7LBA00AA101XB51</t>
  </si>
  <si>
    <t>7LBA00AA101XB52</t>
  </si>
  <si>
    <t>7LBA00AA101XB10</t>
  </si>
  <si>
    <t>7LBA00AA101XB06</t>
  </si>
  <si>
    <t>7LBA00AA101YB01</t>
  </si>
  <si>
    <t>7LBA00AA101YB02</t>
  </si>
  <si>
    <t>7LBA00AA102XB51</t>
  </si>
  <si>
    <t>7LBA00AA102XB52</t>
  </si>
  <si>
    <t>7LBA00AA102XB10</t>
  </si>
  <si>
    <t>7LBA00AA102XB06</t>
  </si>
  <si>
    <t>7LBA00AA102YB01</t>
  </si>
  <si>
    <t>7LBA00AA102YB02</t>
  </si>
  <si>
    <t>7LAB20AA101XB51</t>
  </si>
  <si>
    <t>7LAB20AA101XB52</t>
  </si>
  <si>
    <t>7LAB20AA101XB10</t>
  </si>
  <si>
    <t>7LAB20AA101XB06</t>
  </si>
  <si>
    <t>7LAB20AA101YB01</t>
  </si>
  <si>
    <t>7LAB20AA101YB02</t>
  </si>
  <si>
    <t>7LBC10AA103XB51</t>
  </si>
  <si>
    <t>7LBC10AA103XB52</t>
  </si>
  <si>
    <t>7LBC10AA103XB10</t>
  </si>
  <si>
    <t>7LBC10AA103XB06</t>
  </si>
  <si>
    <t>7LBC10AA103YB01</t>
  </si>
  <si>
    <t>7LBC10AA103YB02</t>
  </si>
  <si>
    <t>7LAF11AA001XQ01</t>
  </si>
  <si>
    <t>7LAF11AA001XB51</t>
  </si>
  <si>
    <t>7LAF11AA001XB52</t>
  </si>
  <si>
    <t>7LAF11AA001XB06</t>
  </si>
  <si>
    <t>7LAF11AA001YB01</t>
  </si>
  <si>
    <t>7LAF11AA001YB02</t>
  </si>
  <si>
    <t>7LAF12AA001XQ01</t>
  </si>
  <si>
    <t>7LAF12AA001XB51</t>
  </si>
  <si>
    <t>7LAF12AA001XB52</t>
  </si>
  <si>
    <t>7LAF12AA001XB06</t>
  </si>
  <si>
    <t>7LAF12AA001YB01</t>
  </si>
  <si>
    <t>7LAF12AA001YB02</t>
  </si>
  <si>
    <t>7LAB14AA001XQ01</t>
  </si>
  <si>
    <t>7LAB14AA001XB51</t>
  </si>
  <si>
    <t>7LAB14AA001XB52</t>
  </si>
  <si>
    <t>7LAB14AA001XB06</t>
  </si>
  <si>
    <t>7LAB14AA001YB01</t>
  </si>
  <si>
    <t>7LAB14AA001YB02</t>
  </si>
  <si>
    <t>7LAB13AA001XQ01</t>
  </si>
  <si>
    <t>7LAB13AA001XB51</t>
  </si>
  <si>
    <t>7LAB13AA001XB52</t>
  </si>
  <si>
    <t>7LAB13AA001XB06</t>
  </si>
  <si>
    <t>7LAB13AA001YB01</t>
  </si>
  <si>
    <t>7LAB13AA001YB02</t>
  </si>
  <si>
    <t>7LAB11AA001XQ01</t>
  </si>
  <si>
    <t>7LAB11AA001XB51</t>
  </si>
  <si>
    <t>7LAB11AA001XB52</t>
  </si>
  <si>
    <t>7LAB11AA001XB06</t>
  </si>
  <si>
    <t>7LAB11AA001YB01</t>
  </si>
  <si>
    <t>7LAB11AA001YB02</t>
  </si>
  <si>
    <t>7LAB12AA001XQ01</t>
  </si>
  <si>
    <t>7LAB12AA001XB51</t>
  </si>
  <si>
    <t>7LAB12AA001XB52</t>
  </si>
  <si>
    <t>7LAB12AA001XB06</t>
  </si>
  <si>
    <t>7LAB12AA001YB01</t>
  </si>
  <si>
    <t>7LAB12AA001YB02</t>
  </si>
  <si>
    <t>7LCQ10AA001XQ01</t>
  </si>
  <si>
    <t>7LCQ10AA001XB51</t>
  </si>
  <si>
    <t>7LCQ10AA001XB52</t>
  </si>
  <si>
    <t>7LCQ10AA001XB06</t>
  </si>
  <si>
    <t>7LCQ10AA001XB07</t>
  </si>
  <si>
    <t>7LCQ10AA001XB53</t>
  </si>
  <si>
    <t>7LCQ10AA001YB01</t>
  </si>
  <si>
    <t>7LCQ10AA001YB02</t>
  </si>
  <si>
    <t>7HFE11AA003XQ01</t>
  </si>
  <si>
    <t>7HFE11AA003XB51</t>
  </si>
  <si>
    <t>7HFE11AA003XB52</t>
  </si>
  <si>
    <t>7HFE11AA003XB06</t>
  </si>
  <si>
    <t>7HFE11AA003YB01</t>
  </si>
  <si>
    <t>7HFE11AA003YB02</t>
  </si>
  <si>
    <t>7HFE12AA003XQ01</t>
  </si>
  <si>
    <t>7HFE12AA003XB51</t>
  </si>
  <si>
    <t>7HFE12AA003XB52</t>
  </si>
  <si>
    <t>7HFE12AA003XB06</t>
  </si>
  <si>
    <t>7HFE12AA003YB01</t>
  </si>
  <si>
    <t>7HFE12AA003YB02</t>
  </si>
  <si>
    <t>7HFE13AA003XQ01</t>
  </si>
  <si>
    <t>7HFE13AA003XB51</t>
  </si>
  <si>
    <t>7HFE13AA003XB52</t>
  </si>
  <si>
    <t>7HFE13AA003XB06</t>
  </si>
  <si>
    <t>7HFE13AA003YB01</t>
  </si>
  <si>
    <t>7HFE13AA003YB02</t>
  </si>
  <si>
    <t>7HFE14AA003XQ01</t>
  </si>
  <si>
    <t>7HFE14AA003XB51</t>
  </si>
  <si>
    <t>7HFE14AA003XB52</t>
  </si>
  <si>
    <t>7HFE14AA003XB06</t>
  </si>
  <si>
    <t>7HFE14AA003YB01</t>
  </si>
  <si>
    <t>7HFE14AA003YB02</t>
  </si>
  <si>
    <t>7HFE15AA003XQ01</t>
  </si>
  <si>
    <t>7HFE15AA003XB51</t>
  </si>
  <si>
    <t>7HFE15AA003XB52</t>
  </si>
  <si>
    <t>7HFE15AA003XB06</t>
  </si>
  <si>
    <t>7HFE15AA003YB01</t>
  </si>
  <si>
    <t>7HFE15AA003YB02</t>
  </si>
  <si>
    <t>7HFE16AA003XQ01</t>
  </si>
  <si>
    <t>7HFE16AA003XB51</t>
  </si>
  <si>
    <t>7HFE16AA003XB52</t>
  </si>
  <si>
    <t>7HFE16AA003XB06</t>
  </si>
  <si>
    <t>7HFE16AA003YB01</t>
  </si>
  <si>
    <t>7HFE16AA003YB02</t>
  </si>
  <si>
    <t>7HFE21AA001XQ01</t>
  </si>
  <si>
    <t>7HFE21AA001XB51</t>
  </si>
  <si>
    <t>7HFE21AA001XB52</t>
  </si>
  <si>
    <t>7HFE21AA001XB06</t>
  </si>
  <si>
    <t>7HFE21AA001YB01</t>
  </si>
  <si>
    <t>7HFE21AA001YB02</t>
  </si>
  <si>
    <t>7HFE22AA001XQ01</t>
  </si>
  <si>
    <t>7HFE22AA001XB51</t>
  </si>
  <si>
    <t>7HFE22AA001XB52</t>
  </si>
  <si>
    <t>7HFE22AA001XB06</t>
  </si>
  <si>
    <t>7HFE22AA001YB01</t>
  </si>
  <si>
    <t>7HFE22AA001YB02</t>
  </si>
  <si>
    <t>7HFE23AA001XQ01</t>
  </si>
  <si>
    <t>7HFE23AA001XB51</t>
  </si>
  <si>
    <t>7HFE23AA001XB52</t>
  </si>
  <si>
    <t>7HFE23AA001XB06</t>
  </si>
  <si>
    <t>7HFE23AA001YB01</t>
  </si>
  <si>
    <t>7HFE23AA001YB02</t>
  </si>
  <si>
    <t>7HFE24AA001XQ01</t>
  </si>
  <si>
    <t>7HFE24AA001XB51</t>
  </si>
  <si>
    <t>7HFE24AA001XB52</t>
  </si>
  <si>
    <t>7HFE24AA001XB06</t>
  </si>
  <si>
    <t>7HFE24AA001YB01</t>
  </si>
  <si>
    <t>7HFE24AA001YB02</t>
  </si>
  <si>
    <t>7HFE25AA001XQ01</t>
  </si>
  <si>
    <t>7HFE25AA001XB51</t>
  </si>
  <si>
    <t>7HFE25AA001XB52</t>
  </si>
  <si>
    <t>7HFE25AA001XB06</t>
  </si>
  <si>
    <t>7HFE25AA001YB01</t>
  </si>
  <si>
    <t>7HFE25AA001YB02</t>
  </si>
  <si>
    <t>7HFE26AA001XQ01</t>
  </si>
  <si>
    <t>7HFE26AA001XB51</t>
  </si>
  <si>
    <t>7HFE26AA001XB52</t>
  </si>
  <si>
    <t>7HFE26AA001XB06</t>
  </si>
  <si>
    <t>7HFE26AA001YB01</t>
  </si>
  <si>
    <t>7HFE26AA001YB02</t>
  </si>
  <si>
    <t>7HFE21AA002XQ01</t>
  </si>
  <si>
    <t>7HFE21AA002XB51</t>
  </si>
  <si>
    <t>7HFE21AA002XB52</t>
  </si>
  <si>
    <t>7HFE21AA002XB06</t>
  </si>
  <si>
    <t>7HFE21AA002YB01</t>
  </si>
  <si>
    <t>7HFE21AA002YB02</t>
  </si>
  <si>
    <t>7HFE22AA002XQ01</t>
  </si>
  <si>
    <t>7HFE22AA002XB51</t>
  </si>
  <si>
    <t>7HFE22AA002XB52</t>
  </si>
  <si>
    <t>7HFE22AA002XB06</t>
  </si>
  <si>
    <t>7HFE22AA002YB01</t>
  </si>
  <si>
    <t>7HFE22AA002YB02</t>
  </si>
  <si>
    <t>7LAE10AA001XQ01</t>
  </si>
  <si>
    <t>7LAE10AA001XB51</t>
  </si>
  <si>
    <t>7LAE10AA001XB52</t>
  </si>
  <si>
    <t>7LAE10AA001XB06</t>
  </si>
  <si>
    <t>7LAE10AA001YB01</t>
  </si>
  <si>
    <t>7LAE10AA001YB02</t>
  </si>
  <si>
    <t>7LAE20AA001XQ01</t>
  </si>
  <si>
    <t>7LAE20AA001XB51</t>
  </si>
  <si>
    <t>7LAE20AA001XB52</t>
  </si>
  <si>
    <t>7LAE20AA001XB06</t>
  </si>
  <si>
    <t>7LAE20AA001YB01</t>
  </si>
  <si>
    <t>7LAE20AA001YB02</t>
  </si>
  <si>
    <t>7LAE10AA002XQ01</t>
  </si>
  <si>
    <t>7LAE10AA002XB51</t>
  </si>
  <si>
    <t>7LAE10AA002XB52</t>
  </si>
  <si>
    <t>7LAE10AA002XB06</t>
  </si>
  <si>
    <t>7LAE10AA002YB01</t>
  </si>
  <si>
    <t>7LAE10AA002YB02</t>
  </si>
  <si>
    <t>7LAE20AA002XQ01</t>
  </si>
  <si>
    <t>7LAE20AA002XB51</t>
  </si>
  <si>
    <t>7LAE20AA002XB52</t>
  </si>
  <si>
    <t>7LAE20AA002XB06</t>
  </si>
  <si>
    <t>7LAE20AA002YB01</t>
  </si>
  <si>
    <t>7LAE20AA002YB02</t>
  </si>
  <si>
    <t>7HNC11AA001XQ01</t>
  </si>
  <si>
    <t>7HNC11AA001XB51</t>
  </si>
  <si>
    <t>7HNC11AA001XB52</t>
  </si>
  <si>
    <t>7HNC11AA001XB06</t>
  </si>
  <si>
    <t>7HNC11AA001XB07</t>
  </si>
  <si>
    <t>7HNC11AA001XB53</t>
  </si>
  <si>
    <t>7HNC11AA001YB01</t>
  </si>
  <si>
    <t>7HNC11AA001YB02</t>
  </si>
  <si>
    <t>7HNC21AA001XQ01</t>
  </si>
  <si>
    <t>7HNC21AA001XB51</t>
  </si>
  <si>
    <t>7HNC21AA001XB52</t>
  </si>
  <si>
    <t>7HNC21AA001XB06</t>
  </si>
  <si>
    <t>7HNC21AA001XB07</t>
  </si>
  <si>
    <t>7HNC21AA001XB53</t>
  </si>
  <si>
    <t>7HNC21AA001YB01</t>
  </si>
  <si>
    <t>7HNC21AA001YB02</t>
  </si>
  <si>
    <t>7HHG10AA001XQ01</t>
  </si>
  <si>
    <t>7HHG10AA001XB51</t>
  </si>
  <si>
    <t>7HHG10AA001XB52</t>
  </si>
  <si>
    <t>7HHG10AA001XB06</t>
  </si>
  <si>
    <t>7HHG10AA001XB07</t>
  </si>
  <si>
    <t>7HHG10AA001XB53</t>
  </si>
  <si>
    <t>7HHG10AA001YB01</t>
  </si>
  <si>
    <t>7HHG10AA001YB02</t>
  </si>
  <si>
    <t>7HFE11AA002XQ01</t>
  </si>
  <si>
    <t>7HFE11AA002XB51</t>
  </si>
  <si>
    <t>7HFE11AA002XB52</t>
  </si>
  <si>
    <t>7HFE11AA002XB06</t>
  </si>
  <si>
    <t>7HFE11AA002XB07</t>
  </si>
  <si>
    <t>7HFE11AA002XB53</t>
  </si>
  <si>
    <t>7HFE11AA002YB01</t>
  </si>
  <si>
    <t>7HFE11AA002YB02</t>
  </si>
  <si>
    <t>7HFE12AA002XQ01</t>
  </si>
  <si>
    <t>7HFE12AA002XB51</t>
  </si>
  <si>
    <t>7HFE12AA002XB52</t>
  </si>
  <si>
    <t>7HFE12AA002XB06</t>
  </si>
  <si>
    <t>7HFE12AA002XB07</t>
  </si>
  <si>
    <t>7HFE12AA002XB53</t>
  </si>
  <si>
    <t>7HFE12AA002YB01</t>
  </si>
  <si>
    <t>7HFE12AA002YB02</t>
  </si>
  <si>
    <t>7HFE13AA002XQ01</t>
  </si>
  <si>
    <t>7HFE13AA002XB51</t>
  </si>
  <si>
    <t>7HFE13AA002XB52</t>
  </si>
  <si>
    <t>7HFE13AA002XB06</t>
  </si>
  <si>
    <t>7HFE13AA002XB07</t>
  </si>
  <si>
    <t>7HFE13AA002XB53</t>
  </si>
  <si>
    <t>7HFE13AA002YB01</t>
  </si>
  <si>
    <t>7HFE13AA002YB02</t>
  </si>
  <si>
    <t>7HFE14AA002XQ01</t>
  </si>
  <si>
    <t>7HFE14AA002XB51</t>
  </si>
  <si>
    <t>7HFE14AA002XB52</t>
  </si>
  <si>
    <t>7HFE14AA002XB06</t>
  </si>
  <si>
    <t>7HFE14AA002XB07</t>
  </si>
  <si>
    <t>7HFE14AA002XB53</t>
  </si>
  <si>
    <t>7HFE14AA002YB01</t>
  </si>
  <si>
    <t>7HFE14AA002YB02</t>
  </si>
  <si>
    <t>7HFE15AA002XQ01</t>
  </si>
  <si>
    <t>7HFE15AA002XB51</t>
  </si>
  <si>
    <t>7HFE15AA002XB52</t>
  </si>
  <si>
    <t>7HFE15AA002XB06</t>
  </si>
  <si>
    <t>7HFE15AA002XB07</t>
  </si>
  <si>
    <t>7HFE15AA002XB53</t>
  </si>
  <si>
    <t>7HFE15AA002YB01</t>
  </si>
  <si>
    <t>7HFE15AA002YB02</t>
  </si>
  <si>
    <t>7HFE16AA002XQ01</t>
  </si>
  <si>
    <t>7HFE16AA002XB51</t>
  </si>
  <si>
    <t>7HFE16AA002XB52</t>
  </si>
  <si>
    <t>7HFE16AA002XB06</t>
  </si>
  <si>
    <t>7HFE16AA002XB07</t>
  </si>
  <si>
    <t>7HFE16AA002XB53</t>
  </si>
  <si>
    <t>7HFE16AA002YB01</t>
  </si>
  <si>
    <t>7HFE16AA002YB02</t>
  </si>
  <si>
    <t>7HFE23AA002XQ01</t>
  </si>
  <si>
    <t>7HFE23AA002XB51</t>
  </si>
  <si>
    <t>7HFE23AA002XB52</t>
  </si>
  <si>
    <t>7HFE23AA002XB06</t>
  </si>
  <si>
    <t>7HFE23AA002YB01</t>
  </si>
  <si>
    <t>7HFE23AA002YB02</t>
  </si>
  <si>
    <t>7HFE24AA002XQ01</t>
  </si>
  <si>
    <t>7HFE24AA002XB51</t>
  </si>
  <si>
    <t>7HFE24AA002XB52</t>
  </si>
  <si>
    <t>7HFE24AA002XB06</t>
  </si>
  <si>
    <t>7HFE24AA002YB01</t>
  </si>
  <si>
    <t>7HFE24AA002YB02</t>
  </si>
  <si>
    <t>7HFE11AA001XQ01</t>
  </si>
  <si>
    <t>7HFE11AA001XB51</t>
  </si>
  <si>
    <t>7HFE11AA001XB52</t>
  </si>
  <si>
    <t>7HFE11AA001XB06</t>
  </si>
  <si>
    <t>7HFE11AA001YB01</t>
  </si>
  <si>
    <t>7HFE11AA001YB02</t>
  </si>
  <si>
    <t>7HFE12AA001XQ01</t>
  </si>
  <si>
    <t>7HFE12AA001XB51</t>
  </si>
  <si>
    <t>7HFE12AA001XB52</t>
  </si>
  <si>
    <t>7HFE12AA001XB06</t>
  </si>
  <si>
    <t>7HFE12AA001YB01</t>
  </si>
  <si>
    <t>7HFE12AA001YB02</t>
  </si>
  <si>
    <t>7HFE13AA001XQ01</t>
  </si>
  <si>
    <t>7HFE13AA001XB51</t>
  </si>
  <si>
    <t>7HFE13AA001XB52</t>
  </si>
  <si>
    <t>7HFE13AA001XB06</t>
  </si>
  <si>
    <t>7HFE13AA001YB01</t>
  </si>
  <si>
    <t>7HFE13AA001YB02</t>
  </si>
  <si>
    <t>7HFE14AA001XQ01</t>
  </si>
  <si>
    <t>7HFE14AA001XB51</t>
  </si>
  <si>
    <t>7HFE14AA001XB52</t>
  </si>
  <si>
    <t>7HFE14AA001XB06</t>
  </si>
  <si>
    <t>7HFE14AA001YB01</t>
  </si>
  <si>
    <t>7HFE14AA001YB02</t>
  </si>
  <si>
    <t>7HFE15AA001XQ01</t>
  </si>
  <si>
    <t>7HFE15AA001XB51</t>
  </si>
  <si>
    <t>7HFE15AA001XB52</t>
  </si>
  <si>
    <t>7HFE15AA001XB06</t>
  </si>
  <si>
    <t>7HFE15AA001YB01</t>
  </si>
  <si>
    <t>7HFE15AA001YB02</t>
  </si>
  <si>
    <t>7HFE16AA001XQ01</t>
  </si>
  <si>
    <t>7HFE16AA001XB51</t>
  </si>
  <si>
    <t>7HFE16AA001XB52</t>
  </si>
  <si>
    <t>7HFE16AA001XB06</t>
  </si>
  <si>
    <t>7HFE16AA001YB01</t>
  </si>
  <si>
    <t>7HFE16AA001YB02</t>
  </si>
  <si>
    <t>7HFE25AA002XQ01</t>
  </si>
  <si>
    <t>7HFE25AA002XB51</t>
  </si>
  <si>
    <t>7HFE25AA002XB52</t>
  </si>
  <si>
    <t>7HFE25AA002XB06</t>
  </si>
  <si>
    <t>7HFE25AA002YB01</t>
  </si>
  <si>
    <t>7HFE25AA002YB02</t>
  </si>
  <si>
    <t>7HFE26AA002XQ01</t>
  </si>
  <si>
    <t>7HFE26AA002XB51</t>
  </si>
  <si>
    <t>7HFE26AA002XB52</t>
  </si>
  <si>
    <t>7HFE26AA002XB06</t>
  </si>
  <si>
    <t>7HFE26AA002YB01</t>
  </si>
  <si>
    <t>7HFE26AA002YB02</t>
  </si>
  <si>
    <t>7HFA11AA101XB02</t>
  </si>
  <si>
    <t>7HFA11AA101XB47</t>
  </si>
  <si>
    <t>7HFA11AA101YB01</t>
  </si>
  <si>
    <t>7HFA12AA101XB02</t>
  </si>
  <si>
    <t>7HFA12AA101XB47</t>
  </si>
  <si>
    <t>7HFA12AA101YB01</t>
  </si>
  <si>
    <t>7HFA13AA101XB02</t>
  </si>
  <si>
    <t>7HFA13AA101XB47</t>
  </si>
  <si>
    <t>7HFA13AA101YB01</t>
  </si>
  <si>
    <t>7HFA14AA101XB02</t>
  </si>
  <si>
    <t>7HFA14AA101XB47</t>
  </si>
  <si>
    <t>7HFA14AA101YB01</t>
  </si>
  <si>
    <t>7HFA15AA101XB02</t>
  </si>
  <si>
    <t>7HFA15AA101XB47</t>
  </si>
  <si>
    <t>7HFA15AA101YB01</t>
  </si>
  <si>
    <t>7HFA16AA101XB02</t>
  </si>
  <si>
    <t>7HFA16AA101XB47</t>
  </si>
  <si>
    <t>7HFA16AA101YB01</t>
  </si>
  <si>
    <t>7HHG10AA101XB51</t>
  </si>
  <si>
    <t>7HHG10AA101XB52</t>
  </si>
  <si>
    <t>7HHG10AA101XB10</t>
  </si>
  <si>
    <t>7HHG10AA101XB06</t>
  </si>
  <si>
    <t>7HHG10AA101YB01</t>
  </si>
  <si>
    <t>7HHG10AA101YB02</t>
  </si>
  <si>
    <t>7HHG21AA101XB51</t>
  </si>
  <si>
    <t>7HHG21AA101XB52</t>
  </si>
  <si>
    <t>7HHG21AA101XB10</t>
  </si>
  <si>
    <t>7HHG21AA101XB06</t>
  </si>
  <si>
    <t>7HHG21AA101YB01</t>
  </si>
  <si>
    <t>7HHG21AA101YB02</t>
  </si>
  <si>
    <t>7HHG22AA101XB51</t>
  </si>
  <si>
    <t>7HHG22AA101XB52</t>
  </si>
  <si>
    <t>7HHG22AA101XB10</t>
  </si>
  <si>
    <t>7HHG22AA101XB06</t>
  </si>
  <si>
    <t>7HHG22AA101YB01</t>
  </si>
  <si>
    <t>7HHG22AA101YB02</t>
  </si>
  <si>
    <t>7HHG23AA101XB51</t>
  </si>
  <si>
    <t>7HHG23AA101XB52</t>
  </si>
  <si>
    <t>7HHG23AA101XB10</t>
  </si>
  <si>
    <t>7HHG23AA101XB06</t>
  </si>
  <si>
    <t>7HHG23AA101YB01</t>
  </si>
  <si>
    <t>7HHG23AA101YB02</t>
  </si>
  <si>
    <t>7HHG24AA101XB51</t>
  </si>
  <si>
    <t>7HHG24AA101XB52</t>
  </si>
  <si>
    <t>7HHG24AA101XB10</t>
  </si>
  <si>
    <t>7HHG24AA101XB06</t>
  </si>
  <si>
    <t>7HHG24AA101YB01</t>
  </si>
  <si>
    <t>7HHG24AA101YB02</t>
  </si>
  <si>
    <t>7HHG25AA101XB51</t>
  </si>
  <si>
    <t>7HHG25AA101XB52</t>
  </si>
  <si>
    <t>7HHG25AA101XB10</t>
  </si>
  <si>
    <t>7HHG25AA101XB06</t>
  </si>
  <si>
    <t>7HHG25AA101YB01</t>
  </si>
  <si>
    <t>7HHG25AA101YB02</t>
  </si>
  <si>
    <t>7HHG26AA101XB51</t>
  </si>
  <si>
    <t>7HHG26AA101XB52</t>
  </si>
  <si>
    <t>7HHG26AA101XB10</t>
  </si>
  <si>
    <t>7HHG26AA101XB06</t>
  </si>
  <si>
    <t>7HHG26AA101YB01</t>
  </si>
  <si>
    <t>7HHG26AA101YB02</t>
  </si>
  <si>
    <t>7HHG27AA101XB51</t>
  </si>
  <si>
    <t>7HHG27AA101XB52</t>
  </si>
  <si>
    <t>7HHG27AA101XB10</t>
  </si>
  <si>
    <t>7HHG27AA101XB06</t>
  </si>
  <si>
    <t>7HHG27AA101YB01</t>
  </si>
  <si>
    <t>7HHG27AA101YB02</t>
  </si>
  <si>
    <t>7HHG28AA101XB51</t>
  </si>
  <si>
    <t>7HHG28AA101XB52</t>
  </si>
  <si>
    <t>7HHG28AA101XB10</t>
  </si>
  <si>
    <t>7HHG28AA101XB06</t>
  </si>
  <si>
    <t>7HHG28AA101YB01</t>
  </si>
  <si>
    <t>7HHG28AA101YB02</t>
  </si>
  <si>
    <t>7HHG21AA102XB51</t>
  </si>
  <si>
    <t>7HHG21AA102XB52</t>
  </si>
  <si>
    <t>7HHG21AA102XB10</t>
  </si>
  <si>
    <t>7HHG21AA102XB06</t>
  </si>
  <si>
    <t>7HHG21AA102YB01</t>
  </si>
  <si>
    <t>7HHG21AA102YB02</t>
  </si>
  <si>
    <t>7HHG22AA102XB51</t>
  </si>
  <si>
    <t>7HHG22AA102XB52</t>
  </si>
  <si>
    <t>7HHG22AA102XB10</t>
  </si>
  <si>
    <t>7HHG22AA102XB06</t>
  </si>
  <si>
    <t>7HHG22AA102YB01</t>
  </si>
  <si>
    <t>7HHG22AA102YB02</t>
  </si>
  <si>
    <t>7HHG23AA102XB51</t>
  </si>
  <si>
    <t>7HHG23AA102XB52</t>
  </si>
  <si>
    <t>7HHG23AA102XB10</t>
  </si>
  <si>
    <t>7HHG23AA102XB06</t>
  </si>
  <si>
    <t>7HHG23AA102YB01</t>
  </si>
  <si>
    <t>7HHG23AA102YB02</t>
  </si>
  <si>
    <t>7HHG24AA102XB51</t>
  </si>
  <si>
    <t>7HHG24AA102XB52</t>
  </si>
  <si>
    <t>7HHG24AA102XB10</t>
  </si>
  <si>
    <t>7HHG24AA102XB06</t>
  </si>
  <si>
    <t>7HHG24AA102YB01</t>
  </si>
  <si>
    <t>7HHG24AA102YB02</t>
  </si>
  <si>
    <t>7HHG25AA102XB51</t>
  </si>
  <si>
    <t>7HHG25AA102XB52</t>
  </si>
  <si>
    <t>7HHG25AA102XB10</t>
  </si>
  <si>
    <t>7HHG25AA102XB06</t>
  </si>
  <si>
    <t>7HHG25AA102YB01</t>
  </si>
  <si>
    <t>7HHG25AA102YB02</t>
  </si>
  <si>
    <t>7HHG26AA102XB51</t>
  </si>
  <si>
    <t>7HHG26AA102XB52</t>
  </si>
  <si>
    <t>7HHG26AA102XB10</t>
  </si>
  <si>
    <t>7HHG26AA102XB06</t>
  </si>
  <si>
    <t>7HHG26AA102YB01</t>
  </si>
  <si>
    <t>7HHG26AA102YB02</t>
  </si>
  <si>
    <t>7HHG27AA102XB51</t>
  </si>
  <si>
    <t>7HHG27AA102XB52</t>
  </si>
  <si>
    <t>7HHG27AA102XB10</t>
  </si>
  <si>
    <t>7HHG27AA102XB06</t>
  </si>
  <si>
    <t>7HHG27AA102YB01</t>
  </si>
  <si>
    <t>7HHG27AA102YB02</t>
  </si>
  <si>
    <t>7HHG28AA102XB51</t>
  </si>
  <si>
    <t>7HHG28AA102XB52</t>
  </si>
  <si>
    <t>7HHG28AA102XB10</t>
  </si>
  <si>
    <t>7HHG28AA102XB06</t>
  </si>
  <si>
    <t>7HHG28AA102YB01</t>
  </si>
  <si>
    <t>7HHG28AA102YB02</t>
  </si>
  <si>
    <t>7HCB01AA101XB51</t>
  </si>
  <si>
    <t>7HCB01AA101XB52</t>
  </si>
  <si>
    <t>7HCB01AA101XB06</t>
  </si>
  <si>
    <t>7HCB01AA101YB01</t>
  </si>
  <si>
    <t>7HCB01AA101YB02</t>
  </si>
  <si>
    <t>7HCB02AA101XB51</t>
  </si>
  <si>
    <t>7HCB02AA101XB52</t>
  </si>
  <si>
    <t>7HCB02AA101XB06</t>
  </si>
  <si>
    <t>7HCB02AA101YB01</t>
  </si>
  <si>
    <t>7HCB02AA101YB02</t>
  </si>
  <si>
    <t>7HCB03AA101XB51</t>
  </si>
  <si>
    <t>7HCB03AA101XB52</t>
  </si>
  <si>
    <t>7HCB03AA101XB06</t>
  </si>
  <si>
    <t>7HCB03AA101YB01</t>
  </si>
  <si>
    <t>7HCB03AA101YB02</t>
  </si>
  <si>
    <t>7HCB04AA101XB51</t>
  </si>
  <si>
    <t>7HCB04AA101XB52</t>
  </si>
  <si>
    <t>7HCB04AA101XB06</t>
  </si>
  <si>
    <t>7HCB04AA101YB01</t>
  </si>
  <si>
    <t>7HCB04AA101YB02</t>
  </si>
  <si>
    <t>7HCB05AA101XB51</t>
  </si>
  <si>
    <t>7HCB05AA101XB52</t>
  </si>
  <si>
    <t>7HCB05AA101XB06</t>
  </si>
  <si>
    <t>7HCB05AA101YB01</t>
  </si>
  <si>
    <t>7HCB05AA101YB02</t>
  </si>
  <si>
    <t>7HCB06AA101XB51</t>
  </si>
  <si>
    <t>7HCB06AA101XB52</t>
  </si>
  <si>
    <t>7HCB06AA101XB06</t>
  </si>
  <si>
    <t>7HCB06AA101YB01</t>
  </si>
  <si>
    <t>7HCB06AA101YB02</t>
  </si>
  <si>
    <t>7HCB07AA101XB51</t>
  </si>
  <si>
    <t>7HCB07AA101XB52</t>
  </si>
  <si>
    <t>7HCB07AA101XB06</t>
  </si>
  <si>
    <t>7HCB07AA101YB01</t>
  </si>
  <si>
    <t>7HCB07AA101YB02</t>
  </si>
  <si>
    <t>7HCB08AA101XB51</t>
  </si>
  <si>
    <t>7HCB08AA101XB52</t>
  </si>
  <si>
    <t>7HCB08AA101XB06</t>
  </si>
  <si>
    <t>7HCB08AA101YB01</t>
  </si>
  <si>
    <t>7HCB08AA101YB02</t>
  </si>
  <si>
    <t>7HCB09AA101XB51</t>
  </si>
  <si>
    <t>7HCB09AA101XB52</t>
  </si>
  <si>
    <t>7HCB09AA101XB06</t>
  </si>
  <si>
    <t>7HCB09AA101YB01</t>
  </si>
  <si>
    <t>7HCB09AA101YB02</t>
  </si>
  <si>
    <t>7HCB10AA101XB51</t>
  </si>
  <si>
    <t>7HCB10AA101XB52</t>
  </si>
  <si>
    <t>7HCB10AA101XB06</t>
  </si>
  <si>
    <t>7HCB10AA101YB01</t>
  </si>
  <si>
    <t>7HCB10AA101YB02</t>
  </si>
  <si>
    <t>7HCB11AA101XB51</t>
  </si>
  <si>
    <t>7HCB11AA101XB52</t>
  </si>
  <si>
    <t>7HCB11AA101XB06</t>
  </si>
  <si>
    <t>7HCB11AA101YB01</t>
  </si>
  <si>
    <t>7HCB11AA101YB02</t>
  </si>
  <si>
    <t>7HCB12AA101XB51</t>
  </si>
  <si>
    <t>7HCB12AA101XB52</t>
  </si>
  <si>
    <t>7HCB12AA101XB06</t>
  </si>
  <si>
    <t>7HCB12AA101YB01</t>
  </si>
  <si>
    <t>7HCB12AA101YB02</t>
  </si>
  <si>
    <t>7HCB13AA101XB51</t>
  </si>
  <si>
    <t>7HCB13AA101XB52</t>
  </si>
  <si>
    <t>7HCB13AA101XB06</t>
  </si>
  <si>
    <t>7HCB13AA101YB01</t>
  </si>
  <si>
    <t>7HCB13AA101YB02</t>
  </si>
  <si>
    <t>7HCB14AA101XB51</t>
  </si>
  <si>
    <t>7HCB14AA101XB52</t>
  </si>
  <si>
    <t>7HCB14AA101XB06</t>
  </si>
  <si>
    <t>7HCB14AA101YB01</t>
  </si>
  <si>
    <t>7HCB14AA101YB02</t>
  </si>
  <si>
    <t>7HCB15AA101XB51</t>
  </si>
  <si>
    <t>7HCB15AA101XB52</t>
  </si>
  <si>
    <t>7HCB15AA101XB06</t>
  </si>
  <si>
    <t>7HCB15AA101YB01</t>
  </si>
  <si>
    <t>7HCB15AA101YB02</t>
  </si>
  <si>
    <t>7HCB16AA101XB51</t>
  </si>
  <si>
    <t>7HCB16AA101XB52</t>
  </si>
  <si>
    <t>7HCB16AA101XB06</t>
  </si>
  <si>
    <t>7HCB16AA101YB01</t>
  </si>
  <si>
    <t>7HCB16AA101YB02</t>
  </si>
  <si>
    <t>7HCB17AA101XB51</t>
  </si>
  <si>
    <t>7HCB17AA101XB52</t>
  </si>
  <si>
    <t>7HCB17AA101XB06</t>
  </si>
  <si>
    <t>7HCB17AA101YB01</t>
  </si>
  <si>
    <t>7HCB17AA101YB02</t>
  </si>
  <si>
    <t>7HCB18AA101XB51</t>
  </si>
  <si>
    <t>7HCB18AA101XB52</t>
  </si>
  <si>
    <t>7HCB18AA101XB06</t>
  </si>
  <si>
    <t>7HCB18AA101YB01</t>
  </si>
  <si>
    <t>7HCB18AA101YB02</t>
  </si>
  <si>
    <t>7HCB19AA101XB51</t>
  </si>
  <si>
    <t>7HCB19AA101XB52</t>
  </si>
  <si>
    <t>7HCB19AA101XB06</t>
  </si>
  <si>
    <t>7HCB19AA101YB01</t>
  </si>
  <si>
    <t>7HCB19AA101YB02</t>
  </si>
  <si>
    <t>7HCB20AA101XB51</t>
  </si>
  <si>
    <t>7HCB20AA101XB52</t>
  </si>
  <si>
    <t>7HCB20AA101XB06</t>
  </si>
  <si>
    <t>7HCB20AA101YB01</t>
  </si>
  <si>
    <t>7HCB20AA101YB02</t>
  </si>
  <si>
    <t>7HCB21AA101XB51</t>
  </si>
  <si>
    <t>7HCB21AA101XB52</t>
  </si>
  <si>
    <t>7HCB21AA101XB06</t>
  </si>
  <si>
    <t>7HCB21AA101YB01</t>
  </si>
  <si>
    <t>7HCB21AA101YB02</t>
  </si>
  <si>
    <t>7HCB22AA101XB51</t>
  </si>
  <si>
    <t>7HCB22AA101XB52</t>
  </si>
  <si>
    <t>7HCB22AA101XB06</t>
  </si>
  <si>
    <t>7HCB22AA101YB01</t>
  </si>
  <si>
    <t>7HCB22AA101YB02</t>
  </si>
  <si>
    <t>7HCB23AA101XB51</t>
  </si>
  <si>
    <t>7HCB23AA101XB52</t>
  </si>
  <si>
    <t>7HCB23AA101XB06</t>
  </si>
  <si>
    <t>7HCB23AA101YB01</t>
  </si>
  <si>
    <t>7HCB23AA101YB02</t>
  </si>
  <si>
    <t>7HCB24AA101XB51</t>
  </si>
  <si>
    <t>7HCB24AA101XB52</t>
  </si>
  <si>
    <t>7HCB24AA101XB06</t>
  </si>
  <si>
    <t>7HCB24AA101YB01</t>
  </si>
  <si>
    <t>7HCB24AA101YB02</t>
  </si>
  <si>
    <t>7LCA11AA101XB51</t>
  </si>
  <si>
    <t>7LCA11AA101XB52</t>
  </si>
  <si>
    <t>7LCA11AA101XB10</t>
  </si>
  <si>
    <t>7LCA11AA101XB06</t>
  </si>
  <si>
    <t>7LCA11AA101YB01</t>
  </si>
  <si>
    <t>7LCA11AA101YB02</t>
  </si>
  <si>
    <t>7LCA11AA102XB51</t>
  </si>
  <si>
    <t>7LCA11AA102XB52</t>
  </si>
  <si>
    <t>7LCA11AA102XB10</t>
  </si>
  <si>
    <t>7LCA11AA102XB06</t>
  </si>
  <si>
    <t>7LCA11AA102YB01</t>
  </si>
  <si>
    <t>7LCA11AA102YB02</t>
  </si>
  <si>
    <t>7LCA12AA101XB51</t>
  </si>
  <si>
    <t>7LCA12AA101XB52</t>
  </si>
  <si>
    <t>7LCA12AA101XB10</t>
  </si>
  <si>
    <t>7LCA12AA101XB06</t>
  </si>
  <si>
    <t>7LCA12AA101YB01</t>
  </si>
  <si>
    <t>7LCA12AA101YB02</t>
  </si>
  <si>
    <t>7LCA12AA102XB51</t>
  </si>
  <si>
    <t>7LCA12AA102XB52</t>
  </si>
  <si>
    <t>7LCA12AA102XB10</t>
  </si>
  <si>
    <t>7LCA12AA102XB06</t>
  </si>
  <si>
    <t>7LCA12AA102YB01</t>
  </si>
  <si>
    <t>7LCA12AA102YB02</t>
  </si>
  <si>
    <t>7LBA11AA101XB51</t>
  </si>
  <si>
    <t>7LBA11AA101XB52</t>
  </si>
  <si>
    <t>7LBA11AA101XB10</t>
  </si>
  <si>
    <t>7LBA11AA101XB06</t>
  </si>
  <si>
    <t>7LBA11AA101YB01</t>
  </si>
  <si>
    <t>7LBA11AA101YB02</t>
  </si>
  <si>
    <t>7LBA11AA102XB51</t>
  </si>
  <si>
    <t>7LBA11AA102XB52</t>
  </si>
  <si>
    <t>7LBA11AA102XB10</t>
  </si>
  <si>
    <t>7LBA11AA102XB06</t>
  </si>
  <si>
    <t>7LBA11AA102YB01</t>
  </si>
  <si>
    <t>7LBA11AA102YB02</t>
  </si>
  <si>
    <t>7LBA12AA101XB51</t>
  </si>
  <si>
    <t>7LBA12AA101XB52</t>
  </si>
  <si>
    <t>7LBA12AA101XB10</t>
  </si>
  <si>
    <t>7LBA12AA101XB06</t>
  </si>
  <si>
    <t>7LBA12AA101YB01</t>
  </si>
  <si>
    <t>7LBA12AA101YB02</t>
  </si>
  <si>
    <t>7LBA12AA102XB51</t>
  </si>
  <si>
    <t>7LBA12AA102XB52</t>
  </si>
  <si>
    <t>7LBA12AA102XB10</t>
  </si>
  <si>
    <t>7LBA12AA102XB06</t>
  </si>
  <si>
    <t>7LBA12AA102YB01</t>
  </si>
  <si>
    <t>7LBA12AA102YB02</t>
  </si>
  <si>
    <t>7LBQ80AA101XQ01</t>
  </si>
  <si>
    <t>7LBQ80AA101XB51</t>
  </si>
  <si>
    <t>7LBQ80AA101XB52</t>
  </si>
  <si>
    <t>7LBQ80AA101XB10</t>
  </si>
  <si>
    <t>7LBQ80AA101XB06</t>
  </si>
  <si>
    <t>7LBQ80AA101YB01</t>
  </si>
  <si>
    <t>7LBQ80AA101YB02</t>
  </si>
  <si>
    <t>7LBQ70AA101XQ01</t>
  </si>
  <si>
    <t>7LBQ70AA101XB51</t>
  </si>
  <si>
    <t>7LBQ70AA101XB52</t>
  </si>
  <si>
    <t>7LBQ70AA101XB10</t>
  </si>
  <si>
    <t>7LBQ70AA101XB06</t>
  </si>
  <si>
    <t>7LBQ70AA101YB01</t>
  </si>
  <si>
    <t>7LBQ70AA101YB02</t>
  </si>
  <si>
    <t>7LBQ60AA101XQ01</t>
  </si>
  <si>
    <t>7LBQ60AA101XB51</t>
  </si>
  <si>
    <t>7LBQ60AA101XB52</t>
  </si>
  <si>
    <t>7LBQ60AA101XB10</t>
  </si>
  <si>
    <t>7LBQ60AA101XB06</t>
  </si>
  <si>
    <t>7LBQ60AA101YB01</t>
  </si>
  <si>
    <t>7LBQ60AA101YB02</t>
  </si>
  <si>
    <t>7LBQ50AA101XB51</t>
  </si>
  <si>
    <t>7LBQ50AA101XB52</t>
  </si>
  <si>
    <t>7LBQ50AA101XB10</t>
  </si>
  <si>
    <t>7LBQ50AA101XB06</t>
  </si>
  <si>
    <t>7LBQ50AA101YB01</t>
  </si>
  <si>
    <t>7LBQ50AA101YB02</t>
  </si>
  <si>
    <t>7LBS40AA101XB51</t>
  </si>
  <si>
    <t>7LBS40AA101XB52</t>
  </si>
  <si>
    <t>7LBS40AA101XB10</t>
  </si>
  <si>
    <t>7LBS40AA101XB06</t>
  </si>
  <si>
    <t>7LBS40AA101YB01</t>
  </si>
  <si>
    <t>7LBS40AA101YB02</t>
  </si>
  <si>
    <t>7LBS30AA101XB51</t>
  </si>
  <si>
    <t>7LBS30AA101XB52</t>
  </si>
  <si>
    <t>7LBS30AA101XB10</t>
  </si>
  <si>
    <t>7LBS30AA101XB06</t>
  </si>
  <si>
    <t>7LBS30AA101YB01</t>
  </si>
  <si>
    <t>7LBS30AA101YB02</t>
  </si>
  <si>
    <t>7MAJ10AA101XB51</t>
  </si>
  <si>
    <t>7MAJ10AA101XB52</t>
  </si>
  <si>
    <t>7MAJ10AA101XB10</t>
  </si>
  <si>
    <t>7MAJ10AA101XB06</t>
  </si>
  <si>
    <t>7MAJ10AA101YB01</t>
  </si>
  <si>
    <t>7MAJ10AA101YB02</t>
  </si>
  <si>
    <t>7LBA10AA101XB51</t>
  </si>
  <si>
    <t>7LBA10AA101XB52</t>
  </si>
  <si>
    <t>7LBA10AA101XB10</t>
  </si>
  <si>
    <t>7LBA10AA101XB06</t>
  </si>
  <si>
    <t>7LBA10AA101YB01</t>
  </si>
  <si>
    <t>7LBA10AA101YB02</t>
  </si>
  <si>
    <t>7LBA20AA101XB51</t>
  </si>
  <si>
    <t>7LBA20AA101XB52</t>
  </si>
  <si>
    <t>7LBA20AA101XB10</t>
  </si>
  <si>
    <t>7LBA20AA101XB06</t>
  </si>
  <si>
    <t>7LBA20AA101YB01</t>
  </si>
  <si>
    <t>7LBA20AA101YB02</t>
  </si>
  <si>
    <t>7LBC10AA101XB51</t>
  </si>
  <si>
    <t>7LBC10AA101XB52</t>
  </si>
  <si>
    <t>7LBC10AA101XB10</t>
  </si>
  <si>
    <t>7LBC10AA101XB06</t>
  </si>
  <si>
    <t>7LBC10AA101YB01</t>
  </si>
  <si>
    <t>7LBC10AA101YB02</t>
  </si>
  <si>
    <t>7LBC20AA101XB51</t>
  </si>
  <si>
    <t>7LBC20AA101XB52</t>
  </si>
  <si>
    <t>7LBC20AA101XB10</t>
  </si>
  <si>
    <t>7LBC20AA101XB06</t>
  </si>
  <si>
    <t>7LBC20AA101YB01</t>
  </si>
  <si>
    <t>7LBC20AA101YB02</t>
  </si>
  <si>
    <t>7LAA10AA101XB51</t>
  </si>
  <si>
    <t>7LAA10AA101XB52</t>
  </si>
  <si>
    <t>7LAA10AA101XB10</t>
  </si>
  <si>
    <t>7LAA10AA101XB06</t>
  </si>
  <si>
    <t>7LAA10AA101YB01</t>
  </si>
  <si>
    <t>7LAA10AA101YB02</t>
  </si>
  <si>
    <t>7LCP20AA101XB51</t>
  </si>
  <si>
    <t>7LCP20AA101XB52</t>
  </si>
  <si>
    <t>7LCP20AA101XB10</t>
  </si>
  <si>
    <t>7LCP20AA101XB06</t>
  </si>
  <si>
    <t>7LCP20AA101YB01</t>
  </si>
  <si>
    <t>7LCP20AA101YB02</t>
  </si>
  <si>
    <t>7LCA14AA101XB51</t>
  </si>
  <si>
    <t>7LCA14AA101XB52</t>
  </si>
  <si>
    <t>7LCA14AA101XB10</t>
  </si>
  <si>
    <t>7LCA14AA101XB06</t>
  </si>
  <si>
    <t>7LCA14AA101YB01</t>
  </si>
  <si>
    <t>7LCA14AA101YB02</t>
  </si>
  <si>
    <t>7LCQ20AA001XQ01</t>
  </si>
  <si>
    <t>7LCQ20AA001XB51</t>
  </si>
  <si>
    <t>7LCQ20AA001XB52</t>
  </si>
  <si>
    <t>7LCQ20AA001XB06</t>
  </si>
  <si>
    <t>7LCQ20AA001XB07</t>
  </si>
  <si>
    <t>7LCQ20AA001XB53</t>
  </si>
  <si>
    <t>7LCQ20AA001YB01</t>
  </si>
  <si>
    <t>7LCQ20AA001YB02</t>
  </si>
  <si>
    <t>7LBW10AA001XQ01</t>
  </si>
  <si>
    <t>7LBW10AA001XB51</t>
  </si>
  <si>
    <t>7LBW10AA001XB52</t>
  </si>
  <si>
    <t>7LBW10AA001XB06</t>
  </si>
  <si>
    <t>7LBW10AA001YB01</t>
  </si>
  <si>
    <t>7LBW10AA001YB02</t>
  </si>
  <si>
    <t>7LAA10AA001XQ01</t>
  </si>
  <si>
    <t>7LAA10AA001XB51</t>
  </si>
  <si>
    <t>7LAA10AA001XB52</t>
  </si>
  <si>
    <t>7LAA10AA001XB06</t>
  </si>
  <si>
    <t>7LAA10AA001XB07</t>
  </si>
  <si>
    <t>7LAA10AA001XB53</t>
  </si>
  <si>
    <t>7LAA10AA001YB01</t>
  </si>
  <si>
    <t>7LAA10AA001YB02</t>
  </si>
  <si>
    <t>7LBA10AA102XB51</t>
  </si>
  <si>
    <t>7LBA10AA102XB52</t>
  </si>
  <si>
    <t>7LBA10AA102XB10</t>
  </si>
  <si>
    <t>7LBA10AA102XB06</t>
  </si>
  <si>
    <t>7LBA10AA102YB01</t>
  </si>
  <si>
    <t>7LBA10AA102YB02</t>
  </si>
  <si>
    <t>7LBA10AA103XB51</t>
  </si>
  <si>
    <t>7LBA10AA103XB52</t>
  </si>
  <si>
    <t>7LBA10AA103XB10</t>
  </si>
  <si>
    <t>7LBA10AA103XB06</t>
  </si>
  <si>
    <t>7LBA10AA103YB01</t>
  </si>
  <si>
    <t>7LBA10AA103YB02</t>
  </si>
  <si>
    <t>7LBA20AA102XB51</t>
  </si>
  <si>
    <t>7LBA20AA102XB52</t>
  </si>
  <si>
    <t>7LBA20AA102XB10</t>
  </si>
  <si>
    <t>7LBA20AA102XB06</t>
  </si>
  <si>
    <t>7LBA20AA102YB01</t>
  </si>
  <si>
    <t>7LBA20AA102YB02</t>
  </si>
  <si>
    <t>7LBA20AA103XB51</t>
  </si>
  <si>
    <t>7LBA20AA103XB52</t>
  </si>
  <si>
    <t>7LBA20AA103XB10</t>
  </si>
  <si>
    <t>7LBA20AA103XB06</t>
  </si>
  <si>
    <t>7LBA20AA103YB01</t>
  </si>
  <si>
    <t>7LBA20AA103YB02</t>
  </si>
  <si>
    <t>7LCA13AA101XB51</t>
  </si>
  <si>
    <t>7LCA13AA101XB52</t>
  </si>
  <si>
    <t>7LCA13AA101XB10</t>
  </si>
  <si>
    <t>7LCA13AA101XB06</t>
  </si>
  <si>
    <t>7LCA13AA101YB01</t>
  </si>
  <si>
    <t>7LCA13AA101YB02</t>
  </si>
  <si>
    <t>7LCA10AA102XB51</t>
  </si>
  <si>
    <t>7LCA10AA102XB52</t>
  </si>
  <si>
    <t>7LCA10AA102XB10</t>
  </si>
  <si>
    <t>7LCA10AA102XB06</t>
  </si>
  <si>
    <t>7LCA10AA102YB01</t>
  </si>
  <si>
    <t>7LCA10AA102YB02</t>
  </si>
  <si>
    <t>7LCA15AA101XB51</t>
  </si>
  <si>
    <t>7LCA15AA101XB52</t>
  </si>
  <si>
    <t>7LCA15AA101XB10</t>
  </si>
  <si>
    <t>7LCA15AA101XB06</t>
  </si>
  <si>
    <t>7LCA15AA101YB01</t>
  </si>
  <si>
    <t>7LCA15AA101YB02</t>
  </si>
  <si>
    <t>7LBC20AA102XB51</t>
  </si>
  <si>
    <t>7LBC20AA102XB52</t>
  </si>
  <si>
    <t>7LBC20AA102XB10</t>
  </si>
  <si>
    <t>7LBC20AA102XB06</t>
  </si>
  <si>
    <t>7LBC20AA102YB01</t>
  </si>
  <si>
    <t>7LBC20AA102YB02</t>
  </si>
  <si>
    <t>7LCP10AA102XB51</t>
  </si>
  <si>
    <t>7LCP10AA102XB52</t>
  </si>
  <si>
    <t>7LCP10AA102XB10</t>
  </si>
  <si>
    <t>7LCP10AA102XB06</t>
  </si>
  <si>
    <t>7LCP10AA102YB01</t>
  </si>
  <si>
    <t>7LCP10AA102YB02</t>
  </si>
  <si>
    <t>7LCP20AA102XB51</t>
  </si>
  <si>
    <t>7LCP20AA102XB52</t>
  </si>
  <si>
    <t>7LCP20AA102XB10</t>
  </si>
  <si>
    <t>7LCP20AA102XB06</t>
  </si>
  <si>
    <t>7LCP20AA102YB01</t>
  </si>
  <si>
    <t>7LCP20AA102YB02</t>
  </si>
  <si>
    <t>7LCH60AA101XB51</t>
  </si>
  <si>
    <t>7LCH60AA101XB52</t>
  </si>
  <si>
    <t>7LCH60AA101XB10</t>
  </si>
  <si>
    <t>7LCH60AA101XB06</t>
  </si>
  <si>
    <t>7LCH60AA101YB01</t>
  </si>
  <si>
    <t>7LCH60AA101YB02</t>
  </si>
  <si>
    <t>7LCA10AA101XB51</t>
  </si>
  <si>
    <t>7LCA10AA101XB52</t>
  </si>
  <si>
    <t>7LCA10AA101XB10</t>
  </si>
  <si>
    <t>7LCA10AA101XB06</t>
  </si>
  <si>
    <t>7LCA10AA101YB01</t>
  </si>
  <si>
    <t>7LCA10AA101YB02</t>
  </si>
  <si>
    <t>7LCA50AA101XB51</t>
  </si>
  <si>
    <t>7LCA50AA101XB52</t>
  </si>
  <si>
    <t>7LCA50AA101XB10</t>
  </si>
  <si>
    <t>7LCA50AA101XB06</t>
  </si>
  <si>
    <t>7LCA50AA101YB01</t>
  </si>
  <si>
    <t>7LCA50AA101YB02</t>
  </si>
  <si>
    <t>7LCM10AA101XB51</t>
  </si>
  <si>
    <t>7LCM10AA101XB52</t>
  </si>
  <si>
    <t>7LCM10AA101XB10</t>
  </si>
  <si>
    <t>7LCM10AA101XB06</t>
  </si>
  <si>
    <t>7LCM10AA101YB01</t>
  </si>
  <si>
    <t>7LCM10AA101YB02</t>
  </si>
  <si>
    <t>7LBC15AA101XB51</t>
  </si>
  <si>
    <t>7LBC15AA101XB52</t>
  </si>
  <si>
    <t>7LBC15AA101XB10</t>
  </si>
  <si>
    <t>7LBC15AA101XB06</t>
  </si>
  <si>
    <t>7LBC15AA101YB01</t>
  </si>
  <si>
    <t>7LBC15AA101YB02</t>
  </si>
  <si>
    <t>7LCA10AA001XQ01</t>
  </si>
  <si>
    <t>7LCA10AA001XB51</t>
  </si>
  <si>
    <t>7LCA10AA001XB52</t>
  </si>
  <si>
    <t>7LCA10AA001XB06</t>
  </si>
  <si>
    <t>7LCA10AA001YB01</t>
  </si>
  <si>
    <t>7LCA10AA001YB02</t>
  </si>
  <si>
    <t>7LCP10AA001XQ01</t>
  </si>
  <si>
    <t>7LCP10AA001XB51</t>
  </si>
  <si>
    <t>7LCP10AA001XB52</t>
  </si>
  <si>
    <t>7LCP10AA001XB06</t>
  </si>
  <si>
    <t>7LCP10AA001YB01</t>
  </si>
  <si>
    <t>7LCP10AA001YB02</t>
  </si>
  <si>
    <t>7LCJ10AA001XQ01</t>
  </si>
  <si>
    <t>7LCJ10AA001XB51</t>
  </si>
  <si>
    <t>7LCJ10AA001XB52</t>
  </si>
  <si>
    <t>7LCJ10AA001XB06</t>
  </si>
  <si>
    <t>7LCJ10AA001YB01</t>
  </si>
  <si>
    <t>7LCJ10AA001YB02</t>
  </si>
  <si>
    <t>7LCJ30AA001XQ01</t>
  </si>
  <si>
    <t>7LCJ30AA001XB51</t>
  </si>
  <si>
    <t>7LCJ30AA001XB52</t>
  </si>
  <si>
    <t>7LCJ30AA001XB06</t>
  </si>
  <si>
    <t>7LCJ30AA001YB01</t>
  </si>
  <si>
    <t>7LCJ30AA001YB02</t>
  </si>
  <si>
    <t>7LCJ40AA001XQ01</t>
  </si>
  <si>
    <t>7LCJ40AA001XB51</t>
  </si>
  <si>
    <t>7LCJ40AA001XB52</t>
  </si>
  <si>
    <t>7LCJ40AA001XB06</t>
  </si>
  <si>
    <t>7LCJ40AA001YB01</t>
  </si>
  <si>
    <t>7LCJ40AA001YB02</t>
  </si>
  <si>
    <t>7PAH10AA101XB51</t>
  </si>
  <si>
    <t>7PAH10AA101XB52</t>
  </si>
  <si>
    <t>7PAH10AA101XB10</t>
  </si>
  <si>
    <t>7PAH10AA101XB06</t>
  </si>
  <si>
    <t>7PAH10AA101YB01</t>
  </si>
  <si>
    <t>7PAH10AA101YB02</t>
  </si>
  <si>
    <t>7PAH10AA101YB03</t>
  </si>
  <si>
    <t>7PAH20AA101XB51</t>
  </si>
  <si>
    <t>7PAH20AA101XB52</t>
  </si>
  <si>
    <t>7PAH20AA101XB10</t>
  </si>
  <si>
    <t>7PAH20AA101XB06</t>
  </si>
  <si>
    <t>7PAH20AA101YB01</t>
  </si>
  <si>
    <t>7PAH20AA101YB02</t>
  </si>
  <si>
    <t>7PAH20AA101YB03</t>
  </si>
  <si>
    <t>7PAC10AA101XB51</t>
  </si>
  <si>
    <t>7PAC10AA101XB52</t>
  </si>
  <si>
    <t>7PAC10AA101XB10</t>
  </si>
  <si>
    <t>7PAC10AA101XB06</t>
  </si>
  <si>
    <t>7PAC10AA101YB01</t>
  </si>
  <si>
    <t>7PAC10AA101YB02</t>
  </si>
  <si>
    <t>7PAC10AA101YB03</t>
  </si>
  <si>
    <t>7PAC10AA102XB51</t>
  </si>
  <si>
    <t>7PAC10AA102XB52</t>
  </si>
  <si>
    <t>7PAC10AA102XB10</t>
  </si>
  <si>
    <t>7PAC10AA102XB06</t>
  </si>
  <si>
    <t>7PAC10AA102YB01</t>
  </si>
  <si>
    <t>7PAC10AA102YB02</t>
  </si>
  <si>
    <t>7PAC10AA102YB03</t>
  </si>
  <si>
    <t>7PAC20AA101XQ01</t>
  </si>
  <si>
    <t>7PAC20AA101XB51</t>
  </si>
  <si>
    <t>7PAC20AA101XB52</t>
  </si>
  <si>
    <t>7PAC20AA101XB10</t>
  </si>
  <si>
    <t>7PAC20AA101XB06</t>
  </si>
  <si>
    <t>7PAC20AA101YB01</t>
  </si>
  <si>
    <t>7PAC20AA101YB02</t>
  </si>
  <si>
    <t>7PAC20AA101YB03</t>
  </si>
  <si>
    <t>7PAC20AA102XQ01</t>
  </si>
  <si>
    <t>7PAC20AA102XB51</t>
  </si>
  <si>
    <t>7PAC20AA102XB52</t>
  </si>
  <si>
    <t>7PAC20AA102XB10</t>
  </si>
  <si>
    <t>7PAC20AA102XB06</t>
  </si>
  <si>
    <t>7PAC20AA102YB01</t>
  </si>
  <si>
    <t>7PAC20AA102YB02</t>
  </si>
  <si>
    <t>7PAC20AA102YB03</t>
  </si>
  <si>
    <t>7PAC15AA101XB51</t>
  </si>
  <si>
    <t>7PAC15AA101XB52</t>
  </si>
  <si>
    <t>7PAC15AA101XB10</t>
  </si>
  <si>
    <t>7PAC15AA101XB06</t>
  </si>
  <si>
    <t>7PAC15AA101YB01</t>
  </si>
  <si>
    <t>7PAC15AA101YB02</t>
  </si>
  <si>
    <t>7PAC15AA101YB03</t>
  </si>
  <si>
    <t>7LAC11AA102XB51</t>
  </si>
  <si>
    <t>7LAC11AA102XB52</t>
  </si>
  <si>
    <t>7LAC11AA102XB10</t>
  </si>
  <si>
    <t>7LAC11AA102XB06</t>
  </si>
  <si>
    <t>7LAC11AA102YB01</t>
  </si>
  <si>
    <t>7LAC11AA102YB02</t>
  </si>
  <si>
    <t>7LAC12AA102XB51</t>
  </si>
  <si>
    <t>7LAC12AA102XB52</t>
  </si>
  <si>
    <t>7LAC12AA102XB10</t>
  </si>
  <si>
    <t>7LAC12AA102XB06</t>
  </si>
  <si>
    <t>7LAC12AA102YB01</t>
  </si>
  <si>
    <t>7LAC12AA102YB02</t>
  </si>
  <si>
    <t>7LAC11AA101XB51</t>
  </si>
  <si>
    <t>7LAC11AA101XB52</t>
  </si>
  <si>
    <t>7LAC11AA101XB10</t>
  </si>
  <si>
    <t>7LAC11AA101XB06</t>
  </si>
  <si>
    <t>7LAC11AA101YB01</t>
  </si>
  <si>
    <t>7LAC11AA101YB02</t>
  </si>
  <si>
    <t>7LAC11AA101YB03</t>
  </si>
  <si>
    <t>7LAC12AA101XB51</t>
  </si>
  <si>
    <t>7LAC12AA101XB52</t>
  </si>
  <si>
    <t>7LAC12AA101XB10</t>
  </si>
  <si>
    <t>7LAC12AA101XB06</t>
  </si>
  <si>
    <t>7LAC12AA101YB01</t>
  </si>
  <si>
    <t>7LAC12AA101YB02</t>
  </si>
  <si>
    <t>7LAC12AA101YB03</t>
  </si>
  <si>
    <t>7LAB10AA101XB51</t>
  </si>
  <si>
    <t>7LAB10AA101XB52</t>
  </si>
  <si>
    <t>7LAB10AA101XB10</t>
  </si>
  <si>
    <t>7LAB10AA101XB06</t>
  </si>
  <si>
    <t>7LAB10AA101YB01</t>
  </si>
  <si>
    <t>7LAB10AA101YB02</t>
  </si>
  <si>
    <t>7LAB10AA102XB51</t>
  </si>
  <si>
    <t>7LAB10AA102XB52</t>
  </si>
  <si>
    <t>7LAB10AA102XB10</t>
  </si>
  <si>
    <t>7LAB10AA102XB06</t>
  </si>
  <si>
    <t>7LAB10AA102YB01</t>
  </si>
  <si>
    <t>7LAB10AA102YB02</t>
  </si>
  <si>
    <t>7LAB10AA103XB51</t>
  </si>
  <si>
    <t>7LAB10AA103XB52</t>
  </si>
  <si>
    <t>7LAB10AA103XB10</t>
  </si>
  <si>
    <t>7LAB10AA103XB06</t>
  </si>
  <si>
    <t>7LAB10AA103YB01</t>
  </si>
  <si>
    <t>7LAB10AA103YB02</t>
  </si>
  <si>
    <t>7LBA30AA101XQ01</t>
  </si>
  <si>
    <t>7LBA30AA101XB51</t>
  </si>
  <si>
    <t>7LBA30AA101XB52</t>
  </si>
  <si>
    <t>7LBA30AA101XB10</t>
  </si>
  <si>
    <t>7LBA30AA101XB06</t>
  </si>
  <si>
    <t>7LBA30AA101YB01</t>
  </si>
  <si>
    <t>7LBA30AA101YB02</t>
  </si>
  <si>
    <t>7LBA40AA101XQ01</t>
  </si>
  <si>
    <t>7LBA40AA101XB51</t>
  </si>
  <si>
    <t>7LBA40AA101XB52</t>
  </si>
  <si>
    <t>7LBA40AA101XB10</t>
  </si>
  <si>
    <t>7LBA40AA101XB06</t>
  </si>
  <si>
    <t>7LBA40AA101YB01</t>
  </si>
  <si>
    <t>7LBA40AA101YB02</t>
  </si>
  <si>
    <t>7LBA50AA101XQ01</t>
  </si>
  <si>
    <t>7LBA50AA101XB51</t>
  </si>
  <si>
    <t>7LBA50AA101XB52</t>
  </si>
  <si>
    <t>7LBA50AA101XB10</t>
  </si>
  <si>
    <t>7LBA50AA101XB06</t>
  </si>
  <si>
    <t>7LBA50AA101YB01</t>
  </si>
  <si>
    <t>7LBA50AA101YB02</t>
  </si>
  <si>
    <t>7LBA60AA101XQ01</t>
  </si>
  <si>
    <t>7LBA60AA101XB51</t>
  </si>
  <si>
    <t>7LBA60AA101XB52</t>
  </si>
  <si>
    <t>7LBA60AA101XB10</t>
  </si>
  <si>
    <t>7LBA60AA101XB06</t>
  </si>
  <si>
    <t>7LBA60AA101YB01</t>
  </si>
  <si>
    <t>7LBA60AA101YB02</t>
  </si>
  <si>
    <t>7LCA17AA101XB51</t>
  </si>
  <si>
    <t>7LCA17AA101XB52</t>
  </si>
  <si>
    <t>7LCA17AA101XB10</t>
  </si>
  <si>
    <t>7LCA17AA101XB06</t>
  </si>
  <si>
    <t>7LCA17AA101YB01</t>
  </si>
  <si>
    <t>7LCA17AA101YB02</t>
  </si>
  <si>
    <t>7LAD10AA101XB51</t>
  </si>
  <si>
    <t>7LAD10AA101XB52</t>
  </si>
  <si>
    <t>7LAD10AA101XB10</t>
  </si>
  <si>
    <t>7LAD10AA101XB06</t>
  </si>
  <si>
    <t>7LAD10AA101YB01</t>
  </si>
  <si>
    <t>7LAD10AA101YB02</t>
  </si>
  <si>
    <t>7LAD10AA102XB51</t>
  </si>
  <si>
    <t>7LAD10AA102XB52</t>
  </si>
  <si>
    <t>7LAD10AA102XB10</t>
  </si>
  <si>
    <t>7LAD10AA102XB06</t>
  </si>
  <si>
    <t>7LAD10AA102YB01</t>
  </si>
  <si>
    <t>7LAD10AA102YB02</t>
  </si>
  <si>
    <t>7LCH60AA001XQ01</t>
  </si>
  <si>
    <t>7LCH60AA001XB51</t>
  </si>
  <si>
    <t>7LCH60AA001XB52</t>
  </si>
  <si>
    <t>7LCH60AA001XB06</t>
  </si>
  <si>
    <t>7LCH60AA001YB01</t>
  </si>
  <si>
    <t>7LCH60AA001YB02</t>
  </si>
  <si>
    <t>7LCH70AA001XQ01</t>
  </si>
  <si>
    <t>7LCH70AA001XB51</t>
  </si>
  <si>
    <t>7LCH70AA001XB52</t>
  </si>
  <si>
    <t>7LCH70AA001XB06</t>
  </si>
  <si>
    <t>7LCH70AA001YB01</t>
  </si>
  <si>
    <t>7LCH70AA001YB02</t>
  </si>
  <si>
    <t>7LCH80AA001XQ01</t>
  </si>
  <si>
    <t>7LCH80AA001XB51</t>
  </si>
  <si>
    <t>7LCH80AA001XB52</t>
  </si>
  <si>
    <t>7LCH80AA001XB06</t>
  </si>
  <si>
    <t>7LCH80AA001YB01</t>
  </si>
  <si>
    <t>7LCH80AA001YB02</t>
  </si>
  <si>
    <t>7NDA10AA103XB51</t>
  </si>
  <si>
    <t>7NDA10AA103XB52</t>
  </si>
  <si>
    <t>7NDA10AA103XB10</t>
  </si>
  <si>
    <t>7NDA10AA103XB06</t>
  </si>
  <si>
    <t>7NDA10AA103YB01</t>
  </si>
  <si>
    <t>7NDA10AA103YB02</t>
  </si>
  <si>
    <t>7NDA20AA103XB51</t>
  </si>
  <si>
    <t>7NDA20AA103XB52</t>
  </si>
  <si>
    <t>7NDA20AA103XB10</t>
  </si>
  <si>
    <t>7NDA20AA103XB06</t>
  </si>
  <si>
    <t>7NDA20AA103YB01</t>
  </si>
  <si>
    <t>7NDA20AA103YB02</t>
  </si>
  <si>
    <t>7NDA10AA101XB51</t>
  </si>
  <si>
    <t>7NDA10AA101XB52</t>
  </si>
  <si>
    <t>7NDA10AA101XB10</t>
  </si>
  <si>
    <t>7NDA10AA101XB06</t>
  </si>
  <si>
    <t>7NDA10AA101YB01</t>
  </si>
  <si>
    <t>7NDA10AA101YB02</t>
  </si>
  <si>
    <t>7NDA10AA102XB51</t>
  </si>
  <si>
    <t>7NDA10AA102XB52</t>
  </si>
  <si>
    <t>7NDA10AA102XB10</t>
  </si>
  <si>
    <t>7NDA10AA102XB06</t>
  </si>
  <si>
    <t>7NDA10AA102YB01</t>
  </si>
  <si>
    <t>7NDA10AA102YB02</t>
  </si>
  <si>
    <t>7NDA20AA101XB51</t>
  </si>
  <si>
    <t>7NDA20AA101XB52</t>
  </si>
  <si>
    <t>7NDA20AA101XB10</t>
  </si>
  <si>
    <t>7NDA20AA101XB06</t>
  </si>
  <si>
    <t>7NDA20AA101YB01</t>
  </si>
  <si>
    <t>7NDA20AA101YB02</t>
  </si>
  <si>
    <t>7NDA20AA102XB51</t>
  </si>
  <si>
    <t>7NDA20AA102XB52</t>
  </si>
  <si>
    <t>7NDA20AA102XB10</t>
  </si>
  <si>
    <t>7NDA20AA102XB06</t>
  </si>
  <si>
    <t>7NDA20AA102YB01</t>
  </si>
  <si>
    <t>7NDA20AA102YB02</t>
  </si>
  <si>
    <t>7NAA20AA101XB51</t>
  </si>
  <si>
    <t>7NAA20AA101XB52</t>
  </si>
  <si>
    <t>7NAA20AA101XB10</t>
  </si>
  <si>
    <t>7NAA20AA101XB06</t>
  </si>
  <si>
    <t>7NAA20AA101YB01</t>
  </si>
  <si>
    <t>7NAA20AA101YB02</t>
  </si>
  <si>
    <t>7NAA10AA101XB51</t>
  </si>
  <si>
    <t>7NAA10AA101XB52</t>
  </si>
  <si>
    <t>7NAA10AA101XB10</t>
  </si>
  <si>
    <t>7NAA10AA101XB06</t>
  </si>
  <si>
    <t>7NAA10AA101YB01</t>
  </si>
  <si>
    <t>7NAA10AA101YB02</t>
  </si>
  <si>
    <t>7PCD10AA102XB51</t>
  </si>
  <si>
    <t>7PCD10AA102XB52</t>
  </si>
  <si>
    <t>7PCD10AA102XB10</t>
  </si>
  <si>
    <t>7PCD10AA102XB06</t>
  </si>
  <si>
    <t>7PCD10AA102YB01</t>
  </si>
  <si>
    <t>7PCD10AA102YB02</t>
  </si>
  <si>
    <t>7PCD20AA102XB51</t>
  </si>
  <si>
    <t>7PCD20AA102XB52</t>
  </si>
  <si>
    <t>7PCD20AA102XB10</t>
  </si>
  <si>
    <t>7PCD20AA102XB06</t>
  </si>
  <si>
    <t>7PCD20AA102YB01</t>
  </si>
  <si>
    <t>7PCD20AA102YB02</t>
  </si>
  <si>
    <t>7PCD10AA101XB51</t>
  </si>
  <si>
    <t>7PCD10AA101XB52</t>
  </si>
  <si>
    <t>7PCD10AA101XB10</t>
  </si>
  <si>
    <t>7PCD10AA101XB06</t>
  </si>
  <si>
    <t>7PCD10AA101YB01</t>
  </si>
  <si>
    <t>7PCD10AA101YB02</t>
  </si>
  <si>
    <t>7PCD20AA101XB51</t>
  </si>
  <si>
    <t>7PCD20AA101XB52</t>
  </si>
  <si>
    <t>7PCD20AA101XB10</t>
  </si>
  <si>
    <t>7PCD20AA101XB06</t>
  </si>
  <si>
    <t>7PCD20AA101YB01</t>
  </si>
  <si>
    <t>7PCD20AA101YB02</t>
  </si>
  <si>
    <t>7PAB20AA101XB51</t>
  </si>
  <si>
    <t>7PAB20AA101XB52</t>
  </si>
  <si>
    <t>7PAB20AA101XB10</t>
  </si>
  <si>
    <t>7PAB20AA101XB06</t>
  </si>
  <si>
    <t>7PAB20AA101YB01</t>
  </si>
  <si>
    <t>7PAB20AA101YB02</t>
  </si>
  <si>
    <t>7PAH10AA001XQ01</t>
  </si>
  <si>
    <t>7PAH10AA001XB51</t>
  </si>
  <si>
    <t>7PAH10AA001XB52</t>
  </si>
  <si>
    <t>7PAH10AA001XB06</t>
  </si>
  <si>
    <t>7PAH10AA001YB01</t>
  </si>
  <si>
    <t>7PAH10AA001YB02</t>
  </si>
  <si>
    <t>7PAH20AA001XQ01</t>
  </si>
  <si>
    <t>7PAH20AA001XB51</t>
  </si>
  <si>
    <t>7PAH20AA001XB52</t>
  </si>
  <si>
    <t>7PAH20AA001XB06</t>
  </si>
  <si>
    <t>7PAH20AA001YB01</t>
  </si>
  <si>
    <t>7PAH20AA001YB02</t>
  </si>
  <si>
    <t>7NAB10AA001XQ01</t>
  </si>
  <si>
    <t>7NAB10AA001XB51</t>
  </si>
  <si>
    <t>7NAB10AA001XB52</t>
  </si>
  <si>
    <t>7NAB10AA001XB06</t>
  </si>
  <si>
    <t>7NAB10AA001YB01</t>
  </si>
  <si>
    <t>7NAB10AA001YB02</t>
  </si>
  <si>
    <t>7NAB20AA001XQ01</t>
  </si>
  <si>
    <t>7NAB20AA001XB51</t>
  </si>
  <si>
    <t>7NAB20AA001XB52</t>
  </si>
  <si>
    <t>7NAB20AA001XB06</t>
  </si>
  <si>
    <t>7NAB20AA001YB01</t>
  </si>
  <si>
    <t>7NAB20AA001YB02</t>
  </si>
  <si>
    <t>7NDB10AA001XQ01</t>
  </si>
  <si>
    <t>7NDB10AA001XB51</t>
  </si>
  <si>
    <t>7NDB10AA001XB52</t>
  </si>
  <si>
    <t>7NDB10AA001XB06</t>
  </si>
  <si>
    <t>7NDB10AA001YB01</t>
  </si>
  <si>
    <t>7NDB10AA001YB02</t>
  </si>
  <si>
    <t>7NAA20AA001XQ01</t>
  </si>
  <si>
    <t>7NAA20AA001XB51</t>
  </si>
  <si>
    <t>7NAA20AA001XB52</t>
  </si>
  <si>
    <t>7NAA20AA001XB06</t>
  </si>
  <si>
    <t>7NAA20AA001YB01</t>
  </si>
  <si>
    <t>7NAA20AA001YB02</t>
  </si>
  <si>
    <t>7NAA10AA001XQ01</t>
  </si>
  <si>
    <t>7NAA10AA001XB51</t>
  </si>
  <si>
    <t>7NAA10AA001XB52</t>
  </si>
  <si>
    <t>7NAA10AA001XB06</t>
  </si>
  <si>
    <t>7NAA10AA001YB01</t>
  </si>
  <si>
    <t>7NAA10AA001YB02</t>
  </si>
  <si>
    <t>Найменування арматури</t>
  </si>
  <si>
    <t>Найменування сигналу</t>
  </si>
  <si>
    <t>Найменування механізма</t>
  </si>
  <si>
    <t>Діапазон, min</t>
  </si>
  <si>
    <t>Діапазон, max</t>
  </si>
  <si>
    <t>Живл вібробіт вх 1 врг 242</t>
  </si>
  <si>
    <t>Живл вібробіт вх 2 врг 242</t>
  </si>
  <si>
    <t>Нчв сигналізація</t>
  </si>
  <si>
    <t>Вбр підш захист к2</t>
  </si>
  <si>
    <t>Вбр підш скачок захист к1</t>
  </si>
  <si>
    <t>Вбр підш скачок захист к2</t>
  </si>
  <si>
    <t>Викр валу сигналізація</t>
  </si>
  <si>
    <t>Вбр валу сигналізація</t>
  </si>
  <si>
    <t>Вбр валу аварійна</t>
  </si>
  <si>
    <t>Вбр валу захист к1</t>
  </si>
  <si>
    <t>Вбр валу захист к2</t>
  </si>
  <si>
    <t>Вбр валу скачок сигналізація</t>
  </si>
  <si>
    <t>Сигналізація 0 об/хв</t>
  </si>
  <si>
    <t>Турб на впп</t>
  </si>
  <si>
    <t>7MAD01CY100EH03</t>
  </si>
  <si>
    <t>7MAD01CY100EH04</t>
  </si>
  <si>
    <t>7MAD01CY100EH05</t>
  </si>
  <si>
    <t>7MAD01CY107EH01</t>
  </si>
  <si>
    <t>7MAD01CY108EZ01</t>
  </si>
  <si>
    <t>7MAD01CY108EZ02</t>
  </si>
  <si>
    <t>7MAD01CY109EZ01</t>
  </si>
  <si>
    <t>7MAD01CY109EZ02</t>
  </si>
  <si>
    <t>7MAD01CY112EH01</t>
  </si>
  <si>
    <t>7MAD01CY113EH01</t>
  </si>
  <si>
    <t>7MAD01CY114EH01</t>
  </si>
  <si>
    <t>7MAD01CY115EH01</t>
  </si>
  <si>
    <t>7MAD01CY116EZ01</t>
  </si>
  <si>
    <t>7MAD01CY116EZ02</t>
  </si>
  <si>
    <t>7MAD01CY117EH01</t>
  </si>
  <si>
    <t>7MAD01CY121EH01</t>
  </si>
  <si>
    <t>7MAD01CY122EH01</t>
  </si>
  <si>
    <t>7MAD01CY124EH01</t>
  </si>
  <si>
    <t>7MAD01CY125EZ01</t>
  </si>
  <si>
    <t>Примечания</t>
  </si>
  <si>
    <t>Оберти турбіни к.2</t>
  </si>
  <si>
    <t>Живл СКМВТ 24В</t>
  </si>
  <si>
    <t>Вбр підш захист</t>
  </si>
  <si>
    <t>ВРР ЦНТ сигналізація</t>
  </si>
  <si>
    <t>Сигналізація 2900 об/хв, 3200 об/хв</t>
  </si>
  <si>
    <t>Авар 2800 об/хв</t>
  </si>
  <si>
    <t>Авар 3300 об/хв</t>
  </si>
  <si>
    <t>Найменування параметра (старе)</t>
  </si>
  <si>
    <t>Найменування параметра (нове)</t>
  </si>
  <si>
    <t>Дія</t>
  </si>
  <si>
    <t>Видалення</t>
  </si>
  <si>
    <t>Перейменування</t>
  </si>
  <si>
    <t>Створення</t>
  </si>
  <si>
    <t>7MAD01CY109EH01</t>
  </si>
  <si>
    <t>7MAD10CY008XQ01</t>
  </si>
  <si>
    <t>НГО-7А</t>
  </si>
  <si>
    <t>НГО-7Б</t>
  </si>
  <si>
    <t>НООС-7А</t>
  </si>
  <si>
    <t>НООС-7Б</t>
  </si>
  <si>
    <t>7PAC11AP001</t>
  </si>
  <si>
    <t>7PAC12AP001</t>
  </si>
  <si>
    <t>7MKA11AP001</t>
  </si>
  <si>
    <t>7MKA12AP001</t>
  </si>
  <si>
    <t>7MKW02AP001</t>
  </si>
  <si>
    <t>7MKW03AP001</t>
  </si>
  <si>
    <t>7LCP11AP001</t>
  </si>
  <si>
    <t>7LCP12AP001</t>
  </si>
  <si>
    <t>РЕМН АМП ТГ-7</t>
  </si>
  <si>
    <t>АЕМН АМП ТГ-7</t>
  </si>
  <si>
    <t>ВПП ТГ-7</t>
  </si>
  <si>
    <t>7MAK10AE001</t>
  </si>
  <si>
    <t>Вентилятор маслобака ТГ-7</t>
  </si>
  <si>
    <t>Насос газоохолодження генератора 7А</t>
  </si>
  <si>
    <t>Насос газоохолодження генератора 7Б</t>
  </si>
  <si>
    <t>Насос охолодження обмоток статора 7А</t>
  </si>
  <si>
    <t>Насос охолодження обмоток статора 7Б</t>
  </si>
  <si>
    <t>Валоповоротний пристрій</t>
  </si>
  <si>
    <t>Резервний електричний масляний насос АМП</t>
  </si>
  <si>
    <t>Аварійний електричний масляний насос АМП</t>
  </si>
  <si>
    <t>Характеристика</t>
  </si>
  <si>
    <t>РК МЕО 380 В</t>
  </si>
  <si>
    <t>РК AUMA</t>
  </si>
  <si>
    <t>РК Вбудований</t>
  </si>
  <si>
    <t>Засувка</t>
  </si>
  <si>
    <t>АПК Команда 'Закрити'</t>
  </si>
  <si>
    <t>АПК 'Засувка не відкрита'</t>
  </si>
  <si>
    <t>АПК Команда 'Відкрити'</t>
  </si>
  <si>
    <t>АПК 'Засувка не закрита'</t>
  </si>
  <si>
    <t>Засувка + Ком. "Дозвіл на МК"</t>
  </si>
  <si>
    <t>Засувка + АПК 'Закрити'</t>
  </si>
  <si>
    <t>Засувка + АПК 'Відкрити'</t>
  </si>
  <si>
    <t>Засувка + Давач положення</t>
  </si>
  <si>
    <t>Засувка + Давач положення + Ком. "Дозвіл на МК"</t>
  </si>
  <si>
    <t>Обдувний апарат</t>
  </si>
  <si>
    <t>Вібратор</t>
  </si>
  <si>
    <t>Напруга, кВ</t>
  </si>
  <si>
    <t>Назва</t>
  </si>
  <si>
    <t>XB11</t>
  </si>
  <si>
    <t>XB48</t>
  </si>
  <si>
    <t>XB50</t>
  </si>
  <si>
    <t>Вкл</t>
  </si>
  <si>
    <t>Відкл</t>
  </si>
  <si>
    <t>В-к вк</t>
  </si>
  <si>
    <t>РЕЗ</t>
  </si>
  <si>
    <t>Готовн</t>
  </si>
  <si>
    <t>К вкл</t>
  </si>
  <si>
    <t>К відк</t>
  </si>
  <si>
    <t>Назва, скорочена</t>
  </si>
  <si>
    <t>Включений</t>
  </si>
  <si>
    <t>Відключений</t>
  </si>
  <si>
    <t>Вкочений візок</t>
  </si>
  <si>
    <t>Робота електричних захистів</t>
  </si>
  <si>
    <t>Готовність</t>
  </si>
  <si>
    <t>Команда включити</t>
  </si>
  <si>
    <t>Команда відключити</t>
  </si>
  <si>
    <t>Струм двигуна</t>
  </si>
  <si>
    <t>Механізми 6 кВ</t>
  </si>
  <si>
    <t>Аварійне відключення</t>
  </si>
  <si>
    <t>Струм ел/дв ЖСВ</t>
  </si>
  <si>
    <t>AO</t>
  </si>
  <si>
    <t>Авар. відкл</t>
  </si>
  <si>
    <t>YQ01</t>
  </si>
  <si>
    <t>ЖСВ швидкість</t>
  </si>
  <si>
    <t>CE</t>
  </si>
  <si>
    <t>DS</t>
  </si>
  <si>
    <t>7HNC10CE101XQ01</t>
  </si>
  <si>
    <t>7HNC20CE101XQ01</t>
  </si>
  <si>
    <t>7HLB10CE101XQ01</t>
  </si>
  <si>
    <t>7HLB20CE101XQ01</t>
  </si>
  <si>
    <t>7HFC11CE001XQ01</t>
  </si>
  <si>
    <t>7HFC12CE001XQ01</t>
  </si>
  <si>
    <t>7HFC13CE001XQ01</t>
  </si>
  <si>
    <t>7HFC14CE001XQ01</t>
  </si>
  <si>
    <t>7HFC15CE001XQ01</t>
  </si>
  <si>
    <t>7HFC16CE001XQ01</t>
  </si>
  <si>
    <t>7HFE11CE001XQ01</t>
  </si>
  <si>
    <t>7HFE12CE001XQ01</t>
  </si>
  <si>
    <t>7HFE13CE001XQ01</t>
  </si>
  <si>
    <t>7HFE14CE001XQ01</t>
  </si>
  <si>
    <t>7HFE15CE001XQ01</t>
  </si>
  <si>
    <t>7HFE16CE001XQ01</t>
  </si>
  <si>
    <t>7LAC11CE001XQ01</t>
  </si>
  <si>
    <t>7LAC12CE001XQ01</t>
  </si>
  <si>
    <t>7LCB11CE001XQ01</t>
  </si>
  <si>
    <t>7LCB12CE001XQ01</t>
  </si>
  <si>
    <t>Група KKS</t>
  </si>
  <si>
    <t>7HFB11CE001XQ01</t>
  </si>
  <si>
    <t>7HFB11DS001YQ01</t>
  </si>
  <si>
    <t>7HFB11DS001XQ01</t>
  </si>
  <si>
    <t>7HFB12CE001XQ01</t>
  </si>
  <si>
    <t>7HFB12DS001YQ01</t>
  </si>
  <si>
    <t>7HFB12DS001XQ01</t>
  </si>
  <si>
    <t>7HFB13CE001XQ01</t>
  </si>
  <si>
    <t>7HFB13DS001YQ01</t>
  </si>
  <si>
    <t>7HFB13DS001XQ01</t>
  </si>
  <si>
    <t>7HFB14CE001XQ01</t>
  </si>
  <si>
    <t>7HFB14DS001YQ01</t>
  </si>
  <si>
    <t>7HFB14DS001XQ01</t>
  </si>
  <si>
    <t>7HFB15CE001XQ01</t>
  </si>
  <si>
    <t>7HFB15DS001YQ01</t>
  </si>
  <si>
    <t>7HFB15DS001XQ01</t>
  </si>
  <si>
    <t>7HFB16CE001XQ01</t>
  </si>
  <si>
    <t>7HFB16DS001YQ01</t>
  </si>
  <si>
    <t>7HFB16DS001XQ01</t>
  </si>
  <si>
    <t>XB46</t>
  </si>
  <si>
    <t>7HNC10AN201</t>
  </si>
  <si>
    <t>7HNC20AN201</t>
  </si>
  <si>
    <t>7HLB10AN201</t>
  </si>
  <si>
    <t>7HLB20AN201</t>
  </si>
  <si>
    <t>7HNC10CE201XQ01</t>
  </si>
  <si>
    <t>7HNC20CE201XQ01</t>
  </si>
  <si>
    <t>7HLB10CE201XQ01</t>
  </si>
  <si>
    <t>7HLB20CE201XQ01</t>
  </si>
  <si>
    <t>XB03</t>
  </si>
  <si>
    <t>Відключений АК</t>
  </si>
  <si>
    <t>Відкл АК</t>
  </si>
  <si>
    <t>Несправність кіл керування</t>
  </si>
  <si>
    <t>Неспр кіл керув</t>
  </si>
  <si>
    <t>7LCP11CE001XQ01</t>
  </si>
  <si>
    <t>7LCP12CE001XQ01</t>
  </si>
  <si>
    <t>7MAV11CE001XQ01</t>
  </si>
  <si>
    <t>7MAV12CE001XQ01</t>
  </si>
  <si>
    <t>7MAV13CE001XQ01</t>
  </si>
  <si>
    <t>7HFB13CE002XQ01</t>
  </si>
  <si>
    <t>7HFB14CE002XQ01</t>
  </si>
  <si>
    <t>7HFW11CE001XQ01</t>
  </si>
  <si>
    <t>7HFW12CE001XQ01</t>
  </si>
  <si>
    <t>7HFW13CE001XQ01</t>
  </si>
  <si>
    <t>7HFW14CE001XQ01</t>
  </si>
  <si>
    <t>7HFW15CE001XQ01</t>
  </si>
  <si>
    <t>7HFW16CE001XQ01</t>
  </si>
  <si>
    <t>7PAC11CE001XQ01</t>
  </si>
  <si>
    <t>7PAC12CE001XQ01</t>
  </si>
  <si>
    <t>7MKA11CE001XQ01</t>
  </si>
  <si>
    <t>7MKA12CE001XQ01</t>
  </si>
  <si>
    <t>7MKW02CE001XQ01</t>
  </si>
  <si>
    <t>7MKW03CE001XQ01</t>
  </si>
  <si>
    <t>7LAV11AP001</t>
  </si>
  <si>
    <t>7LAV11AP002</t>
  </si>
  <si>
    <t>7LAV12AP001</t>
  </si>
  <si>
    <t>7LAV12AP002</t>
  </si>
  <si>
    <t>7LAV11CE001XQ01</t>
  </si>
  <si>
    <t>7LAV11CE002XQ01</t>
  </si>
  <si>
    <t>7LAV12CE001XQ01</t>
  </si>
  <si>
    <t>7LAV12CE002XQ01</t>
  </si>
  <si>
    <t>7CDA02</t>
  </si>
  <si>
    <t>7CDA03</t>
  </si>
  <si>
    <t>Тип збірки реле</t>
  </si>
  <si>
    <t>7MKW29AN001</t>
  </si>
  <si>
    <t>ЦВ-1</t>
  </si>
  <si>
    <t>Дозвіл місцевого керування</t>
  </si>
  <si>
    <t>Дозвіл МК</t>
  </si>
  <si>
    <t>Механізми 0.4 (Тип 1)</t>
  </si>
  <si>
    <t>Механізми 0.4 (Тип 2)</t>
  </si>
  <si>
    <t>Механізми 0.4 (Тип 3)</t>
  </si>
  <si>
    <t>Механізми 0.4 (Тип 4)</t>
  </si>
  <si>
    <t>Механізми 0.4 (Тип 5)</t>
  </si>
  <si>
    <t>Механізми 0.4 (Тип 6, 7)</t>
  </si>
  <si>
    <t>Реле</t>
  </si>
  <si>
    <t>K1</t>
  </si>
  <si>
    <t>K2</t>
  </si>
  <si>
    <t>KL1</t>
  </si>
  <si>
    <t>KL2</t>
  </si>
  <si>
    <t>KL3</t>
  </si>
  <si>
    <t>KL4</t>
  </si>
  <si>
    <t>KL5</t>
  </si>
  <si>
    <t>KQC</t>
  </si>
  <si>
    <t>KQT</t>
  </si>
  <si>
    <t>K3</t>
  </si>
  <si>
    <t>ТЖСВ</t>
  </si>
  <si>
    <t>ЖСВ</t>
  </si>
  <si>
    <t>ВУП</t>
  </si>
  <si>
    <t>НБЗК</t>
  </si>
  <si>
    <t>РЕМН</t>
  </si>
  <si>
    <t>ПЕМН</t>
  </si>
  <si>
    <t>МН ЖЕН</t>
  </si>
  <si>
    <t>АЕМН</t>
  </si>
  <si>
    <t>НГО</t>
  </si>
  <si>
    <t>НООС</t>
  </si>
  <si>
    <t>ЦВ</t>
  </si>
  <si>
    <t>РЕМН АМП</t>
  </si>
  <si>
    <t>АЕМН АМП</t>
  </si>
  <si>
    <t>XQ01/DS</t>
  </si>
  <si>
    <t>XQ01/CE</t>
  </si>
  <si>
    <t>UA1</t>
  </si>
  <si>
    <t>UA3</t>
  </si>
  <si>
    <t>UA2</t>
  </si>
  <si>
    <t>ВПП</t>
  </si>
  <si>
    <t>Ав. відкл</t>
  </si>
  <si>
    <t>Відкл. АК</t>
  </si>
  <si>
    <t>Ком. вкл</t>
  </si>
  <si>
    <t>Ком. викл</t>
  </si>
  <si>
    <t>Ком. МК</t>
  </si>
  <si>
    <t>Струм</t>
  </si>
  <si>
    <t>ЖСВ завд швидкості</t>
  </si>
  <si>
    <t>Швид.</t>
  </si>
  <si>
    <t>Звд. швид.</t>
  </si>
  <si>
    <t>Неспр. КК</t>
  </si>
  <si>
    <t>Тип схеми принципової</t>
  </si>
  <si>
    <t>№ типу схеми</t>
  </si>
  <si>
    <t>7HNC10AN101XB01</t>
  </si>
  <si>
    <t>7HNC10AN101XB02</t>
  </si>
  <si>
    <t>7HNC10AN101XB11</t>
  </si>
  <si>
    <t>7HNC10AN101XB48</t>
  </si>
  <si>
    <t>7HNC10AN101XB50</t>
  </si>
  <si>
    <t>7HNC10AN101YB01</t>
  </si>
  <si>
    <t>7HNC10AN101YB02</t>
  </si>
  <si>
    <t>7HNC10AN201XB01</t>
  </si>
  <si>
    <t>7HNC10AN201XB02</t>
  </si>
  <si>
    <t>7HNC10AN201XB11</t>
  </si>
  <si>
    <t>7HNC10AN201XB48</t>
  </si>
  <si>
    <t>7HNC10AN201XB50</t>
  </si>
  <si>
    <t>7HNC10AN201YB01</t>
  </si>
  <si>
    <t>7HNC10AN201YB02</t>
  </si>
  <si>
    <t>7HNC20AN101XB01</t>
  </si>
  <si>
    <t>7HNC20AN101XB02</t>
  </si>
  <si>
    <t>7HNC20AN101XB11</t>
  </si>
  <si>
    <t>7HNC20AN101XB48</t>
  </si>
  <si>
    <t>7HNC20AN101XB50</t>
  </si>
  <si>
    <t>7HNC20AN101YB01</t>
  </si>
  <si>
    <t>7HNC20AN101YB02</t>
  </si>
  <si>
    <t>7HNC20AN201XB01</t>
  </si>
  <si>
    <t>7HNC20AN201XB02</t>
  </si>
  <si>
    <t>7HNC20AN201XB11</t>
  </si>
  <si>
    <t>7HNC20AN201XB48</t>
  </si>
  <si>
    <t>7HNC20AN201XB50</t>
  </si>
  <si>
    <t>7HNC20AN201YB01</t>
  </si>
  <si>
    <t>7HNC20AN201YB02</t>
  </si>
  <si>
    <t>7HLB10AN101XB01</t>
  </si>
  <si>
    <t>7HLB10AN101XB02</t>
  </si>
  <si>
    <t>7HLB10AN101XB11</t>
  </si>
  <si>
    <t>7HLB10AN101XB48</t>
  </si>
  <si>
    <t>7HLB10AN101XB50</t>
  </si>
  <si>
    <t>7HLB10AN101YB01</t>
  </si>
  <si>
    <t>7HLB10AN101YB02</t>
  </si>
  <si>
    <t>7HLB10AN201XB01</t>
  </si>
  <si>
    <t>7HLB10AN201XB02</t>
  </si>
  <si>
    <t>7HLB10AN201XB11</t>
  </si>
  <si>
    <t>7HLB10AN201XB48</t>
  </si>
  <si>
    <t>7HLB10AN201XB50</t>
  </si>
  <si>
    <t>7HLB10AN201YB01</t>
  </si>
  <si>
    <t>7HLB10AN201YB02</t>
  </si>
  <si>
    <t>7HLB20AN101XB01</t>
  </si>
  <si>
    <t>7HLB20AN101XB02</t>
  </si>
  <si>
    <t>7HLB20AN101XB11</t>
  </si>
  <si>
    <t>7HLB20AN101XB48</t>
  </si>
  <si>
    <t>7HLB20AN101XB50</t>
  </si>
  <si>
    <t>7HLB20AN101YB01</t>
  </si>
  <si>
    <t>7HLB20AN101YB02</t>
  </si>
  <si>
    <t>7HLB20AN201XB01</t>
  </si>
  <si>
    <t>7HLB20AN201XB02</t>
  </si>
  <si>
    <t>7HLB20AN201XB11</t>
  </si>
  <si>
    <t>7HLB20AN201XB48</t>
  </si>
  <si>
    <t>7HLB20AN201XB50</t>
  </si>
  <si>
    <t>7HLB20AN201YB01</t>
  </si>
  <si>
    <t>7HLB20AN201YB02</t>
  </si>
  <si>
    <t>7HFC11AJ001XB01</t>
  </si>
  <si>
    <t>7HFC11AJ001XB02</t>
  </si>
  <si>
    <t>7HFC11AJ001XB11</t>
  </si>
  <si>
    <t>7HFC11AJ001XB48</t>
  </si>
  <si>
    <t>7HFC11AJ001XB50</t>
  </si>
  <si>
    <t>7HFC11AJ001YB01</t>
  </si>
  <si>
    <t>7HFC11AJ001YB02</t>
  </si>
  <si>
    <t>7HFC12AJ001XB01</t>
  </si>
  <si>
    <t>7HFC12AJ001XB02</t>
  </si>
  <si>
    <t>7HFC12AJ001XB11</t>
  </si>
  <si>
    <t>7HFC12AJ001XB48</t>
  </si>
  <si>
    <t>7HFC12AJ001XB50</t>
  </si>
  <si>
    <t>7HFC12AJ001YB01</t>
  </si>
  <si>
    <t>7HFC12AJ001YB02</t>
  </si>
  <si>
    <t>7HFC13AJ001XB01</t>
  </si>
  <si>
    <t>7HFC13AJ001XB02</t>
  </si>
  <si>
    <t>7HFC13AJ001XB11</t>
  </si>
  <si>
    <t>7HFC13AJ001XB48</t>
  </si>
  <si>
    <t>7HFC13AJ001XB50</t>
  </si>
  <si>
    <t>7HFC13AJ001YB01</t>
  </si>
  <si>
    <t>7HFC13AJ001YB02</t>
  </si>
  <si>
    <t>7HFC14AJ001XB01</t>
  </si>
  <si>
    <t>7HFC14AJ001XB02</t>
  </si>
  <si>
    <t>7HFC14AJ001XB11</t>
  </si>
  <si>
    <t>7HFC14AJ001XB48</t>
  </si>
  <si>
    <t>7HFC14AJ001XB50</t>
  </si>
  <si>
    <t>7HFC14AJ001YB01</t>
  </si>
  <si>
    <t>7HFC14AJ001YB02</t>
  </si>
  <si>
    <t>7HFC15AJ001XB01</t>
  </si>
  <si>
    <t>7HFC15AJ001XB02</t>
  </si>
  <si>
    <t>7HFC15AJ001XB11</t>
  </si>
  <si>
    <t>7HFC15AJ001XB48</t>
  </si>
  <si>
    <t>7HFC15AJ001XB50</t>
  </si>
  <si>
    <t>7HFC15AJ001YB01</t>
  </si>
  <si>
    <t>7HFC15AJ001YB02</t>
  </si>
  <si>
    <t>7HFC16AJ001XB01</t>
  </si>
  <si>
    <t>7HFC16AJ001XB02</t>
  </si>
  <si>
    <t>7HFC16AJ001XB11</t>
  </si>
  <si>
    <t>7HFC16AJ001XB48</t>
  </si>
  <si>
    <t>7HFC16AJ001XB50</t>
  </si>
  <si>
    <t>7HFC16AJ001YB01</t>
  </si>
  <si>
    <t>7HFC16AJ001YB02</t>
  </si>
  <si>
    <t>7HFE11AN001XB01</t>
  </si>
  <si>
    <t>7HFE11AN001XB02</t>
  </si>
  <si>
    <t>7HFE11AN001XB11</t>
  </si>
  <si>
    <t>7HFE11AN001XB48</t>
  </si>
  <si>
    <t>7HFE11AN001XB50</t>
  </si>
  <si>
    <t>7HFE11AN001YB01</t>
  </si>
  <si>
    <t>7HFE11AN001YB02</t>
  </si>
  <si>
    <t>7HFE12AN001XB01</t>
  </si>
  <si>
    <t>7HFE12AN001XB02</t>
  </si>
  <si>
    <t>7HFE12AN001XB11</t>
  </si>
  <si>
    <t>7HFE12AN001XB48</t>
  </si>
  <si>
    <t>7HFE12AN001XB50</t>
  </si>
  <si>
    <t>7HFE12AN001YB01</t>
  </si>
  <si>
    <t>7HFE12AN001YB02</t>
  </si>
  <si>
    <t>7HFE13AN001XB01</t>
  </si>
  <si>
    <t>7HFE13AN001XB02</t>
  </si>
  <si>
    <t>7HFE13AN001XB11</t>
  </si>
  <si>
    <t>7HFE13AN001XB48</t>
  </si>
  <si>
    <t>7HFE13AN001XB50</t>
  </si>
  <si>
    <t>7HFE13AN001YB01</t>
  </si>
  <si>
    <t>7HFE13AN001YB02</t>
  </si>
  <si>
    <t>7HFE14AN001XB01</t>
  </si>
  <si>
    <t>7HFE14AN001XB02</t>
  </si>
  <si>
    <t>7HFE14AN001XB11</t>
  </si>
  <si>
    <t>7HFE14AN001XB48</t>
  </si>
  <si>
    <t>7HFE14AN001XB50</t>
  </si>
  <si>
    <t>7HFE14AN001YB01</t>
  </si>
  <si>
    <t>7HFE14AN001YB02</t>
  </si>
  <si>
    <t>7HFE15AN001XB01</t>
  </si>
  <si>
    <t>7HFE15AN001XB02</t>
  </si>
  <si>
    <t>7HFE15AN001XB11</t>
  </si>
  <si>
    <t>7HFE15AN001XB48</t>
  </si>
  <si>
    <t>7HFE15AN001XB50</t>
  </si>
  <si>
    <t>7HFE15AN001YB01</t>
  </si>
  <si>
    <t>7HFE15AN001YB02</t>
  </si>
  <si>
    <t>7HFE16AN001XB01</t>
  </si>
  <si>
    <t>7HFE16AN001XB02</t>
  </si>
  <si>
    <t>7HFE16AN001XB11</t>
  </si>
  <si>
    <t>7HFE16AN001XB48</t>
  </si>
  <si>
    <t>7HFE16AN001XB50</t>
  </si>
  <si>
    <t>7HFE16AN001YB01</t>
  </si>
  <si>
    <t>7HFE16AN001YB02</t>
  </si>
  <si>
    <t>7LAC11AP001XB01</t>
  </si>
  <si>
    <t>7LAC11AP001XB02</t>
  </si>
  <si>
    <t>7LAC11AP001XB11</t>
  </si>
  <si>
    <t>7LAC11AP001XB48</t>
  </si>
  <si>
    <t>7LAC11AP001XB50</t>
  </si>
  <si>
    <t>7LAC11AP001YB01</t>
  </si>
  <si>
    <t>7LAC11AP001YB02</t>
  </si>
  <si>
    <t>7LAC12AP001XB01</t>
  </si>
  <si>
    <t>7LAC12AP001XB02</t>
  </si>
  <si>
    <t>7LAC12AP001XB11</t>
  </si>
  <si>
    <t>7LAC12AP001XB48</t>
  </si>
  <si>
    <t>7LAC12AP001XB50</t>
  </si>
  <si>
    <t>7LAC12AP001YB01</t>
  </si>
  <si>
    <t>7LAC12AP001YB02</t>
  </si>
  <si>
    <t>7LCB11AP001XB01</t>
  </si>
  <si>
    <t>7LCB11AP001XB02</t>
  </si>
  <si>
    <t>7LCB11AP001XB11</t>
  </si>
  <si>
    <t>7LCB11AP001XB48</t>
  </si>
  <si>
    <t>7LCB11AP001XB50</t>
  </si>
  <si>
    <t>7LCB11AP001YB01</t>
  </si>
  <si>
    <t>7LCB11AP001YB02</t>
  </si>
  <si>
    <t>7LCB12AP001XB01</t>
  </si>
  <si>
    <t>7LCB12AP001XB02</t>
  </si>
  <si>
    <t>7LCB12AP001XB11</t>
  </si>
  <si>
    <t>7LCB12AP001XB48</t>
  </si>
  <si>
    <t>7LCB12AP001XB50</t>
  </si>
  <si>
    <t>7LCB12AP001YB01</t>
  </si>
  <si>
    <t>7LCB12AP001YB02</t>
  </si>
  <si>
    <t>7LCP11AP001XB01</t>
  </si>
  <si>
    <t>7LCP11AP001XB02</t>
  </si>
  <si>
    <t>7LCP11AP001XB03</t>
  </si>
  <si>
    <t>7LCP11AP001XB47</t>
  </si>
  <si>
    <t>7LCP11AP001YB01</t>
  </si>
  <si>
    <t>7LCP11AP001YB02</t>
  </si>
  <si>
    <t>7LCP12AP001XB01</t>
  </si>
  <si>
    <t>7LCP12AP001XB02</t>
  </si>
  <si>
    <t>7LCP12AP001XB03</t>
  </si>
  <si>
    <t>7LCP12AP001XB47</t>
  </si>
  <si>
    <t>7LCP12AP001YB01</t>
  </si>
  <si>
    <t>7LCP12AP001YB02</t>
  </si>
  <si>
    <t>7MAV11AP001XB01</t>
  </si>
  <si>
    <t>7MAV11AP001XB02</t>
  </si>
  <si>
    <t>7MAV11AP001XB03</t>
  </si>
  <si>
    <t>7MAV11AP001XB46</t>
  </si>
  <si>
    <t>7MAV11AP001XB47</t>
  </si>
  <si>
    <t>7MAV11AP001YB01</t>
  </si>
  <si>
    <t>7MAV11AP001YB02</t>
  </si>
  <si>
    <t>7MAV12AP001XB01</t>
  </si>
  <si>
    <t>7MAV12AP001XB02</t>
  </si>
  <si>
    <t>7MAV12AP001XB03</t>
  </si>
  <si>
    <t>7MAV12AP001XB47</t>
  </si>
  <si>
    <t>7MAV12AP001YB01</t>
  </si>
  <si>
    <t>7MAV12AP001YB02</t>
  </si>
  <si>
    <t>7MAV13AP001XB01</t>
  </si>
  <si>
    <t>7MAV13AP001XB02</t>
  </si>
  <si>
    <t>7MAV13AP001XB03</t>
  </si>
  <si>
    <t>7MAV13AP001XB46</t>
  </si>
  <si>
    <t>7MAV13AP001YB01</t>
  </si>
  <si>
    <t>7MAV13AP001YB02</t>
  </si>
  <si>
    <t>7LAV11AP001XB01</t>
  </si>
  <si>
    <t>7LAV11AP001XB02</t>
  </si>
  <si>
    <t>7LAV11AP001XB03</t>
  </si>
  <si>
    <t>7LAV11AP001XB47</t>
  </si>
  <si>
    <t>7LAV11AP001YB01</t>
  </si>
  <si>
    <t>7LAV11AP001YB02</t>
  </si>
  <si>
    <t>7LAV11AP001YB03</t>
  </si>
  <si>
    <t>7LAV11AP002XB01</t>
  </si>
  <si>
    <t>7LAV11AP002XB02</t>
  </si>
  <si>
    <t>7LAV11AP002XB03</t>
  </si>
  <si>
    <t>7LAV11AP002XB47</t>
  </si>
  <si>
    <t>7LAV11AP002YB01</t>
  </si>
  <si>
    <t>7LAV11AP002YB02</t>
  </si>
  <si>
    <t>7LAV11AP002YB03</t>
  </si>
  <si>
    <t>7LAV12AP001XB01</t>
  </si>
  <si>
    <t>7LAV12AP001XB02</t>
  </si>
  <si>
    <t>7LAV12AP001XB03</t>
  </si>
  <si>
    <t>7LAV12AP001XB47</t>
  </si>
  <si>
    <t>7LAV12AP001YB01</t>
  </si>
  <si>
    <t>7LAV12AP001YB02</t>
  </si>
  <si>
    <t>7LAV12AP001YB03</t>
  </si>
  <si>
    <t>7LAV12AP002XB01</t>
  </si>
  <si>
    <t>7LAV12AP002XB02</t>
  </si>
  <si>
    <t>7LAV12AP002XB03</t>
  </si>
  <si>
    <t>7LAV12AP002XB47</t>
  </si>
  <si>
    <t>7LAV12AP002YB01</t>
  </si>
  <si>
    <t>7LAV12AP002YB02</t>
  </si>
  <si>
    <t>7LAV12AP002YB03</t>
  </si>
  <si>
    <t>7HFB11AF001XB46</t>
  </si>
  <si>
    <t>7HFB11AF001YB01</t>
  </si>
  <si>
    <t>7HFB12AF001XB46</t>
  </si>
  <si>
    <t>7HFB12AF001YB01</t>
  </si>
  <si>
    <t>7HFB13AF001XB46</t>
  </si>
  <si>
    <t>7HFB13AF001YB01</t>
  </si>
  <si>
    <t>7HFB14AF001XB46</t>
  </si>
  <si>
    <t>7HFB14AF001YB01</t>
  </si>
  <si>
    <t>7HFB15AF001XB46</t>
  </si>
  <si>
    <t>7HFB15AF001YB01</t>
  </si>
  <si>
    <t>7HFB16AF001XB46</t>
  </si>
  <si>
    <t>7HFB16AF001YB01</t>
  </si>
  <si>
    <t>7HFB13AF002XB01</t>
  </si>
  <si>
    <t>7HFB13AF002XB02</t>
  </si>
  <si>
    <t>7HFB13AF002XB03</t>
  </si>
  <si>
    <t>7HFB13AF002XB47</t>
  </si>
  <si>
    <t>7HFB13AF002YB01</t>
  </si>
  <si>
    <t>7HFB13AF002YB02</t>
  </si>
  <si>
    <t>7HFB14AF002XB01</t>
  </si>
  <si>
    <t>7HFB14AF002XB02</t>
  </si>
  <si>
    <t>7HFB14AF002XB03</t>
  </si>
  <si>
    <t>7HFB14AF002XB47</t>
  </si>
  <si>
    <t>7HFB14AF002YB01</t>
  </si>
  <si>
    <t>7HFB14AF002YB02</t>
  </si>
  <si>
    <t>7HFW11AN001XB01</t>
  </si>
  <si>
    <t>7HFW11AN001XB02</t>
  </si>
  <si>
    <t>7HFW11AN001XB03</t>
  </si>
  <si>
    <t>7HFW11AN001XB46</t>
  </si>
  <si>
    <t>7HFW11AN001XB47</t>
  </si>
  <si>
    <t>7HFW11AN001YB01</t>
  </si>
  <si>
    <t>7HFW11AN001YB02</t>
  </si>
  <si>
    <t>7HFW12AN001XB01</t>
  </si>
  <si>
    <t>7HFW12AN001XB02</t>
  </si>
  <si>
    <t>7HFW12AN001XB03</t>
  </si>
  <si>
    <t>7HFW12AN001XB46</t>
  </si>
  <si>
    <t>7HFW12AN001XB47</t>
  </si>
  <si>
    <t>7HFW12AN001YB01</t>
  </si>
  <si>
    <t>7HFW12AN001YB02</t>
  </si>
  <si>
    <t>7HFW13AN001XB01</t>
  </si>
  <si>
    <t>7HFW13AN001XB02</t>
  </si>
  <si>
    <t>7HFW13AN001XB03</t>
  </si>
  <si>
    <t>7HFW13AN001XB46</t>
  </si>
  <si>
    <t>7HFW13AN001XB47</t>
  </si>
  <si>
    <t>7HFW13AN001YB01</t>
  </si>
  <si>
    <t>7HFW13AN001YB02</t>
  </si>
  <si>
    <t>7HFW14AN001XB01</t>
  </si>
  <si>
    <t>7HFW14AN001XB02</t>
  </si>
  <si>
    <t>7HFW14AN001XB03</t>
  </si>
  <si>
    <t>7HFW14AN001XB46</t>
  </si>
  <si>
    <t>7HFW14AN001XB47</t>
  </si>
  <si>
    <t>7HFW14AN001YB01</t>
  </si>
  <si>
    <t>7HFW14AN001YB02</t>
  </si>
  <si>
    <t>7HFW15AN001XB01</t>
  </si>
  <si>
    <t>7HFW15AN001XB02</t>
  </si>
  <si>
    <t>7HFW15AN001XB03</t>
  </si>
  <si>
    <t>7HFW15AN001XB46</t>
  </si>
  <si>
    <t>7HFW15AN001XB47</t>
  </si>
  <si>
    <t>7HFW15AN001YB01</t>
  </si>
  <si>
    <t>7HFW15AN001YB02</t>
  </si>
  <si>
    <t>7HFW16AN001XB01</t>
  </si>
  <si>
    <t>7HFW16AN001XB02</t>
  </si>
  <si>
    <t>7HFW16AN001XB03</t>
  </si>
  <si>
    <t>7HFW16AN001XB46</t>
  </si>
  <si>
    <t>7HFW16AN001XB47</t>
  </si>
  <si>
    <t>7HFW16AN001YB01</t>
  </si>
  <si>
    <t>7HFW16AN001YB02</t>
  </si>
  <si>
    <t>7PAC11AP001XB01</t>
  </si>
  <si>
    <t>7PAC11AP001XB02</t>
  </si>
  <si>
    <t>7PAC11AP001XB03</t>
  </si>
  <si>
    <t>7PAC11AP001XB47</t>
  </si>
  <si>
    <t>7PAC11AP001YB01</t>
  </si>
  <si>
    <t>7PAC11AP001YB02</t>
  </si>
  <si>
    <t>7PAC12AP001XB01</t>
  </si>
  <si>
    <t>7PAC12AP001XB02</t>
  </si>
  <si>
    <t>7PAC12AP001XB03</t>
  </si>
  <si>
    <t>7PAC12AP001XB47</t>
  </si>
  <si>
    <t>7PAC12AP001YB01</t>
  </si>
  <si>
    <t>7PAC12AP001YB02</t>
  </si>
  <si>
    <t>7MKA11AP001XB01</t>
  </si>
  <si>
    <t>7MKA11AP001XB02</t>
  </si>
  <si>
    <t>7MKA11AP001XB03</t>
  </si>
  <si>
    <t>7MKA11AP001XB47</t>
  </si>
  <si>
    <t>7MKA11AP001YB01</t>
  </si>
  <si>
    <t>7MKA11AP001YB02</t>
  </si>
  <si>
    <t>7MKA12AP001XB01</t>
  </si>
  <si>
    <t>7MKA12AP001XB02</t>
  </si>
  <si>
    <t>7MKA12AP001XB03</t>
  </si>
  <si>
    <t>7MKA12AP001XB47</t>
  </si>
  <si>
    <t>7MKA12AP001YB01</t>
  </si>
  <si>
    <t>7MKA12AP001YB02</t>
  </si>
  <si>
    <t>7MKW02AP001XB01</t>
  </si>
  <si>
    <t>7MKW02AP001XB02</t>
  </si>
  <si>
    <t>7MKW02AP001XB03</t>
  </si>
  <si>
    <t>7MKW02AP001XB47</t>
  </si>
  <si>
    <t>7MKW02AP001YB01</t>
  </si>
  <si>
    <t>7MKW02AP001YB02</t>
  </si>
  <si>
    <t>7MKW03AP001XB01</t>
  </si>
  <si>
    <t>7MKW03AP001XB02</t>
  </si>
  <si>
    <t>7MKW03AP001XB03</t>
  </si>
  <si>
    <t>7MKW03AP001XB46</t>
  </si>
  <si>
    <t>7MKW03AP001XB47</t>
  </si>
  <si>
    <t>7MKW03AP001YB01</t>
  </si>
  <si>
    <t>7MKW03AP001YB02</t>
  </si>
  <si>
    <t>7MAK10AE001XB01</t>
  </si>
  <si>
    <t>7MAK10AE001XB02</t>
  </si>
  <si>
    <t>7MKW29AN001XB01</t>
  </si>
  <si>
    <t>7MKW29AN001XB02</t>
  </si>
  <si>
    <t>Мех. 0.6 кВ</t>
  </si>
  <si>
    <t>Візок</t>
  </si>
  <si>
    <t>Готов.</t>
  </si>
  <si>
    <t>Сигнали механізмів 6 кВ</t>
  </si>
  <si>
    <t>Сигнали механізмів 0,4 кВ</t>
  </si>
  <si>
    <t>Відділення</t>
  </si>
  <si>
    <t>Котельне</t>
  </si>
  <si>
    <t>Турбінне</t>
  </si>
  <si>
    <t>Номінальне значення, °C</t>
  </si>
  <si>
    <t>Місце встановлення</t>
  </si>
  <si>
    <t>Паропровід ГПП перед турбіною н.А</t>
  </si>
  <si>
    <t>Паропровід ГПП перед турбіною н.Б</t>
  </si>
  <si>
    <t>Паропровід перегрітої пари за котлом н.А</t>
  </si>
  <si>
    <t>Паропровід перегрітої пари за котлом н.Б</t>
  </si>
  <si>
    <t>Паропровід перед аварійним вприском н.А</t>
  </si>
  <si>
    <t>Паропровід перед аварійним вприском н.Б</t>
  </si>
  <si>
    <t>Паропровід за аварійним вприском н.А</t>
  </si>
  <si>
    <t>Паропровід за аварійним вприском н.Б</t>
  </si>
  <si>
    <t>Паропровід ГПП за котлом н.А</t>
  </si>
  <si>
    <t>Паропровід перед 1-м вприском н.А</t>
  </si>
  <si>
    <t>Паропровід перед 2-м вприском н.А</t>
  </si>
  <si>
    <t>Паропровід перед 1-м вприском н.Б</t>
  </si>
  <si>
    <t>Паропровід перед 2-м вприском н.Б</t>
  </si>
  <si>
    <t>Паропровід після 1-го вприску н.А</t>
  </si>
  <si>
    <t>Паропровід до 2-го вприску н.А</t>
  </si>
  <si>
    <t>Паропровід після 2-го вприску н.А</t>
  </si>
  <si>
    <t>Паропровід після 1-го вприску н.Б</t>
  </si>
  <si>
    <t>Паропровід до 2-го вприску н.Б</t>
  </si>
  <si>
    <t>Паропровід після 2-го вприску н.Б</t>
  </si>
  <si>
    <t>НСХ</t>
  </si>
  <si>
    <t>Підвідний водопровід авар. вприску н.А</t>
  </si>
  <si>
    <t>Підвідний водопровід авар. вприску н.Б</t>
  </si>
  <si>
    <t>Барабан котла</t>
  </si>
  <si>
    <t>Підвідний водопровід 1-го вприску н.А</t>
  </si>
  <si>
    <t>Підвідний водопровід 1-го вприску н.Б</t>
  </si>
  <si>
    <t>Паропровід до 1-го вприску н.А</t>
  </si>
  <si>
    <t>Паропровід до 1-го вприску н.Б</t>
  </si>
  <si>
    <t>Підвідний водопровід 2-го вприску н.А</t>
  </si>
  <si>
    <t>Підвідний водопровід 2-го вприску н.Б</t>
  </si>
  <si>
    <t>Паропровід вторинного паро-перегрівача</t>
  </si>
  <si>
    <t>Паропровід на вих. з повор. камери н.А</t>
  </si>
  <si>
    <t>Паропровід на вих. з повор. камери н.б</t>
  </si>
  <si>
    <t>Поверхні нагріву котла</t>
  </si>
  <si>
    <t>T мет.вих.хол.ширм 1ст. Б4</t>
  </si>
  <si>
    <t>T мет.вих.хол.ширм 1ст. Б5</t>
  </si>
  <si>
    <t>T мет.вих.хол.ширм 1ст. Б7</t>
  </si>
  <si>
    <t>T мет.вих.хол.ширм 1ст. Б8</t>
  </si>
  <si>
    <t>T мет.вих.хол.ширм 1ст. Б9</t>
  </si>
  <si>
    <t>T мет.вих.хол.ширм 1ст. Б10</t>
  </si>
  <si>
    <t>T мет.вих.хол.ширм 1ст. Б11</t>
  </si>
  <si>
    <t>T мет.вих.хол.ширм 1ст. Б12</t>
  </si>
  <si>
    <t>T мет.вих.хол.ширм 1ст. Б13</t>
  </si>
  <si>
    <t>T мет.вих.хол.ширм 1ст. Б14</t>
  </si>
  <si>
    <t>T мет.вих.хол.ширм 1ст. Б15</t>
  </si>
  <si>
    <t>T мет.вих.хол.ширм 1ст. Б16</t>
  </si>
  <si>
    <t>T мет.вих.хол.ширм 1ст. Б17</t>
  </si>
  <si>
    <t>T мет.вих.хол.ширм 1ст. Б18</t>
  </si>
  <si>
    <t>T фронт наст пароперегр в районі пальника 1А</t>
  </si>
  <si>
    <t>T фронт наст пароперегр в районі пальника 2А</t>
  </si>
  <si>
    <t>T фронт наст пароперегр в районі пальника 3А</t>
  </si>
  <si>
    <t>T фронт наст пароперегр в районі пальника 4А</t>
  </si>
  <si>
    <t>Трубопровід димових газів після повітро-підігрівача</t>
  </si>
  <si>
    <t>T дренажів ПНТ1</t>
  </si>
  <si>
    <t>T дренажів ПНТ2</t>
  </si>
  <si>
    <t>T дренажів ПНТ3</t>
  </si>
  <si>
    <t>T дренажів ПНТ4</t>
  </si>
  <si>
    <t>Трубопровід конденсату дренажів ПНТ-1</t>
  </si>
  <si>
    <t>Трубопровід конденсату дренажів ПНТ-2</t>
  </si>
  <si>
    <t>Трубопровід конденсату дренажів ПНТ-3</t>
  </si>
  <si>
    <t>Трубопровід конденсату дренажів ПНТ-4</t>
  </si>
  <si>
    <t>T дренажів ПВТ-6</t>
  </si>
  <si>
    <t>T дренажів ПВТ-7</t>
  </si>
  <si>
    <t>T дренажів ПВТ-8</t>
  </si>
  <si>
    <t>T пара в кол-рі ущ-ня</t>
  </si>
  <si>
    <t>Трубопровід конденсату дренажів ПВТ-6</t>
  </si>
  <si>
    <t>Трубопровід конденсату дренажів ПВТ-7</t>
  </si>
  <si>
    <t>Трубопровід конденсату дренажів ПВТ-8</t>
  </si>
  <si>
    <t>Т пари за РОУ скид в ХПП</t>
  </si>
  <si>
    <t>Паропровід на скид у ХПП</t>
  </si>
  <si>
    <t>Т пари на обдувку ст А</t>
  </si>
  <si>
    <t>Т пари на обдувку ст Б</t>
  </si>
  <si>
    <t>Паропровід обдувки ст.А</t>
  </si>
  <si>
    <t>Паропровід обдувки ст.Б</t>
  </si>
  <si>
    <t>Повітро-підігрівач</t>
  </si>
  <si>
    <t>Повітропровід на напорі ДВ-А</t>
  </si>
  <si>
    <t>Вихідний газопровід</t>
  </si>
  <si>
    <t>Газопроводи вихідних газів за скруберами</t>
  </si>
  <si>
    <t>Паропровід на скид у конденсатор</t>
  </si>
  <si>
    <t>Колектор ущільнень</t>
  </si>
  <si>
    <t>Паропровід до ГПЗ н.А</t>
  </si>
  <si>
    <t>Трубопровід після ПВТ</t>
  </si>
  <si>
    <t>Паропровід ХПП сторона А</t>
  </si>
  <si>
    <t>Паропровід ХПП сторона Б</t>
  </si>
  <si>
    <t>Паропровід після ГПЗ н.А</t>
  </si>
  <si>
    <t>Паропровід до ГПЗ н.Б</t>
  </si>
  <si>
    <t>Паропровід після ГПЗ н.Б</t>
  </si>
  <si>
    <t>Паропровід на скиді у конденсатор сторона А</t>
  </si>
  <si>
    <t>Паропровід на скиді у конденсатор сторона Б</t>
  </si>
  <si>
    <t>Стопорний клапан</t>
  </si>
  <si>
    <t>Паропровід після ГПЗ сторона А</t>
  </si>
  <si>
    <t>Паропровід після ГПЗ сторона Б</t>
  </si>
  <si>
    <t>ЦВТ, зона регулюючої ступені</t>
  </si>
  <si>
    <t>ЦВТ у зоні ХПП</t>
  </si>
  <si>
    <t>ЦВТ у зоні ГПП</t>
  </si>
  <si>
    <t>ЦВТ у зоні 3-4 відборів</t>
  </si>
  <si>
    <t>Паропровід ГПП</t>
  </si>
  <si>
    <t>Паропровід ГПЗ н.Б</t>
  </si>
  <si>
    <t>Паропровід ГПЗ н.А</t>
  </si>
  <si>
    <t>Зона регулюючої ступені</t>
  </si>
  <si>
    <t>Паропровід у відборах №4</t>
  </si>
  <si>
    <t>Паропровід у відборах №3</t>
  </si>
  <si>
    <t>Корпус клапана ГПП</t>
  </si>
  <si>
    <t>Шпилька №16</t>
  </si>
  <si>
    <t>Корпус ЦНТ</t>
  </si>
  <si>
    <t>Паро-перепускна труба №3 верх</t>
  </si>
  <si>
    <t>Паро-перепускна труба №3 низ</t>
  </si>
  <si>
    <t>Паро-перепускна труба №2 верх</t>
  </si>
  <si>
    <t>Паро-перепускна труба №2 низ</t>
  </si>
  <si>
    <t>Паро-перепускна труба №1 верх</t>
  </si>
  <si>
    <t>Паро-перепускна труба №4 верх</t>
  </si>
  <si>
    <t>Паро-перепускна труба №4 низ</t>
  </si>
  <si>
    <t>Паро-перепускна труба №1 низ</t>
  </si>
  <si>
    <t>Паропровід у відборі №6</t>
  </si>
  <si>
    <t>Паропровід відбору №7 лівий</t>
  </si>
  <si>
    <t>Паропровід відбору №7 правий</t>
  </si>
  <si>
    <t>Паропровід відбору №8 (правий)</t>
  </si>
  <si>
    <t>Регулююча ступінь в середині ЦВТ</t>
  </si>
  <si>
    <t>Шпилька №2</t>
  </si>
  <si>
    <t>Корпус ЦВТ</t>
  </si>
  <si>
    <t>Трубопровід гарячого повітря після МВ №11-1</t>
  </si>
  <si>
    <t>Трубопровід гарячого повітря після МВ №11-2</t>
  </si>
  <si>
    <t>Трубопровід гарячого повітря після МВ №11-3</t>
  </si>
  <si>
    <t>Трубопровід гарячого повітря після МВ №11-4</t>
  </si>
  <si>
    <t>Трубопровід гарячого повітря після МВ №11-5</t>
  </si>
  <si>
    <t>Трубопровід гарячого повітря після МВ №11-6</t>
  </si>
  <si>
    <t>Сепаратор млина №1</t>
  </si>
  <si>
    <t>Сепаратор млина №2</t>
  </si>
  <si>
    <t>Сепаратор млина №3</t>
  </si>
  <si>
    <t>Сепаратор млина №4</t>
  </si>
  <si>
    <t>Сепаратор млина №5</t>
  </si>
  <si>
    <t>Сепаратор млина №6</t>
  </si>
  <si>
    <t>Паропровід ресивера</t>
  </si>
  <si>
    <t>-30…+10</t>
  </si>
  <si>
    <t>Вулиця</t>
  </si>
  <si>
    <t>Pt100</t>
  </si>
  <si>
    <t>Підшипники електродвигуна ДС-Б</t>
  </si>
  <si>
    <t>Підшипники механізму ДС-Б</t>
  </si>
  <si>
    <t>Підшипники електродвигуна ДС-А</t>
  </si>
  <si>
    <t>Підшипники механізму ДС-А</t>
  </si>
  <si>
    <t>Підшипники електродвигуна ДВ-Б</t>
  </si>
  <si>
    <t>Підшипники механізму ДВ-Б</t>
  </si>
  <si>
    <t>Підшипники електродвигуна ДВ-А</t>
  </si>
  <si>
    <t>Підшипники механізму ДВ-А</t>
  </si>
  <si>
    <t>Pt 100</t>
  </si>
  <si>
    <t>Картер млина</t>
  </si>
  <si>
    <t>Маслопровід за масло-охолоджувачем</t>
  </si>
  <si>
    <t>Напірний мазутопровід</t>
  </si>
  <si>
    <t>Підшипники електродвигуна М-11-1</t>
  </si>
  <si>
    <t>Підшипники електродвигуна М-11-2</t>
  </si>
  <si>
    <t>Підшипники електродвигуна М-11-3</t>
  </si>
  <si>
    <t>Підшипники електродвигуна М-11-4</t>
  </si>
  <si>
    <t>Підшипники електродвигуна М-11-5</t>
  </si>
  <si>
    <t>Підшипники електродвигуна М-11-6</t>
  </si>
  <si>
    <t>Підшипники редуктора М-11-1</t>
  </si>
  <si>
    <t>Підшипники редуктора М-11-2</t>
  </si>
  <si>
    <t>Підшипники редуктора М-11-3</t>
  </si>
  <si>
    <t>Підшипники редуктора М-11-4</t>
  </si>
  <si>
    <t>Підшипники редуктора М-11-5</t>
  </si>
  <si>
    <t>Підшипники редуктора М-11-6</t>
  </si>
  <si>
    <t>МВ-11-1 фаза А (В,С)</t>
  </si>
  <si>
    <t>Обмотка ел.двигуна млина М-11-1 фаза А (В,С)</t>
  </si>
  <si>
    <t>МВ-11-2 фаза А (В,С)</t>
  </si>
  <si>
    <t>Обмотка ел.двигуна млина М-11-2 фаза А (В,С)</t>
  </si>
  <si>
    <t>МВ-11-3 фаза А (В,С)</t>
  </si>
  <si>
    <t>Обмотка ел.двигуна млина М-11-3 фаза А (В,С)</t>
  </si>
  <si>
    <t>МВ-11-4 фаза А (В,С)</t>
  </si>
  <si>
    <t>Обмотка ел.двигуна млина М-11-4 фаза А (В,С)</t>
  </si>
  <si>
    <t>МВ-11-5 фаза А (В,С)</t>
  </si>
  <si>
    <t>Обмотка ел.двигуна млина М-11-5 фаза А (В,С)</t>
  </si>
  <si>
    <t>МВ-11-6 фаза А (В,С)</t>
  </si>
  <si>
    <t>Підшипники електродвигуна МВ-11-1</t>
  </si>
  <si>
    <t>Підшипники електродвигуна МВ-11-2</t>
  </si>
  <si>
    <t>Підшипники електродвигуна МВ-11-3</t>
  </si>
  <si>
    <t>Підшипники електродвигуна МВ-11-4</t>
  </si>
  <si>
    <t>Підшипники електродвигуна МВ-11-5</t>
  </si>
  <si>
    <t>Підшипники електродвигуна МВ-11-6</t>
  </si>
  <si>
    <t>Підшипники МВ-11-1</t>
  </si>
  <si>
    <t>Підшипники МВ-11-2</t>
  </si>
  <si>
    <t>Підшипники МВ-11-3</t>
  </si>
  <si>
    <t>Підшипники МВ-11-4</t>
  </si>
  <si>
    <t>Підшипники МВ-11-5</t>
  </si>
  <si>
    <t>Підшипники МВ-11-6</t>
  </si>
  <si>
    <t>Маслобак маслостанції МВ-11-1</t>
  </si>
  <si>
    <t>Маслобак маслостанції МВ-11-2</t>
  </si>
  <si>
    <t>Маслобак маслостанції МВ-11-3</t>
  </si>
  <si>
    <t>Маслобак маслостанції МВ-11-4</t>
  </si>
  <si>
    <t>Маслобак маслостанції МВ-11-5</t>
  </si>
  <si>
    <t>Маслобак маслостанції МВ-11-6</t>
  </si>
  <si>
    <t>Кабельний півповерх</t>
  </si>
  <si>
    <t>Бабіт підшипника сторона генератора</t>
  </si>
  <si>
    <t>Опорний підшипник №1</t>
  </si>
  <si>
    <t>Опорний підшипник №2</t>
  </si>
  <si>
    <t>Опорний підшипник №3</t>
  </si>
  <si>
    <t>Опорний підшипник №4</t>
  </si>
  <si>
    <t>Опорний підшипник №5</t>
  </si>
  <si>
    <t>Опорний підшипник №6</t>
  </si>
  <si>
    <t>Бабіт підшипника сторона регулятора</t>
  </si>
  <si>
    <t>Маслопровід на зливі опорного підшипника №1</t>
  </si>
  <si>
    <t>Маслопровід на зливі опорного підшипника №2</t>
  </si>
  <si>
    <t>Маслопровід на зливі опорного підшипника №3</t>
  </si>
  <si>
    <t>Маслопровід на зливі опорного підшипника №4</t>
  </si>
  <si>
    <t>Маслопровід на зливі опорного підшипника №5</t>
  </si>
  <si>
    <t>Маслопровід на зливі опорного підшипника №6</t>
  </si>
  <si>
    <t>Маслопровід на зливі з упорного підшипника</t>
  </si>
  <si>
    <t>Маслопровід на зливі з ущільнюючого підшипника</t>
  </si>
  <si>
    <t>Маслопровід після МО1 генер.</t>
  </si>
  <si>
    <t>Маслопровід після МО2 генер.</t>
  </si>
  <si>
    <t>Маслопровід до МО1 генер.</t>
  </si>
  <si>
    <t>Маслопровід до МО2 генер.</t>
  </si>
  <si>
    <t>Маслопровід до МО генератора</t>
  </si>
  <si>
    <t>Маслопровід після МО генератора</t>
  </si>
  <si>
    <t>Маслопровід ущільнення</t>
  </si>
  <si>
    <t>Маслопровід на напорі 4,5 підшипника</t>
  </si>
  <si>
    <t>Паропровід відпрацьованої пари (передня секція)</t>
  </si>
  <si>
    <t>Паропровід відпрацьованої пари (задня секція)</t>
  </si>
  <si>
    <t>Трубопровід на вході в циркуляційний насос</t>
  </si>
  <si>
    <t>Трубопровід зливу справа</t>
  </si>
  <si>
    <t>Трубопровід зливу зліва</t>
  </si>
  <si>
    <t>Трубопровід на вході ТО СООС-А</t>
  </si>
  <si>
    <t>Трубопровід на виході ТО СООС-А</t>
  </si>
  <si>
    <t>Трубопровід на вході ТО СООС-Б</t>
  </si>
  <si>
    <t>Трубопровід на виході ТО СООС-Б</t>
  </si>
  <si>
    <t>Трубопровід на вході в ТО СООС-А</t>
  </si>
  <si>
    <t>Трубопровід на вході в ТО СООС-Б</t>
  </si>
  <si>
    <t>Трубопровід на виході в ТО СООС-А</t>
  </si>
  <si>
    <t>Трубопровід на виході в ТО СООС-Б</t>
  </si>
  <si>
    <t>Трубопровід на виході ТО ВПТГ</t>
  </si>
  <si>
    <t>Паропровід вихлопного патрубка н.А</t>
  </si>
  <si>
    <t>Паропровід вихлопного патрубка н.Б</t>
  </si>
  <si>
    <t>Конденсатор</t>
  </si>
  <si>
    <t>Трубопровід перед КН</t>
  </si>
  <si>
    <t>Статор ел. двигуна ЖЕН -7А</t>
  </si>
  <si>
    <t>100П</t>
  </si>
  <si>
    <t>Корпус ел. двигуна ЖЕН -7А</t>
  </si>
  <si>
    <t>Підшипник ел. двигуна ЖЕН -7А</t>
  </si>
  <si>
    <t>Підшипник помпи ЖЕН -7А</t>
  </si>
  <si>
    <t>Маслопровід на змащення ЖЕН -7А</t>
  </si>
  <si>
    <t>Маслопровід на зливі з підшипника ЖЕН -7А</t>
  </si>
  <si>
    <t>Водопровід ел. двигуна ЖЕН -7А</t>
  </si>
  <si>
    <t>Маслопровід на змащення ЖЕН -7Б</t>
  </si>
  <si>
    <t>Маслопровід на зливі з підшипника ЖЕН -7Б</t>
  </si>
  <si>
    <t>Статор ел. двигуна ЖЕН -7Б</t>
  </si>
  <si>
    <t>Корпус ел. двигуна ЖЕН -7Б</t>
  </si>
  <si>
    <t>Підшипник ел. двигуна ЖЕН -7Б</t>
  </si>
  <si>
    <t>Підшипник помпи ЖЕН -7Б</t>
  </si>
  <si>
    <t>Водопровід ел. двигуна ЖЕН -7Б</t>
  </si>
  <si>
    <t>Трубопровід прямої мережної води</t>
  </si>
  <si>
    <t>Трубопровід мережної води</t>
  </si>
  <si>
    <t>Трубопровід після пікового бойлера</t>
  </si>
  <si>
    <t>Трубопровід після основного бойлера</t>
  </si>
  <si>
    <t>Обмотка статора генератора</t>
  </si>
  <si>
    <t>Корпус статора генератора</t>
  </si>
  <si>
    <t>Бабіт ущільнення сторона турбіни</t>
  </si>
  <si>
    <t>Бабіт ущільнення сторона будження</t>
  </si>
  <si>
    <t>Трубопровід холодного повітря</t>
  </si>
  <si>
    <t>Трубопровід гарячого повітря</t>
  </si>
  <si>
    <t>Водопровід на вході ГО</t>
  </si>
  <si>
    <t>Водопровід на зливі ГО</t>
  </si>
  <si>
    <t>Трубопровід на вході обмоток статора</t>
  </si>
  <si>
    <t>Трубопровід на зливі обмоток статора</t>
  </si>
  <si>
    <t>Маслопровід до МО</t>
  </si>
  <si>
    <t>Маслопровід після МО</t>
  </si>
  <si>
    <t>Т природнього газу</t>
  </si>
  <si>
    <t>Основний газопровід</t>
  </si>
  <si>
    <t>Шафа ПТК</t>
  </si>
  <si>
    <t>Монтаж кабелю</t>
  </si>
  <si>
    <t>До ПТК 
(ТАК/НІ)</t>
  </si>
  <si>
    <t>ПНР</t>
  </si>
  <si>
    <t>До Комірки
(ТАК/НІ)</t>
  </si>
  <si>
    <t>За місцем
(ТАК/НІ)</t>
  </si>
  <si>
    <t>З ПТК
(ТАК/НІ)</t>
  </si>
  <si>
    <t>Дата</t>
  </si>
  <si>
    <t>Підпис</t>
  </si>
  <si>
    <t>Дата2</t>
  </si>
  <si>
    <t>Підпис3</t>
  </si>
  <si>
    <t>Підпис2</t>
  </si>
  <si>
    <t>Дата3</t>
  </si>
  <si>
    <t>Дата4</t>
  </si>
  <si>
    <t>Підпис4</t>
  </si>
  <si>
    <t>Дата5</t>
  </si>
  <si>
    <t>Підпис5</t>
  </si>
  <si>
    <t>Прийняття ТЕС</t>
  </si>
  <si>
    <t>До двигуна
(ТАК/НІ)</t>
  </si>
  <si>
    <t>8CVA01CT001XQ21</t>
  </si>
  <si>
    <t>8CVA01CT002XQ21</t>
  </si>
  <si>
    <t>Т холодних спаїв шафи 8CVA001</t>
  </si>
  <si>
    <t>8CVA02CT001XQ21</t>
  </si>
  <si>
    <t>8CVA02CT002XQ21</t>
  </si>
  <si>
    <t>Т холодних спаїв шафи  8CVA002</t>
  </si>
  <si>
    <t>8CVA03CT001XQ21</t>
  </si>
  <si>
    <t>8CVA03CT002XQ21</t>
  </si>
  <si>
    <t>Т холодних спаїв шафи  8CVA003</t>
  </si>
  <si>
    <t>8CVA04CT001XQ21</t>
  </si>
  <si>
    <t>8CVA04CT002XQ21</t>
  </si>
  <si>
    <t>8UHA01CT001XQ21</t>
  </si>
  <si>
    <t>8UHA02CT001XQ21</t>
  </si>
  <si>
    <t>T пов в кабельному півповерсі</t>
  </si>
  <si>
    <t>8D004P1B1L5XQ21</t>
  </si>
  <si>
    <t>8D004P1B2L4XQ21</t>
  </si>
  <si>
    <t>8UCA01CT001XQ21</t>
  </si>
  <si>
    <t>8PAB21CT001XQ21</t>
  </si>
  <si>
    <t>8PAB22CT001XQ21</t>
  </si>
  <si>
    <t>8PAB23CT001XQ21</t>
  </si>
  <si>
    <t>8MAA11CT020XQ11</t>
  </si>
  <si>
    <t>8MAD11CT001XQ21</t>
  </si>
  <si>
    <t>8MKD30CT002XQ21</t>
  </si>
  <si>
    <t>8MKD30CT003XQ21</t>
  </si>
  <si>
    <t>8MKD30CT004XQ21</t>
  </si>
  <si>
    <t>8MKD30CT005XQ21</t>
  </si>
  <si>
    <t>8MKD30CT006XQ21</t>
  </si>
  <si>
    <t>8MKD30CT007XQ21</t>
  </si>
  <si>
    <t>8MKD30CT008XQ21</t>
  </si>
  <si>
    <t>8MKD30CT010XQ21</t>
  </si>
  <si>
    <t>8MKD30CT011XQ21</t>
  </si>
  <si>
    <t>8MKD30CT012XQ21</t>
  </si>
  <si>
    <t>8MKD30CT013XQ21</t>
  </si>
  <si>
    <t>8MKD30CT014XQ21</t>
  </si>
  <si>
    <t>8MKD30CT015XQ21</t>
  </si>
  <si>
    <t>8MKD30CT016XQ21</t>
  </si>
  <si>
    <t>T пари за ОУ-А (д.2)</t>
  </si>
  <si>
    <t>T пари за ОУ-Б (д.2)</t>
  </si>
  <si>
    <t>T пари за ОУ-А (д.1)</t>
  </si>
  <si>
    <t>T пари за ОУ-Б (д.1)</t>
  </si>
  <si>
    <t>8MAD12CT001XQ21</t>
  </si>
  <si>
    <t>8MAD12CT002XQ21</t>
  </si>
  <si>
    <t>T оп.підш. №2 19Т</t>
  </si>
  <si>
    <t>8MAD13CT001XQ21</t>
  </si>
  <si>
    <t>8MAD13CT002XQ21</t>
  </si>
  <si>
    <t>T оп.підш. №3 21Т</t>
  </si>
  <si>
    <t>8MAD14CT001XQ21</t>
  </si>
  <si>
    <t>8MAD14CT002XQ21</t>
  </si>
  <si>
    <t>T оп.підш. №4 23Т</t>
  </si>
  <si>
    <t>8MAA10CT001XQ11</t>
  </si>
  <si>
    <t>8MAA10CT002XQ11</t>
  </si>
  <si>
    <t>8MAA10CT003XQ11</t>
  </si>
  <si>
    <t>8MAA10CT007XQ11</t>
  </si>
  <si>
    <t>8MAA10CT008XQ11</t>
  </si>
  <si>
    <t>8MAA10CT009XQ11</t>
  </si>
  <si>
    <t>8MAA10CT010XQ11</t>
  </si>
  <si>
    <t>8MAA10CT011XQ11</t>
  </si>
  <si>
    <t>8MAA10CT012XQ11</t>
  </si>
  <si>
    <t>8MAA10CT013XQ11</t>
  </si>
  <si>
    <t>8MAA10CT014XQ11</t>
  </si>
  <si>
    <t>8MAA10CT015XQ11</t>
  </si>
  <si>
    <t>8MAA20CT015XQ11</t>
  </si>
  <si>
    <t>8MAA10CT016XQ11</t>
  </si>
  <si>
    <t>8MAA20CT016XQ11</t>
  </si>
  <si>
    <t>8MAA11CT011XQ11</t>
  </si>
  <si>
    <t>8MAA11CT012XQ11</t>
  </si>
  <si>
    <t>8MAA11CT019XQ11</t>
  </si>
  <si>
    <t>8MAC10CT001XQ11</t>
  </si>
  <si>
    <t>8MAC20CT001XQ11</t>
  </si>
  <si>
    <t>8MAC10CT004XQ11</t>
  </si>
  <si>
    <t>8MAC20CT004XQ11</t>
  </si>
  <si>
    <t>8MAC10CT002XQ11</t>
  </si>
  <si>
    <t>8MAC10CT003XQ11</t>
  </si>
  <si>
    <t>8MAC20CT002XQ11</t>
  </si>
  <si>
    <t>8MAC20CT003XQ11</t>
  </si>
  <si>
    <t>8MAC10CT005XQ11</t>
  </si>
  <si>
    <t>8MAC20CT005XQ11</t>
  </si>
  <si>
    <t>8MAC10CT006XQ11</t>
  </si>
  <si>
    <t>8MAC20CT006XQ11</t>
  </si>
  <si>
    <t>8MAC15CT001XQ11</t>
  </si>
  <si>
    <t>8MAC15CT002XQ11</t>
  </si>
  <si>
    <t>8MAC15CT003XQ11</t>
  </si>
  <si>
    <t>8MAC15CT004XQ11</t>
  </si>
  <si>
    <t>8MAC15CT005XQ11</t>
  </si>
  <si>
    <t>8MAC15CT006XQ11</t>
  </si>
  <si>
    <t>8MAC15CT007XQ11</t>
  </si>
  <si>
    <t>8MAC15CT008XQ11</t>
  </si>
  <si>
    <t>8LBW10CT001XQ11</t>
  </si>
  <si>
    <t>8MAV10CT001XQ21</t>
  </si>
  <si>
    <t>8MAV10CT002XQ21</t>
  </si>
  <si>
    <t>8MAV10CT003XQ21</t>
  </si>
  <si>
    <t>8MAV10CT004XQ21</t>
  </si>
  <si>
    <t>8MAV10CT005XQ21</t>
  </si>
  <si>
    <t>8MAV10CT006XQ21</t>
  </si>
  <si>
    <t>8MAV10CT011XQ21</t>
  </si>
  <si>
    <t>8MAV10CT012XQ21</t>
  </si>
  <si>
    <t>8MAV10CT009XQ21</t>
  </si>
  <si>
    <t>8MAV10CT010XQ21</t>
  </si>
  <si>
    <t>8MKW22CT001XQ21</t>
  </si>
  <si>
    <t>8MKW23CT001XQ21</t>
  </si>
  <si>
    <t>8LAV11CT001XQ21</t>
  </si>
  <si>
    <t>T масла на змащення ЖЕН-8А</t>
  </si>
  <si>
    <t>8LAV11CT002XQ21</t>
  </si>
  <si>
    <t>8LAV11CT003XQ21</t>
  </si>
  <si>
    <t>Т масла в патрубку на зливі з підшипника вільна сторона ЖЕН -8А</t>
  </si>
  <si>
    <t>Т масла в патрубку на зливі з підшипника сторона механізму ЖЕН -8А</t>
  </si>
  <si>
    <t>T масла на змащення ЖЕН -8Б</t>
  </si>
  <si>
    <t>Т масла в патрубку на зливі з підшипника вільна сторона ЖЕН -8Б</t>
  </si>
  <si>
    <t>Т масла в патрубку на зливі з підшипника сторона механізму ЖЕН -8Б</t>
  </si>
  <si>
    <t>8LAV12CT001XQ21</t>
  </si>
  <si>
    <t>8LAV12CT002XQ21</t>
  </si>
  <si>
    <t>8LAV12CT003XQ21</t>
  </si>
  <si>
    <t>8MAV20CT001XQ21</t>
  </si>
  <si>
    <t>8MAV20CT002XQ21</t>
  </si>
  <si>
    <t>8MAV21CT001XQ21</t>
  </si>
  <si>
    <t>8MAV22CT001XQ21</t>
  </si>
  <si>
    <t>8MAV23CT001XQ21</t>
  </si>
  <si>
    <t>8MKW05CT001XQ21</t>
  </si>
  <si>
    <t>8MKW07CT001XQ21</t>
  </si>
  <si>
    <t>8MKW07CT002XQ21</t>
  </si>
  <si>
    <t>8MKW08CT001XQ21</t>
  </si>
  <si>
    <t>8MKW08CT002XQ21</t>
  </si>
  <si>
    <t>8MKW09CT001XQ21</t>
  </si>
  <si>
    <t>8HFC14CT003XQ21</t>
  </si>
  <si>
    <t>8HFC14CT004XQ21</t>
  </si>
  <si>
    <t>T колодки №1 підш. млина 12-4</t>
  </si>
  <si>
    <t>T колодки №7 підш. млина 12-4</t>
  </si>
  <si>
    <t>8HFC11CT003XQ21</t>
  </si>
  <si>
    <t>8HFC11CT004XQ21</t>
  </si>
  <si>
    <t>T колодки №1 підш. млина 12-1</t>
  </si>
  <si>
    <t>T колодки №7 підш. млина 12-1</t>
  </si>
  <si>
    <t>8HFC12CT003XQ21</t>
  </si>
  <si>
    <t>8HFC12CT004XQ21</t>
  </si>
  <si>
    <t>T колодки №1 підш. млина 12-2</t>
  </si>
  <si>
    <t>T колодки №7 підш. млина 12-2</t>
  </si>
  <si>
    <t>8HFC13CT003XQ21</t>
  </si>
  <si>
    <t>8HFC13CT004XQ21</t>
  </si>
  <si>
    <t>T колодки №1 підш. млина 12-3</t>
  </si>
  <si>
    <t>T колодки №7 підш. млина 12-3</t>
  </si>
  <si>
    <t>8HFC15CT003XQ21</t>
  </si>
  <si>
    <t>8HFC15CT004XQ21</t>
  </si>
  <si>
    <t>T колодки №1 підш. млина 12-5</t>
  </si>
  <si>
    <t>T колодки №7 підш. млина 12-5</t>
  </si>
  <si>
    <t>8HFC16CT003XQ21</t>
  </si>
  <si>
    <t>8HFC16CT004XQ21</t>
  </si>
  <si>
    <t>T колодки №1 підш. млина 12-6</t>
  </si>
  <si>
    <t>T колодки №7 підш. млина 12-6</t>
  </si>
  <si>
    <t>8HFC14CT005XQ21</t>
  </si>
  <si>
    <t>8HFC14CT006XQ21</t>
  </si>
  <si>
    <t>8HFC14CT007XQ21</t>
  </si>
  <si>
    <t>8HFC14CT008XQ21</t>
  </si>
  <si>
    <t>8HFC14CT009XQ21</t>
  </si>
  <si>
    <t>8HFC14CT010XQ21</t>
  </si>
  <si>
    <t>T обмоток фази А  млин 12-4</t>
  </si>
  <si>
    <t>T обмоток фази A  млин 12-4</t>
  </si>
  <si>
    <t>T обмоток фази B  млин 12-4</t>
  </si>
  <si>
    <t>T обмоток фази C  млин 12-4</t>
  </si>
  <si>
    <t>T обмоток фази С  млин 12-4</t>
  </si>
  <si>
    <t>8HFC11CT005XQ21</t>
  </si>
  <si>
    <t>8HFC11CT006XQ21</t>
  </si>
  <si>
    <t>8HFC11CT007XQ21</t>
  </si>
  <si>
    <t>8HFC11CT008XQ21</t>
  </si>
  <si>
    <t>8HFC11CT009XQ21</t>
  </si>
  <si>
    <t>8HFC11CT010XQ21</t>
  </si>
  <si>
    <t>T обмоток фази А  млин 12-1</t>
  </si>
  <si>
    <t>T обмоток фази A  млин 12-1</t>
  </si>
  <si>
    <t>T обмоток фази B  млин 12-1</t>
  </si>
  <si>
    <t>T обмоток фази C  млин 12-1</t>
  </si>
  <si>
    <t>T обмоток фази С  млин 12-1</t>
  </si>
  <si>
    <t>8HFC12CT005XQ21</t>
  </si>
  <si>
    <t>8HFC12CT006XQ21</t>
  </si>
  <si>
    <t>8HFC12CT007XQ21</t>
  </si>
  <si>
    <t>8HFC12CT008XQ21</t>
  </si>
  <si>
    <t>8HFC12CT009XQ21</t>
  </si>
  <si>
    <t>8HFC12CT010XQ21</t>
  </si>
  <si>
    <t>T обмоток фази А  млин 12-2</t>
  </si>
  <si>
    <t>T обмоток фази A  млин 12-2</t>
  </si>
  <si>
    <t>T обмоток фази B  млин 12-2</t>
  </si>
  <si>
    <t>T обмоток фази C  млин 12-2</t>
  </si>
  <si>
    <t>T обмоток фази С  млин 12-2</t>
  </si>
  <si>
    <t>8HFC13CT005XQ21</t>
  </si>
  <si>
    <t>8HFC13CT006XQ21</t>
  </si>
  <si>
    <t>8HFC13CT007XQ21</t>
  </si>
  <si>
    <t>8HFC13CT008XQ21</t>
  </si>
  <si>
    <t>8HFC13CT009XQ21</t>
  </si>
  <si>
    <t>8HFC13CT010XQ21</t>
  </si>
  <si>
    <t>T обмоток фази А  млин 12-3</t>
  </si>
  <si>
    <t>T обмоток фази A  млин 12-3</t>
  </si>
  <si>
    <t>T обмоток фази B  млин 12-3</t>
  </si>
  <si>
    <t>T обмоток фази C  млин 12-3</t>
  </si>
  <si>
    <t>T обмоток фази С  млин 12-3</t>
  </si>
  <si>
    <t>8HFC15CT005XQ21</t>
  </si>
  <si>
    <t>8HFC15CT006XQ21</t>
  </si>
  <si>
    <t>8HFC15CT007XQ21</t>
  </si>
  <si>
    <t>8HFC15CT008XQ21</t>
  </si>
  <si>
    <t>8HFC15CT009XQ21</t>
  </si>
  <si>
    <t>8HFC15CT010XQ21</t>
  </si>
  <si>
    <t>T обмоток фази А  млин 12-5</t>
  </si>
  <si>
    <t>T обмоток фази A  млин 12-5</t>
  </si>
  <si>
    <t>T обмоток фази B  млин 12-5</t>
  </si>
  <si>
    <t>T обмоток фази C  млин 12-5</t>
  </si>
  <si>
    <t>T обмоток фази С  млин 12-5</t>
  </si>
  <si>
    <t>8HFC16CT005XQ21</t>
  </si>
  <si>
    <t>8HFC16CT006XQ21</t>
  </si>
  <si>
    <t>8HFC16CT007XQ21</t>
  </si>
  <si>
    <t>8HFC16CT008XQ21</t>
  </si>
  <si>
    <t>8HFC16CT009XQ21</t>
  </si>
  <si>
    <t>8HFC16CT010XQ21</t>
  </si>
  <si>
    <t>T обмоток фази А  млин 12-6</t>
  </si>
  <si>
    <t>T обмоток фази A  млин 12-6</t>
  </si>
  <si>
    <t>T обмоток фази B  млин 12-6</t>
  </si>
  <si>
    <t>T обмоток фази C  млин 12-6</t>
  </si>
  <si>
    <t>T обмоток фази С  млин 12-6</t>
  </si>
  <si>
    <t>8HFC14CT001XQ21</t>
  </si>
  <si>
    <t>8HFC14CT002XQ21</t>
  </si>
  <si>
    <t>8HFC11CT001XQ21</t>
  </si>
  <si>
    <t>8HFC11CT002XQ21</t>
  </si>
  <si>
    <t>8HFC12CT001XQ21</t>
  </si>
  <si>
    <t>8HFC12CT002XQ21</t>
  </si>
  <si>
    <t>8HFC13CT001XQ21</t>
  </si>
  <si>
    <t>8HFC13CT002XQ21</t>
  </si>
  <si>
    <t>8HFC15CT001XQ21</t>
  </si>
  <si>
    <t>8HFC15CT002XQ21</t>
  </si>
  <si>
    <t>8HFC16CT001XQ21</t>
  </si>
  <si>
    <t>8HFC16CT002XQ21</t>
  </si>
  <si>
    <t>8HFV11CT001XQ21</t>
  </si>
  <si>
    <t>8HFV12CT001XQ21</t>
  </si>
  <si>
    <t>8HFV13CT001XQ21</t>
  </si>
  <si>
    <t>8HFV14CT001XQ21</t>
  </si>
  <si>
    <t>8HFV15CT001XQ21</t>
  </si>
  <si>
    <t>8HFV16CT001XQ21</t>
  </si>
  <si>
    <t>8HFV11CT002XQ21</t>
  </si>
  <si>
    <t>8HFV12CT002XQ21</t>
  </si>
  <si>
    <t>8HFV13CT002XQ21</t>
  </si>
  <si>
    <t>8HFV14CT002XQ21</t>
  </si>
  <si>
    <t>8HFV15CT002XQ21</t>
  </si>
  <si>
    <t>8HFV16CT002XQ21</t>
  </si>
  <si>
    <t>8HFE11CT001XQ21</t>
  </si>
  <si>
    <t>8HFE11CT002XQ21</t>
  </si>
  <si>
    <t>8HFE12CT001XQ21</t>
  </si>
  <si>
    <t>8HFE12CT002XQ21</t>
  </si>
  <si>
    <t>8HFE13CT001XQ21</t>
  </si>
  <si>
    <t>8HFE13CT002XQ21</t>
  </si>
  <si>
    <t>8HFE14CT001XQ21</t>
  </si>
  <si>
    <t>8HFE14CT002XQ21</t>
  </si>
  <si>
    <t>8HFE15CT001XQ21</t>
  </si>
  <si>
    <t>8HFE15CT002XQ21</t>
  </si>
  <si>
    <t>8HFE16CT001XQ21</t>
  </si>
  <si>
    <t>8HFE16CT002XQ21</t>
  </si>
  <si>
    <t>8HFE11CT003XQ21</t>
  </si>
  <si>
    <t>8HFE11CT004XQ21</t>
  </si>
  <si>
    <t>8HFE12CT003XQ21</t>
  </si>
  <si>
    <t>8HFE12CT004XQ21</t>
  </si>
  <si>
    <t>8HFE13CT003XQ21</t>
  </si>
  <si>
    <t>8HFE13CT004XQ21</t>
  </si>
  <si>
    <t>8HFE14CT003XQ21</t>
  </si>
  <si>
    <t>8HFE14CT004XQ21</t>
  </si>
  <si>
    <t>8HFE15CT003XQ21</t>
  </si>
  <si>
    <t>8HFE15CT004XQ21</t>
  </si>
  <si>
    <t>8HFE16CT003XQ21</t>
  </si>
  <si>
    <t>8HFE16CT004XQ21</t>
  </si>
  <si>
    <t>8HFE11CT005XQ21</t>
  </si>
  <si>
    <t>8HFE11CT006XQ21</t>
  </si>
  <si>
    <t>8HFE11CT007XQ21</t>
  </si>
  <si>
    <t>8HFE11CT008XQ21</t>
  </si>
  <si>
    <t>8HFE11CT009XQ21</t>
  </si>
  <si>
    <t>8HFE11CT010XQ21</t>
  </si>
  <si>
    <t>T обмоток фази А  МВ 12-1</t>
  </si>
  <si>
    <t>T обмоток фази В  МВ 12-1</t>
  </si>
  <si>
    <t>T обмоток фази С  МВ 12-1</t>
  </si>
  <si>
    <t>8HFE12CT005XQ21</t>
  </si>
  <si>
    <t>8HFE12CT006XQ21</t>
  </si>
  <si>
    <t>8HFE12CT007XQ21</t>
  </si>
  <si>
    <t>8HFE12CT008XQ21</t>
  </si>
  <si>
    <t>8HFE12CT009XQ21</t>
  </si>
  <si>
    <t>8HFE12CT010XQ21</t>
  </si>
  <si>
    <t>T обмоток фази А  МВ 12-2</t>
  </si>
  <si>
    <t>T обмоток фази А МВ 12-2</t>
  </si>
  <si>
    <t>T обмоток фази В  МВ 12-2</t>
  </si>
  <si>
    <t>T обмоток фази С  МВ 12-2</t>
  </si>
  <si>
    <t>8HFE13CT005XQ21</t>
  </si>
  <si>
    <t>8HFE13CT006XQ21</t>
  </si>
  <si>
    <t>8HFE13CT007XQ21</t>
  </si>
  <si>
    <t>8HFE13CT008XQ21</t>
  </si>
  <si>
    <t>8HFE13CT009XQ21</t>
  </si>
  <si>
    <t>8HFE13CT010XQ21</t>
  </si>
  <si>
    <t>T обмоток фази А  МВ 12-3</t>
  </si>
  <si>
    <t>T обмоток фази В  МВ 12-3</t>
  </si>
  <si>
    <t>T обмоток фази С  МВ 12-3</t>
  </si>
  <si>
    <t>8HFE14CT005XQ21</t>
  </si>
  <si>
    <t>8HFE14CT006XQ21</t>
  </si>
  <si>
    <t>8HFE14CT007XQ21</t>
  </si>
  <si>
    <t>8HFE14CT008XQ21</t>
  </si>
  <si>
    <t>8HFE14CT009XQ21</t>
  </si>
  <si>
    <t>8HFE14CT010XQ21</t>
  </si>
  <si>
    <t>T обмоток фази А  МВ 12-4</t>
  </si>
  <si>
    <t>T обмоток фази В  МВ 12-4</t>
  </si>
  <si>
    <t>T обмоток фази С  МВ 12-4</t>
  </si>
  <si>
    <t>8HFE15CT005XQ21</t>
  </si>
  <si>
    <t>8HFE15CT006XQ21</t>
  </si>
  <si>
    <t>8HFE15CT007XQ21</t>
  </si>
  <si>
    <t>8HFE15CT008XQ21</t>
  </si>
  <si>
    <t>8HFE15CT009XQ21</t>
  </si>
  <si>
    <t>8HFE15CT010XQ21</t>
  </si>
  <si>
    <t>T обмоток фази А  МВ 12-5</t>
  </si>
  <si>
    <t>T обмоток фази В  МВ 12-5</t>
  </si>
  <si>
    <t>T обмоток фази С  МВ 12-5</t>
  </si>
  <si>
    <t>8HFE16CT005XQ21</t>
  </si>
  <si>
    <t>8HFE16CT006XQ21</t>
  </si>
  <si>
    <t>8HFE16CT007XQ21</t>
  </si>
  <si>
    <t>8HFE16CT008XQ21</t>
  </si>
  <si>
    <t>8HFE16CT009XQ21</t>
  </si>
  <si>
    <t>8HFE16CT010XQ21</t>
  </si>
  <si>
    <t>T обмоток фази А  МВ 12-6</t>
  </si>
  <si>
    <t>T обмоток фази В  МВ 12-6</t>
  </si>
  <si>
    <t>T обмоток фази С  МВ 12-6</t>
  </si>
  <si>
    <t>8HFE11CT101XQ11</t>
  </si>
  <si>
    <t>8HFE12CT101XQ11</t>
  </si>
  <si>
    <t>8HFE13CT101XQ11</t>
  </si>
  <si>
    <t>8HFE14CT101XQ11</t>
  </si>
  <si>
    <t>8HFE15CT101XQ11</t>
  </si>
  <si>
    <t>8HFE16CT101XQ11</t>
  </si>
  <si>
    <t>8HFE22CT001XQ21</t>
  </si>
  <si>
    <t>8HFE22CT002XQ21</t>
  </si>
  <si>
    <t>8HFE23CT001XQ21</t>
  </si>
  <si>
    <t>8HFE23CT002XQ21</t>
  </si>
  <si>
    <t>8HFE24CT001XQ21</t>
  </si>
  <si>
    <t>8HFE24CT002XQ21</t>
  </si>
  <si>
    <t>8HFE25CT001XQ21</t>
  </si>
  <si>
    <t>8HFE25CT002XQ21</t>
  </si>
  <si>
    <t>8HFE26CT001XQ21</t>
  </si>
  <si>
    <t>8HFE26CT002XQ21</t>
  </si>
  <si>
    <t>8LCJ10CT001XQ21</t>
  </si>
  <si>
    <t>8LCJ20CT001XQ21</t>
  </si>
  <si>
    <t>8LCJ30CT001XQ21</t>
  </si>
  <si>
    <t>8LCJ40CT001XQ21</t>
  </si>
  <si>
    <t>8LBS60CT001XQ11</t>
  </si>
  <si>
    <t>8LBS70CT001XQ11</t>
  </si>
  <si>
    <t>8LBS70CT002XQ11</t>
  </si>
  <si>
    <t>8LBS80CT001XQ11</t>
  </si>
  <si>
    <t>8LBQ60CT001XQ11</t>
  </si>
  <si>
    <t>8LCH60CT001XQ21</t>
  </si>
  <si>
    <t>8LCH70CT001XQ21</t>
  </si>
  <si>
    <t>8LCH80CT001XQ21</t>
  </si>
  <si>
    <t>8HHF10CT001XQ21</t>
  </si>
  <si>
    <t>8PAB10CT279XQ21</t>
  </si>
  <si>
    <t>8PCM11CT001XQ21</t>
  </si>
  <si>
    <t>8MKF11CT001XQ21</t>
  </si>
  <si>
    <t>8MKF11CT002XQ21</t>
  </si>
  <si>
    <t>8MKF12CT001XQ21</t>
  </si>
  <si>
    <t>8MKF12CT002XQ21</t>
  </si>
  <si>
    <t>8PCM11CT002XQ21</t>
  </si>
  <si>
    <t>8PCM12CT002XQ21</t>
  </si>
  <si>
    <t>8MKA10CT006XQ21</t>
  </si>
  <si>
    <t>8MKA10CT007XQ21</t>
  </si>
  <si>
    <t>8MKA10CT008XQ21</t>
  </si>
  <si>
    <t>8MKA10CT009XQ21</t>
  </si>
  <si>
    <t>8MKA10CT010XQ21</t>
  </si>
  <si>
    <t>8MKA10CT001XQ21</t>
  </si>
  <si>
    <t>8MKA10CT002XQ21</t>
  </si>
  <si>
    <t>8MKA10CT003XQ21</t>
  </si>
  <si>
    <t>8MKA10CT004XQ21</t>
  </si>
  <si>
    <t>8MKA10CT005XQ21</t>
  </si>
  <si>
    <t>8MKA10CT011XQ21</t>
  </si>
  <si>
    <t>8MKA10CT012XQ21</t>
  </si>
  <si>
    <t>8MKA10CT013XQ21</t>
  </si>
  <si>
    <t>8MKA10CT014XQ21</t>
  </si>
  <si>
    <t>8MKA10CT015XQ21</t>
  </si>
  <si>
    <t>8MKA10CT016XQ21</t>
  </si>
  <si>
    <t>8MKA10CT017XQ21</t>
  </si>
  <si>
    <t>8MKA10CT018XQ21</t>
  </si>
  <si>
    <t>8MKA10CT019XQ21</t>
  </si>
  <si>
    <t>8MKA10CT020XQ21</t>
  </si>
  <si>
    <t>8MKA10CT021XQ21</t>
  </si>
  <si>
    <t>8MKA10CT022XQ21</t>
  </si>
  <si>
    <t>8MKA10CT023XQ21</t>
  </si>
  <si>
    <t>8MKA10CT024XQ21</t>
  </si>
  <si>
    <t>8MKA10CT025XQ21</t>
  </si>
  <si>
    <t>8MKA10CT026XQ21</t>
  </si>
  <si>
    <t>8MKA10CT027XQ21</t>
  </si>
  <si>
    <t>8MKA10CT028XQ21</t>
  </si>
  <si>
    <t>8MKA10CT029XQ21</t>
  </si>
  <si>
    <t>8MKA10CT030XQ21</t>
  </si>
  <si>
    <t>8MKA10CT031XQ21</t>
  </si>
  <si>
    <t>8MKA10CT032XQ21</t>
  </si>
  <si>
    <t>8MKA10CT033XQ21</t>
  </si>
  <si>
    <t>8MKA10CT034XQ21</t>
  </si>
  <si>
    <t>8MKA10CT035XQ21</t>
  </si>
  <si>
    <t>8MKA10CT036XQ21</t>
  </si>
  <si>
    <t>8MKA10CT037XQ21</t>
  </si>
  <si>
    <t>8MKA10CT038XQ21</t>
  </si>
  <si>
    <t>8MKA10CT039XQ21</t>
  </si>
  <si>
    <t>8MKA10CT040XQ21</t>
  </si>
  <si>
    <t>8MKA10CT041XQ21</t>
  </si>
  <si>
    <t>8MKA10CT042XQ21</t>
  </si>
  <si>
    <t>8MKD10CT069XQ21</t>
  </si>
  <si>
    <t>8MKD10CT070XQ21</t>
  </si>
  <si>
    <t>8MKD10CT173XQ21</t>
  </si>
  <si>
    <t>8MKD10CT174XQ21</t>
  </si>
  <si>
    <t>8MAD15CT001XQ21</t>
  </si>
  <si>
    <t>8MAD15CT002XQ21</t>
  </si>
  <si>
    <t>T оп.підш. №5 25 Т</t>
  </si>
  <si>
    <t>8MKF30CT001XQ21</t>
  </si>
  <si>
    <t>8MKA10CT043XQ21</t>
  </si>
  <si>
    <t>8MKA10CT044XQ21</t>
  </si>
  <si>
    <t>8MKA10CT045XQ21</t>
  </si>
  <si>
    <t>8MKA10CT049XQ21</t>
  </si>
  <si>
    <t>8MKA10CT050XQ21</t>
  </si>
  <si>
    <t>8MKA10CT051XQ21</t>
  </si>
  <si>
    <t>8MKA10CT052XQ21</t>
  </si>
  <si>
    <t>8MKA10CT053XQ21</t>
  </si>
  <si>
    <t>8MKA10CT054XQ21</t>
  </si>
  <si>
    <t>8MKA10CT143XQ21</t>
  </si>
  <si>
    <t>8MKA10CT144XQ21</t>
  </si>
  <si>
    <t>8MKA10CT145XQ21</t>
  </si>
  <si>
    <t>8MKA10CT061XQ21</t>
  </si>
  <si>
    <t>8MKA10CT062XQ21</t>
  </si>
  <si>
    <t>8MKA10CT063XQ21</t>
  </si>
  <si>
    <t>8MKA10CT064XQ21</t>
  </si>
  <si>
    <t>8MKA10CT065XQ21</t>
  </si>
  <si>
    <t>8MKA10CT066XQ21</t>
  </si>
  <si>
    <t>8MKA10CT067XQ21</t>
  </si>
  <si>
    <t>8MKA10CT068XQ21</t>
  </si>
  <si>
    <t>Т нажимних кілець</t>
  </si>
  <si>
    <t>8MKF10CT086XQ21</t>
  </si>
  <si>
    <t>8MKF10CT087XQ21</t>
  </si>
  <si>
    <t>8MKF10CT088XQ21</t>
  </si>
  <si>
    <t>8MKG10CT055XQ21</t>
  </si>
  <si>
    <t>8MKG10CT056XQ21</t>
  </si>
  <si>
    <t>8MKG10CT057XQ21</t>
  </si>
  <si>
    <t>8MKG10CT058XQ21</t>
  </si>
  <si>
    <t>8MKG10CT059XQ21</t>
  </si>
  <si>
    <t>8MKG10CT060XQ21</t>
  </si>
  <si>
    <t>8MKG10CT155XQ21</t>
  </si>
  <si>
    <t>8MKG10CT156XQ21</t>
  </si>
  <si>
    <t>8MKG10CT157XQ21</t>
  </si>
  <si>
    <t>8MKG10CT158XQ21</t>
  </si>
  <si>
    <t>8MKG10CT076XQ21</t>
  </si>
  <si>
    <t>8MKG10CT077XQ21</t>
  </si>
  <si>
    <t>8MKG10CT091XQ21</t>
  </si>
  <si>
    <t>8MKG10CT092XQ21</t>
  </si>
  <si>
    <t>Т гарячого газу до осушувача</t>
  </si>
  <si>
    <t>Т холодн газу після осушувача</t>
  </si>
  <si>
    <t>8PAB10CT080XQ21</t>
  </si>
  <si>
    <t>8PAB10CT081XQ21</t>
  </si>
  <si>
    <t>8PAB10CT082XQ21</t>
  </si>
  <si>
    <t>8PAB10CT083XQ21</t>
  </si>
  <si>
    <t>8PAB10CT179XQ21</t>
  </si>
  <si>
    <t>8LAC11CT001XQ21</t>
  </si>
  <si>
    <t>8LAC11CT002XQ21</t>
  </si>
  <si>
    <t>8LAC11CT003XQ21</t>
  </si>
  <si>
    <t>8LAC12CT001XQ21</t>
  </si>
  <si>
    <t>8LAC12CT002XQ21</t>
  </si>
  <si>
    <t>8LAC12CT003XQ21</t>
  </si>
  <si>
    <t>8LAC11CT004XQ21</t>
  </si>
  <si>
    <t>8LAC11CT005XQ21</t>
  </si>
  <si>
    <t>8LAC11CT006XQ21</t>
  </si>
  <si>
    <t>8LAC11CT007XQ21</t>
  </si>
  <si>
    <t>8LAC11CT008XQ21</t>
  </si>
  <si>
    <t>8LAC11CT009XQ21</t>
  </si>
  <si>
    <t>8LAC12CT004XQ21</t>
  </si>
  <si>
    <t>8LAC12CT005XQ21</t>
  </si>
  <si>
    <t>8LAC12CT006XQ21</t>
  </si>
  <si>
    <t>8LAC12CT007XQ21</t>
  </si>
  <si>
    <t>8LAC12CT008XQ21</t>
  </si>
  <si>
    <t>8LAC12CT009XQ21</t>
  </si>
  <si>
    <t>8LAC11CT010XQ21</t>
  </si>
  <si>
    <t>8LAC11CT011XQ21</t>
  </si>
  <si>
    <t>8LAC11CT012XQ21</t>
  </si>
  <si>
    <t>8LAC11CT013XQ21</t>
  </si>
  <si>
    <t>8LAC11CT014XQ21</t>
  </si>
  <si>
    <t>8LAC11CT015XQ21</t>
  </si>
  <si>
    <t>8LAC11CT016XQ21</t>
  </si>
  <si>
    <t>8LAC11CT017XQ21</t>
  </si>
  <si>
    <t>8LAC11CT018XQ21</t>
  </si>
  <si>
    <t>8LAC12CT010XQ21</t>
  </si>
  <si>
    <t>8LAC12CT011XQ21</t>
  </si>
  <si>
    <t>8LAC12CT012XQ21</t>
  </si>
  <si>
    <t>8LAC12CT013XQ21</t>
  </si>
  <si>
    <t>8LAC12CT014XQ21</t>
  </si>
  <si>
    <t>8LAC12CT015XQ21</t>
  </si>
  <si>
    <t>8LAC12CT016XQ21</t>
  </si>
  <si>
    <t>8LAC12CT017XQ21</t>
  </si>
  <si>
    <t>8LAC12CT018XQ21</t>
  </si>
  <si>
    <t>8LBQ50CT001XQ11</t>
  </si>
  <si>
    <t>8PAC10CT001XQ21</t>
  </si>
  <si>
    <t>8PAC20CT001XQ21</t>
  </si>
  <si>
    <t>8PAC20CT002XQ21</t>
  </si>
  <si>
    <t>8MAG10CT004XQ21</t>
  </si>
  <si>
    <t>8MAG20CT004XQ21</t>
  </si>
  <si>
    <t>8MAG10CT001XQ21</t>
  </si>
  <si>
    <t>8MAG20CT001XQ21</t>
  </si>
  <si>
    <t>8MAG10CT006XQ21</t>
  </si>
  <si>
    <t>8LCA10CT001XQ21</t>
  </si>
  <si>
    <t>8MAG20CT002XQ11</t>
  </si>
  <si>
    <t>8MAG10CT003XQ11</t>
  </si>
  <si>
    <t>8MAG20CT003XQ11</t>
  </si>
  <si>
    <t>8LCB11CT001XQ21</t>
  </si>
  <si>
    <t>8LCB11CT002XQ21</t>
  </si>
  <si>
    <t>8LCB11CT003XQ21</t>
  </si>
  <si>
    <t>8LCB11CT004XQ21</t>
  </si>
  <si>
    <t>8LCB11CT005XQ21</t>
  </si>
  <si>
    <t>8LCB11CT006XQ21</t>
  </si>
  <si>
    <t>8LCB11CT007XQ21</t>
  </si>
  <si>
    <t>8LCB11CT008XQ21</t>
  </si>
  <si>
    <t>8LCB12CT001XQ21</t>
  </si>
  <si>
    <t>8LCB12CT002XQ21</t>
  </si>
  <si>
    <t>8LCB12CT003XQ21</t>
  </si>
  <si>
    <t>8LCB12CT004XQ21</t>
  </si>
  <si>
    <t>8LCB12CT005XQ21</t>
  </si>
  <si>
    <t>8LCB12CT006XQ21</t>
  </si>
  <si>
    <t>8LCB12CT007XQ21</t>
  </si>
  <si>
    <t>8LCB12CT008XQ21</t>
  </si>
  <si>
    <t>T підш.е/д КН-8А (ст.вентилят)</t>
  </si>
  <si>
    <t>T підш.е/д КН-8А (ст.привода)</t>
  </si>
  <si>
    <t>T міді U е/д КН-8А</t>
  </si>
  <si>
    <t>T заліза U е/д КН-8А</t>
  </si>
  <si>
    <t>T міді V е/д КН-8А</t>
  </si>
  <si>
    <t>T заліза V е/д КН-8А</t>
  </si>
  <si>
    <t>T міді W е/д КН-8А</t>
  </si>
  <si>
    <t>T заліза W е/д КН-8А</t>
  </si>
  <si>
    <t>T підш.е/д КН-8Б (ст.вентилят)</t>
  </si>
  <si>
    <t>T підш.е/д КН-8Б (ст.привода)</t>
  </si>
  <si>
    <t>T міді U е/д КН-8Б</t>
  </si>
  <si>
    <t>T заліза U е/д КН-8Б</t>
  </si>
  <si>
    <t>T міді V е/д КН-8Б</t>
  </si>
  <si>
    <t>T заліза V е/д КН-8Б</t>
  </si>
  <si>
    <t>T міді W е/д КН-8Б</t>
  </si>
  <si>
    <t>T заліза W е/д КН-8Б</t>
  </si>
  <si>
    <t>8HAH32CT012XQ11</t>
  </si>
  <si>
    <t>8HAH32CT013XQ11</t>
  </si>
  <si>
    <t>8HAH32CT014XQ11</t>
  </si>
  <si>
    <t>8HAH33CT001XQ11</t>
  </si>
  <si>
    <t>8HAH33CT002XQ11</t>
  </si>
  <si>
    <t>8HAH33CT003XQ11</t>
  </si>
  <si>
    <t>8HAH33CT004XQ11</t>
  </si>
  <si>
    <t>8HAH33CT005XQ11</t>
  </si>
  <si>
    <t>8HAH11CT001XQ11</t>
  </si>
  <si>
    <t>8HAH11CT002XQ11</t>
  </si>
  <si>
    <t>8HAH11CT003XQ11</t>
  </si>
  <si>
    <t>8HAH11CT004XQ11</t>
  </si>
  <si>
    <t>8HAH11CT005XQ11</t>
  </si>
  <si>
    <t>8HAH11CT006XQ11</t>
  </si>
  <si>
    <t>8HAH11CT007XQ11</t>
  </si>
  <si>
    <t>8HAH11CT008XQ11</t>
  </si>
  <si>
    <t>8HAH11CT009XQ11</t>
  </si>
  <si>
    <t>8HAH11CT010XQ11</t>
  </si>
  <si>
    <t>8HAH11CT011XQ11</t>
  </si>
  <si>
    <t>8HAH11CT012XQ11</t>
  </si>
  <si>
    <t>8HAH11CT013XQ11</t>
  </si>
  <si>
    <t>8HAH11CT014XQ11</t>
  </si>
  <si>
    <t>8HAH11CT015XQ11</t>
  </si>
  <si>
    <t>8HAH12CT001XQ11</t>
  </si>
  <si>
    <t>8HAH12CT002XQ11</t>
  </si>
  <si>
    <t>8HAH12CT003XQ11</t>
  </si>
  <si>
    <t>8HAH12CT004XQ11</t>
  </si>
  <si>
    <t>8HAH12CT005XQ11</t>
  </si>
  <si>
    <t>8HAH12CT006XQ11</t>
  </si>
  <si>
    <t>8HAH12CT007XQ11</t>
  </si>
  <si>
    <t>8HAH12CT008XQ11</t>
  </si>
  <si>
    <t>8HAH12CT009XQ11</t>
  </si>
  <si>
    <t>8HAH12CT010XQ11</t>
  </si>
  <si>
    <t>8HAH12CT011XQ11</t>
  </si>
  <si>
    <t>8HAH12CT012XQ11</t>
  </si>
  <si>
    <t>8HAH12CT013XQ11</t>
  </si>
  <si>
    <t>8HAH12CT014XQ11</t>
  </si>
  <si>
    <t>8HAH12CT015XQ11</t>
  </si>
  <si>
    <t>8HAH21CT001XQ11</t>
  </si>
  <si>
    <t>8HAH21CT002XQ11</t>
  </si>
  <si>
    <t>8HAH21CT014XQ11</t>
  </si>
  <si>
    <t>8HAH21CT015XQ11</t>
  </si>
  <si>
    <t>8HAH21CT003XQ11</t>
  </si>
  <si>
    <t>8HAH21CT004XQ11</t>
  </si>
  <si>
    <t>8HAH21CT005XQ11</t>
  </si>
  <si>
    <t>8HAH21CT006XQ11</t>
  </si>
  <si>
    <t>8HAH21CT016XQ11</t>
  </si>
  <si>
    <t>8HAH21CT017XQ11</t>
  </si>
  <si>
    <t>8HAH21CT007XQ11</t>
  </si>
  <si>
    <t>8HAH21CT008XQ11</t>
  </si>
  <si>
    <t>8HAH21CT009XQ11</t>
  </si>
  <si>
    <t>8HAH21CT010XQ11</t>
  </si>
  <si>
    <t>8HAH21CT011XQ11</t>
  </si>
  <si>
    <t>8HAH21CT012XQ11</t>
  </si>
  <si>
    <t>8HAH21CT018XQ11</t>
  </si>
  <si>
    <t>8HAH22CT001XQ11</t>
  </si>
  <si>
    <t>8HAH22CT002XQ11</t>
  </si>
  <si>
    <t>8HAH22CT003XQ11</t>
  </si>
  <si>
    <t>8HAH22CT004XQ11</t>
  </si>
  <si>
    <t>8HAH22CT005XQ11</t>
  </si>
  <si>
    <t>8HAH22CT006XQ11</t>
  </si>
  <si>
    <t>8HAH22CT007XQ11</t>
  </si>
  <si>
    <t>8HAH22CT008XQ11</t>
  </si>
  <si>
    <t>8HAH22CT009XQ11</t>
  </si>
  <si>
    <t>8HAH22CT010XQ11</t>
  </si>
  <si>
    <t>8HAH22CT011XQ11</t>
  </si>
  <si>
    <t>8HAH22CT012XQ11</t>
  </si>
  <si>
    <t>8HAH22CT014XQ11</t>
  </si>
  <si>
    <t>8HAH22CT015XQ11</t>
  </si>
  <si>
    <t>8HAH22CT016XQ11</t>
  </si>
  <si>
    <t>8HAH22CT017XQ11</t>
  </si>
  <si>
    <t>8HAH22CT018XQ11</t>
  </si>
  <si>
    <t>8HAH23CT001XQ11</t>
  </si>
  <si>
    <t>8HAH23CT002XQ11</t>
  </si>
  <si>
    <t>8HAH23CT003XQ11</t>
  </si>
  <si>
    <t>8HAH23CT004XQ11</t>
  </si>
  <si>
    <t>8HAH23CT005XQ11</t>
  </si>
  <si>
    <t>8HAH23CT006XQ11</t>
  </si>
  <si>
    <t>8HAH23CT007XQ11</t>
  </si>
  <si>
    <t>8HAH23CT008XQ11</t>
  </si>
  <si>
    <t>8HAH23CT009XQ11</t>
  </si>
  <si>
    <t>8HAH23CT010XQ11</t>
  </si>
  <si>
    <t>8HAH23CT011XQ11</t>
  </si>
  <si>
    <t>8HAH23CT012XQ11</t>
  </si>
  <si>
    <t>8HAH24CT001XQ11</t>
  </si>
  <si>
    <t>8HAH24CT002XQ11</t>
  </si>
  <si>
    <t>8HAH24CT003XQ11</t>
  </si>
  <si>
    <t>8HAH24CT004XQ11</t>
  </si>
  <si>
    <t>8HAH24CT005XQ11</t>
  </si>
  <si>
    <t>8HAH24CT006XQ11</t>
  </si>
  <si>
    <t>8HAH24CT007XQ11</t>
  </si>
  <si>
    <t>8HAH24CT008XQ11</t>
  </si>
  <si>
    <t>8HAH24CT009XQ11</t>
  </si>
  <si>
    <t>8HAH24CT010XQ11</t>
  </si>
  <si>
    <t>8HAH24CT011XQ11</t>
  </si>
  <si>
    <t>8HAH24CT012XQ11</t>
  </si>
  <si>
    <t>8HAH24CT013XQ11</t>
  </si>
  <si>
    <t>8HAH24CT014XQ11</t>
  </si>
  <si>
    <t>8HAH30CT001XQ11</t>
  </si>
  <si>
    <t>8HAH30CT002XQ11</t>
  </si>
  <si>
    <t>8HAH30CT003XQ11</t>
  </si>
  <si>
    <t>8HAH30CT004XQ11</t>
  </si>
  <si>
    <t>8HAH30CT005XQ11</t>
  </si>
  <si>
    <t>8HAH30CT006XQ11</t>
  </si>
  <si>
    <t>8HAH30CT007XQ11</t>
  </si>
  <si>
    <t>8HAH30CT008XQ11</t>
  </si>
  <si>
    <t>8HAH30CT009XQ11</t>
  </si>
  <si>
    <t>8HAH30CT010XQ11</t>
  </si>
  <si>
    <t>8HAH30CT011XQ11</t>
  </si>
  <si>
    <t>8HAH30CT012XQ11</t>
  </si>
  <si>
    <t>8HAH30CT013XQ11</t>
  </si>
  <si>
    <t>8HAH30CT014XQ11</t>
  </si>
  <si>
    <t>T колекторів між 1-2 ст. ширм Б1</t>
  </si>
  <si>
    <t>T колекторів між 1-2 ст. ширм Б2</t>
  </si>
  <si>
    <t>T колекторів між 1-2 ст. ширм Б3</t>
  </si>
  <si>
    <t>T колекторів між 1-2 ст. ширм Б4</t>
  </si>
  <si>
    <t>T колекторів між 1-2 ст. ширм Б5</t>
  </si>
  <si>
    <t>T колекторів між 1-2 ст. ширм Б6</t>
  </si>
  <si>
    <t>T колекторів між 1-2 ст. ширм Б7</t>
  </si>
  <si>
    <t>8HAH32CT001XQ11</t>
  </si>
  <si>
    <t>8HAH32CT002XQ11</t>
  </si>
  <si>
    <t>8HAH32CT003XQ11</t>
  </si>
  <si>
    <t>8HAH32CT004XQ11</t>
  </si>
  <si>
    <t>8HAH32CT005XQ11</t>
  </si>
  <si>
    <t>8HAH32CT006XQ11</t>
  </si>
  <si>
    <t>8HAH32CT007XQ11</t>
  </si>
  <si>
    <t>8HAH32CT008XQ11</t>
  </si>
  <si>
    <t>8HAH32CT009XQ11</t>
  </si>
  <si>
    <t>8HAH32CT010XQ11</t>
  </si>
  <si>
    <t>8HAH32CT011XQ11</t>
  </si>
  <si>
    <t>8HAH33CT006XQ11</t>
  </si>
  <si>
    <t>8HAH33CT007XQ11</t>
  </si>
  <si>
    <t>8HAH33CT008XQ11</t>
  </si>
  <si>
    <t>8HAH33CT009XQ11</t>
  </si>
  <si>
    <t>8HAH33CT010XQ11</t>
  </si>
  <si>
    <t>8HAH33CT011XQ11</t>
  </si>
  <si>
    <t>8HAH33CT012XQ11</t>
  </si>
  <si>
    <t>8HAH33CT013XQ11</t>
  </si>
  <si>
    <t>8HAH33CT014XQ11</t>
  </si>
  <si>
    <t>8HAH33CT015XQ11</t>
  </si>
  <si>
    <t>8HAH33CT016XQ11</t>
  </si>
  <si>
    <t>8HAH33CT017XQ11</t>
  </si>
  <si>
    <t>8HAH34CT001XQ11</t>
  </si>
  <si>
    <t>8HAH34CT002XQ11</t>
  </si>
  <si>
    <t>8HAH34CT003XQ11</t>
  </si>
  <si>
    <t>8HAH34CT004XQ11</t>
  </si>
  <si>
    <t>8HAH34CT005XQ11</t>
  </si>
  <si>
    <t>8HAH34CT006XQ11</t>
  </si>
  <si>
    <t>8HAH34CT007XQ11</t>
  </si>
  <si>
    <t>8HAH34CT008XQ11</t>
  </si>
  <si>
    <t>8HAH34CT009XQ11</t>
  </si>
  <si>
    <t>8HAH34CT010XQ11</t>
  </si>
  <si>
    <t>8HAH34CT011XQ11</t>
  </si>
  <si>
    <t>8HAH34CT012XQ11</t>
  </si>
  <si>
    <t>8HAH34CT013XQ11</t>
  </si>
  <si>
    <t>8HAH34CT014XQ11</t>
  </si>
  <si>
    <t>8HAH34CT015XQ11</t>
  </si>
  <si>
    <t>8HAH34CT016XQ11</t>
  </si>
  <si>
    <t>8HAH34CT017XQ11</t>
  </si>
  <si>
    <t>8HAH34CT018XQ11</t>
  </si>
  <si>
    <t>8HAH23CT013XQ11</t>
  </si>
  <si>
    <t>8HAH23CT014XQ11</t>
  </si>
  <si>
    <t>T мет.вих.гар.ширм 2ст. А15</t>
  </si>
  <si>
    <t>T мет.вих.гар.ширм 2ст. А17</t>
  </si>
  <si>
    <t>T мет.вих.гар.ширм 2ст. А18</t>
  </si>
  <si>
    <t>8HAH33CT018XQ11</t>
  </si>
  <si>
    <t>T мет.вих.гар.ширм 2ст. А16</t>
  </si>
  <si>
    <t>8HAH22CT013XQ11</t>
  </si>
  <si>
    <t>8HAH21CT013XQ11</t>
  </si>
  <si>
    <t>8LBA20CT007XQ11</t>
  </si>
  <si>
    <t>8LBA20CT009XQ11</t>
  </si>
  <si>
    <t>8LBA10CT002XQ11</t>
  </si>
  <si>
    <t>8LBA20CT002XQ11</t>
  </si>
  <si>
    <t>8LBA10CT003XQ11</t>
  </si>
  <si>
    <t>8LBA20CT005XQ11</t>
  </si>
  <si>
    <t>8LBA10CT103XQ11</t>
  </si>
  <si>
    <t>8LBA20CT103XQ11</t>
  </si>
  <si>
    <t>8LBA10CT104XQ11</t>
  </si>
  <si>
    <t>8LBA10CT105XQ11</t>
  </si>
  <si>
    <t>8LBA20CT104XQ11</t>
  </si>
  <si>
    <t>8LBA20CT105XQ11</t>
  </si>
  <si>
    <t>8LBA10CT004XQ11</t>
  </si>
  <si>
    <t>8LBA10CT006XQ11</t>
  </si>
  <si>
    <t>8LBA20CT004XQ11</t>
  </si>
  <si>
    <t>8LBA20CT006XQ11</t>
  </si>
  <si>
    <t>8LBA20CT003XQ11</t>
  </si>
  <si>
    <t>8LBA10CT005XQ11</t>
  </si>
  <si>
    <t>8HAK10CT011XQ11</t>
  </si>
  <si>
    <t>8HAK10CT012XQ11</t>
  </si>
  <si>
    <t>8HAK10CT013XQ11</t>
  </si>
  <si>
    <t>8HAK10CT014XQ11</t>
  </si>
  <si>
    <t>8HAK20CT011XQ11</t>
  </si>
  <si>
    <t>8HAK20CT012XQ11</t>
  </si>
  <si>
    <t>8HAK20CT013XQ11</t>
  </si>
  <si>
    <t>8HAK20CT014XQ11</t>
  </si>
  <si>
    <t>8HBB10CT001XQ11</t>
  </si>
  <si>
    <t>8HBB10CT002XQ11</t>
  </si>
  <si>
    <t>8HBB10CT003XQ11</t>
  </si>
  <si>
    <t>8HBB10CT004XQ11</t>
  </si>
  <si>
    <t>8HBB10CT005XQ11</t>
  </si>
  <si>
    <t>8HBB10CT006XQ11</t>
  </si>
  <si>
    <t>8HBB10CT007XQ11</t>
  </si>
  <si>
    <t>8HBB10CT008XQ11</t>
  </si>
  <si>
    <t>8HBB10CT009XQ11</t>
  </si>
  <si>
    <t>8HBB10CT010XQ11</t>
  </si>
  <si>
    <t>8HBB10CT011XQ11</t>
  </si>
  <si>
    <t>8HBB10CT012XQ11</t>
  </si>
  <si>
    <t>8HBB10CT013XQ11</t>
  </si>
  <si>
    <t>8HBB10CT014XQ11</t>
  </si>
  <si>
    <t>8HBB10CT015XQ11</t>
  </si>
  <si>
    <t>8HBB10CT016XQ11</t>
  </si>
  <si>
    <t>8HBB10CT017XQ11</t>
  </si>
  <si>
    <t>8HBB10CT018XQ11</t>
  </si>
  <si>
    <t>8HBB10CT019XQ11</t>
  </si>
  <si>
    <t>8HBB10CT020XQ11</t>
  </si>
  <si>
    <t>8HBB10CT021XQ11</t>
  </si>
  <si>
    <t>8HBB10CT022XQ11</t>
  </si>
  <si>
    <t>8HBB10CT023XQ11</t>
  </si>
  <si>
    <t>8HBB10CT024XQ11</t>
  </si>
  <si>
    <t>8HAK10CT015XQ11</t>
  </si>
  <si>
    <t>8HAK10CT016XQ11</t>
  </si>
  <si>
    <t>8HAK10CT017XQ11</t>
  </si>
  <si>
    <t>8HAK10CT018XQ11</t>
  </si>
  <si>
    <t>8HAK10CT019XQ11</t>
  </si>
  <si>
    <t>8HAK10CT020XQ11</t>
  </si>
  <si>
    <t>8HAK10CT021XQ11</t>
  </si>
  <si>
    <t>8HAK10CT022XQ11</t>
  </si>
  <si>
    <t>8HAK10CT023XQ11</t>
  </si>
  <si>
    <t>8HAK10CT024XQ11</t>
  </si>
  <si>
    <t>8LAF10CT001XQ11</t>
  </si>
  <si>
    <t>8LAF20CT001XQ11</t>
  </si>
  <si>
    <t>8LAE10CT001XQ11</t>
  </si>
  <si>
    <t>8LAE10CT002XQ11</t>
  </si>
  <si>
    <t>8LAE20CT001XQ11</t>
  </si>
  <si>
    <t>8LAE20CT002XQ11</t>
  </si>
  <si>
    <t>8LBA10CT013XQ11</t>
  </si>
  <si>
    <t>8LBA10CT014XQ11</t>
  </si>
  <si>
    <t>8LBA10CT015XQ11</t>
  </si>
  <si>
    <t>8LBA10CT016XQ11</t>
  </si>
  <si>
    <t>8LBA20CT013XQ11</t>
  </si>
  <si>
    <t>8LBA20CT014XQ11</t>
  </si>
  <si>
    <t>8LBA20CT015XQ11</t>
  </si>
  <si>
    <t>8LBA20CT016XQ11</t>
  </si>
  <si>
    <t>8LBA10CT017XQ11</t>
  </si>
  <si>
    <t>8LBA10CT018XQ11</t>
  </si>
  <si>
    <t>8LBA10CT019XQ11</t>
  </si>
  <si>
    <t>8LBA10CT020XQ11</t>
  </si>
  <si>
    <t>8LBA20CT017XQ11</t>
  </si>
  <si>
    <t>8LBA20CT018XQ11</t>
  </si>
  <si>
    <t>8LBA20CT019XQ11</t>
  </si>
  <si>
    <t>8LBA20CT020XQ11</t>
  </si>
  <si>
    <t>8LBA10CT007XQ11</t>
  </si>
  <si>
    <t>8LBA10CT009XQ11</t>
  </si>
  <si>
    <t>8LBC10CT001XQ11</t>
  </si>
  <si>
    <t>8LBC20CT001XQ11</t>
  </si>
  <si>
    <t>8LAB10CT002XQ11</t>
  </si>
  <si>
    <t>8LBA10CT012XQ11</t>
  </si>
  <si>
    <t>8LBA20CT012XQ11</t>
  </si>
  <si>
    <t>8LBA10CT010XQ11</t>
  </si>
  <si>
    <t>8LBA10CT011XQ11</t>
  </si>
  <si>
    <t>8HNC20CT025XQ21</t>
  </si>
  <si>
    <t>8HNC20CT026XQ21</t>
  </si>
  <si>
    <t>8HNC20CT027XQ21</t>
  </si>
  <si>
    <t>8HNC20CT028XQ21</t>
  </si>
  <si>
    <t>8HNF10CT001XQ11</t>
  </si>
  <si>
    <t>8HLB10CT001XQ21</t>
  </si>
  <si>
    <t>8HLB10CT002XQ21</t>
  </si>
  <si>
    <t>8HLB20CT001XQ21</t>
  </si>
  <si>
    <t>8HLB20CT002XQ21</t>
  </si>
  <si>
    <t>8HNC10CT001XQ21</t>
  </si>
  <si>
    <t>8HNC10CT002XQ21</t>
  </si>
  <si>
    <t>8HNC20CT001XQ21</t>
  </si>
  <si>
    <t>8HNC20CT002XQ21</t>
  </si>
  <si>
    <t>8HLA10CT002XQ11</t>
  </si>
  <si>
    <t>8HLA20CT002XQ11</t>
  </si>
  <si>
    <t>8HLA10CT001XQ21</t>
  </si>
  <si>
    <t>8HLA20CT001XQ21</t>
  </si>
  <si>
    <t>8HLB10CT003XQ21</t>
  </si>
  <si>
    <t>8HLB10CT004XQ21</t>
  </si>
  <si>
    <t>8HLB10CT005XQ21</t>
  </si>
  <si>
    <t>8HLB10CT006XQ21</t>
  </si>
  <si>
    <t>8HLB10CT007XQ21</t>
  </si>
  <si>
    <t>8HLB10CT008XQ21</t>
  </si>
  <si>
    <t>8HLB10CT009XQ21</t>
  </si>
  <si>
    <t>8HLB10CT010XQ21</t>
  </si>
  <si>
    <t>8HLB20CT009XQ21</t>
  </si>
  <si>
    <t>8HLB20CT010XQ21</t>
  </si>
  <si>
    <t>8HLB20CT003XQ21</t>
  </si>
  <si>
    <t>8HLB20CT004XQ21</t>
  </si>
  <si>
    <t>8HLB20CT005XQ21</t>
  </si>
  <si>
    <t>8HLB20CT006XQ21</t>
  </si>
  <si>
    <t>8HLB20CT007XQ21</t>
  </si>
  <si>
    <t>8HLB20CT008XQ21</t>
  </si>
  <si>
    <t>8HLD10CT001XQ11</t>
  </si>
  <si>
    <t>8HLD10CT002XQ11</t>
  </si>
  <si>
    <t>8HLD10CT006XQ11</t>
  </si>
  <si>
    <t>8HLD10CT007XQ11</t>
  </si>
  <si>
    <t>8HLD20CT001XQ11</t>
  </si>
  <si>
    <t>8HLD20CT002XQ11</t>
  </si>
  <si>
    <t>8HLD20CT006XQ11</t>
  </si>
  <si>
    <t>8HLD20CT007XQ11</t>
  </si>
  <si>
    <t>8HNA01CT001XQ11</t>
  </si>
  <si>
    <t>8HNA01CT002XQ11</t>
  </si>
  <si>
    <t>8HNC10CT003XQ21</t>
  </si>
  <si>
    <t>8HNC10CT004XQ21</t>
  </si>
  <si>
    <t>8HNC10CT005XQ21</t>
  </si>
  <si>
    <t>8HNC10CT006XQ21</t>
  </si>
  <si>
    <t>8HNC10CT007XQ21</t>
  </si>
  <si>
    <t>8HNC10CT008XQ21</t>
  </si>
  <si>
    <t>8HNC10CT023XQ21</t>
  </si>
  <si>
    <t>8HNC10CT024XQ21</t>
  </si>
  <si>
    <t>8HNC10CT025XQ21</t>
  </si>
  <si>
    <t>8HNC10CT026XQ21</t>
  </si>
  <si>
    <t>8HNC10CT027XQ21</t>
  </si>
  <si>
    <t>8HNC10CT028XQ21</t>
  </si>
  <si>
    <t>8HNC20CT003XQ21</t>
  </si>
  <si>
    <t>8HNC20CT004XQ21</t>
  </si>
  <si>
    <t>8HNC20CT005XQ21</t>
  </si>
  <si>
    <t>8HNC20CT006XQ21</t>
  </si>
  <si>
    <t>8HNC20CT007XQ21</t>
  </si>
  <si>
    <t>8HNC20CT008XQ21</t>
  </si>
  <si>
    <t>8HNC20CT023XQ21</t>
  </si>
  <si>
    <t>8HNC20CT024XQ21</t>
  </si>
  <si>
    <t>8HNF10CT002XQ11</t>
  </si>
  <si>
    <t>8HNF10CT003XQ11</t>
  </si>
  <si>
    <t>8HNF10CT004XQ11</t>
  </si>
  <si>
    <t>8HNF10CT005XQ11</t>
  </si>
  <si>
    <t>8HNF10CT006XQ11</t>
  </si>
  <si>
    <t>8HNF10CT007XQ11</t>
  </si>
  <si>
    <t>8HNF20CT001XQ11</t>
  </si>
  <si>
    <t>8HNF20CT002XQ11</t>
  </si>
  <si>
    <t>8HNF20CT003XQ11</t>
  </si>
  <si>
    <t>8HNF20CT004XQ11</t>
  </si>
  <si>
    <t>8HNF20CT005XQ11</t>
  </si>
  <si>
    <t>8HNF20CT006XQ11</t>
  </si>
  <si>
    <t>8HNF20CT007XQ11</t>
  </si>
  <si>
    <t>8NDA10CT004XQ21</t>
  </si>
  <si>
    <t>8NDB10CT001XQ21</t>
  </si>
  <si>
    <t>8NDB10CT002XQ21</t>
  </si>
  <si>
    <t>8NDB10CT003XQ21</t>
  </si>
  <si>
    <t>8HNC21CT001XQ01</t>
  </si>
  <si>
    <t>8HNC21CT002XQ01</t>
  </si>
  <si>
    <t>8HNC12CT001XQ01</t>
  </si>
  <si>
    <t>8HNC12CT002XQ01</t>
  </si>
  <si>
    <t>8HNC22CT101XQ01</t>
  </si>
  <si>
    <t>8HNC22CT102XQ01</t>
  </si>
  <si>
    <t>8HNC11CT001XQ01</t>
  </si>
  <si>
    <t>8HNC11CT002XQ01</t>
  </si>
  <si>
    <t>KKS бл.№8  (факт)</t>
  </si>
  <si>
    <t>Столбец1</t>
  </si>
  <si>
    <t>Факт                        KKS бл.№8</t>
  </si>
  <si>
    <t>№1/ХТ1</t>
  </si>
  <si>
    <t>№1/ХТ2</t>
  </si>
  <si>
    <t>№3/ХТ2</t>
  </si>
  <si>
    <t>№3/ХТ1</t>
  </si>
  <si>
    <t>8HAH21CT020XQ11</t>
  </si>
  <si>
    <t>№2/ХТ1</t>
  </si>
  <si>
    <t>№2/ХТ2</t>
  </si>
  <si>
    <t>8HAH22CT020XQ11</t>
  </si>
  <si>
    <t>№4/1</t>
  </si>
  <si>
    <t>8LBB10CT008XQ11</t>
  </si>
  <si>
    <t>8LBB20CT008XQ11</t>
  </si>
  <si>
    <t>8LBB10CT009XQ11</t>
  </si>
  <si>
    <t>8LBB10CT005XQ11</t>
  </si>
  <si>
    <t>8LBB20CT005XQ11</t>
  </si>
  <si>
    <t>8LBB20CT006XQ11</t>
  </si>
  <si>
    <t>8LBB20CT007XQ11</t>
  </si>
  <si>
    <t>8LBB20CT009XQ11</t>
  </si>
  <si>
    <t>8LBB10CT006XQ11</t>
  </si>
  <si>
    <t>8LBB10CT007XQ11</t>
  </si>
  <si>
    <t>№5/1</t>
  </si>
  <si>
    <t>№6/1</t>
  </si>
  <si>
    <t>8CVA05CT001XQ21</t>
  </si>
  <si>
    <t>№7/1</t>
  </si>
  <si>
    <t>8HFE21CT001XQ11</t>
  </si>
  <si>
    <t>8HFE21CT002XQ11</t>
  </si>
  <si>
    <t>№8/1</t>
  </si>
  <si>
    <t>№9/1</t>
  </si>
  <si>
    <t>№10/1</t>
  </si>
  <si>
    <t>8HFV21CT001XQ21</t>
  </si>
  <si>
    <t>№11/1</t>
  </si>
  <si>
    <t>№12/1</t>
  </si>
  <si>
    <t>№13/1</t>
  </si>
  <si>
    <t>№14/1</t>
  </si>
  <si>
    <t>8HFV22CT001XQ21</t>
  </si>
  <si>
    <t>№15/1</t>
  </si>
  <si>
    <t>№16/1</t>
  </si>
  <si>
    <t>№17/1</t>
  </si>
  <si>
    <t>№18/1</t>
  </si>
  <si>
    <t>8HFV23CT001XQ21</t>
  </si>
  <si>
    <t>8HFV24CT001XQ21</t>
  </si>
  <si>
    <t>№19/1</t>
  </si>
  <si>
    <t>№20/1</t>
  </si>
  <si>
    <t>№21/1</t>
  </si>
  <si>
    <t>№24/1</t>
  </si>
  <si>
    <t>№25/1</t>
  </si>
  <si>
    <t>№26/1</t>
  </si>
  <si>
    <t>8HFV25CT001XQ21</t>
  </si>
  <si>
    <t>8HFV26CT001XQ21</t>
  </si>
  <si>
    <t>№27/1</t>
  </si>
  <si>
    <t>№28/1</t>
  </si>
  <si>
    <t>№29/1</t>
  </si>
  <si>
    <t>№30/1</t>
  </si>
  <si>
    <t>№ шкафа</t>
  </si>
  <si>
    <t>T пари після аварійного вприску А для АРТ</t>
  </si>
  <si>
    <t>АРТ для 1 вприску А</t>
  </si>
  <si>
    <t>АРТ для 2 вприску А</t>
  </si>
  <si>
    <t>АРТ для 1 вприску Б</t>
  </si>
  <si>
    <t>Температура в газоході до електрофільтру справа</t>
  </si>
  <si>
    <t>Температура в газоході до електофільтру зліва</t>
  </si>
  <si>
    <t>Температура в газоході до електрофільтру середина справа</t>
  </si>
  <si>
    <t>Температура в газоході до електрофільтру середина зліва</t>
  </si>
  <si>
    <t>Температура в газоході після електрофільтру справа</t>
  </si>
  <si>
    <t>Температура в газоході після електрофільтру середина справа</t>
  </si>
  <si>
    <t>Температура в газоході після електрофільтру середина зліва</t>
  </si>
  <si>
    <t>Температура в газоході після електрофільтру зліва</t>
  </si>
  <si>
    <t>T пари після аварійного вприску Б для АРТ</t>
  </si>
  <si>
    <t>АРТ для 2 вприску Б</t>
  </si>
  <si>
    <t>НСХ  Бл.№7</t>
  </si>
  <si>
    <t>Т обмоток фази А мідь ДС-Б</t>
  </si>
  <si>
    <t>Т обмоток фази Б мідь ДС-Б</t>
  </si>
  <si>
    <t>Т обмоток фази С мідь ДС-Б</t>
  </si>
  <si>
    <t>Т обмоток фази А залізо ДС-Б</t>
  </si>
  <si>
    <t>Т обмоток фази Б залізо ДС-Б</t>
  </si>
  <si>
    <t>Т обмоток фази С залізо ДС-Б</t>
  </si>
  <si>
    <t>Вібрація підшипника механізму сторона вільна ДС-Б</t>
  </si>
  <si>
    <t>Вібрація підшипника механізму сторона двигуна ДС-Б</t>
  </si>
  <si>
    <t>Т обмоток фази А мідь ДС-А</t>
  </si>
  <si>
    <t>Т обмоток фази Б мідь ДС-А</t>
  </si>
  <si>
    <t>Т обмоток фази С мідь ДС-А</t>
  </si>
  <si>
    <t>Т обмоток фази А залізо ДС-А</t>
  </si>
  <si>
    <t>Т обмоток фази Б залізо ДС-А</t>
  </si>
  <si>
    <t>Т обмоток фази С залізо ДС-А</t>
  </si>
  <si>
    <t>Вібрація підшипника механізму сторона вільна ДС-А</t>
  </si>
  <si>
    <t>Вібрація підшипника механізму сторона двигуна ДС-А</t>
  </si>
  <si>
    <t>Т обмоток фази А мідь ДВ-А</t>
  </si>
  <si>
    <t>Т обмоток фази С мідь ДВ-А</t>
  </si>
  <si>
    <t>Т обмоток фази А залізо ДВ-А</t>
  </si>
  <si>
    <t>Т обмоток фази С залізо ДВ-А</t>
  </si>
  <si>
    <t>Т обмоток фази А мідь ДВ-Б</t>
  </si>
  <si>
    <t>Т обмоток фази Б мідь ДВ-Б</t>
  </si>
  <si>
    <t>Т обмоток фази С мідь ДВ-Б</t>
  </si>
  <si>
    <t>Т обмоток фази А залізо ДВ-Б</t>
  </si>
  <si>
    <t>Т обмоток фази Б залізо ДВ-Б</t>
  </si>
  <si>
    <t>Т обмоток фази С залізо ДВ-Б</t>
  </si>
  <si>
    <t>T оп.підш. №6 27 Т</t>
  </si>
  <si>
    <t>T заліза статора ел.дв. ЖЕН -8А</t>
  </si>
  <si>
    <t>T міді статора ел.дв. ЖЕН -8А</t>
  </si>
  <si>
    <t>T в камері хол.повітря ел.дв. ЖЕН -8А</t>
  </si>
  <si>
    <t>T гарячого повітря ел.дв. ЖЕН -8А</t>
  </si>
  <si>
    <t>T баб підш.ел.дв. ЖЕН -8А (вільна стор.)</t>
  </si>
  <si>
    <t>T баб підш ел.дв. ЖЕН -8А (стор. помпи)</t>
  </si>
  <si>
    <t>T бабіту підш. помпи ЖЕН -8А (ст. ел.дв.)</t>
  </si>
  <si>
    <t>T баб підш. помпи ЖЕН -8А (вільна стор)</t>
  </si>
  <si>
    <t>T води на вході в ел.дв. ЖЕН -8А</t>
  </si>
  <si>
    <t>T води на виході з ел.дв. ЖЕН -8А</t>
  </si>
  <si>
    <t>T заліза статора ел.дв. ЖЕН -8Б</t>
  </si>
  <si>
    <t>T міді статора ел.дв. ЖЕН -8Б</t>
  </si>
  <si>
    <t>T в камері хол повітря ел.дв. ЖЕН -8Б</t>
  </si>
  <si>
    <t>T в камері гар повітря ел.дв. ЖЕН -8Б</t>
  </si>
  <si>
    <t>T баб підш. ел.дв. ЖЕН -8Б (вільна стор)</t>
  </si>
  <si>
    <t>T бабіту підш. ел.дв. ЖЕН -8Б (стор ГМ)</t>
  </si>
  <si>
    <t>T бабіту підш. помпи ЖЕН -8Б (ст.ел.дв.)</t>
  </si>
  <si>
    <t>T баб підш. помпи ЖЕН -8Б (вільна стор)</t>
  </si>
  <si>
    <t>T води на вході в ел.дв. ЖЕН -8Б</t>
  </si>
  <si>
    <t>T води на виході з ел.дв. ЖЕН -8Б</t>
  </si>
  <si>
    <t>Т уп.підш. насос ротора ГМ ЖЕН-8Б</t>
  </si>
  <si>
    <t>Т оп.підш. насос ротора ГМ ЖЕН-8Б</t>
  </si>
  <si>
    <t>Т уп.підш. турб. ротора ГМ ЖЕН-8Б</t>
  </si>
  <si>
    <t>Т оп.підш. турб. ротора ГМ ЖЕН-8Б</t>
  </si>
  <si>
    <t>Т пари після РОУ скид в ХПП</t>
  </si>
  <si>
    <t>T мет.вих.гар.ширм 1ст. Б1</t>
  </si>
  <si>
    <t>T мет.вих.гар.ширм 1ст. Б2</t>
  </si>
  <si>
    <t>T мет.вих.гар.ширм 1ст. Б3</t>
  </si>
  <si>
    <t>T мет.вих.гар.ширм 1ст. Б4</t>
  </si>
  <si>
    <t>T мет.вих.гар.ширм 1ст. Б5</t>
  </si>
  <si>
    <t>T мет.вих.гар.ширм 1ст. Б6</t>
  </si>
  <si>
    <t>T мет.вих.гар.ширм 1ст. Б7</t>
  </si>
  <si>
    <t>T мет.вих.гар.ширм 1ст. Б8</t>
  </si>
  <si>
    <t>T мет.вих.гар.ширм 1ст. Б9</t>
  </si>
  <si>
    <t>T мет.вих.гар.ширм 1ст. Б10</t>
  </si>
  <si>
    <t>T мет.вих.гар.ширм 1ст. Б11</t>
  </si>
  <si>
    <t>T мет.вих.гар.ширм 1ст. Б12</t>
  </si>
  <si>
    <t>T мет.вих.гар.ширм 1ст. Б13</t>
  </si>
  <si>
    <t>T мет.вих.гар.ширм 1ст. Б14</t>
  </si>
  <si>
    <t>T мет.вих.гар.ширм 1ст. А1</t>
  </si>
  <si>
    <t>T мет.вих.гар.ширм 1ст. А2</t>
  </si>
  <si>
    <t>T мет.вих.гар.ширм 1ст. А3</t>
  </si>
  <si>
    <t>T мет.вих.гар.ширм 1ст. А4</t>
  </si>
  <si>
    <t>T мет.вих.гар.ширм 1ст. А5</t>
  </si>
  <si>
    <t>T мет.вих.гар.ширм 1ст. А6</t>
  </si>
  <si>
    <t>T мет.вих.гар.ширм 1ст. А7</t>
  </si>
  <si>
    <t>T мет.вих.гар.ширм 1ст. А8</t>
  </si>
  <si>
    <t>T мет.вих.гар.ширм 1ст. А9</t>
  </si>
  <si>
    <t>T мет.вих.гар.ширм 1ст. А10</t>
  </si>
  <si>
    <t>T мет.вих.гар.ширм 1ст. А11</t>
  </si>
  <si>
    <t>T мет.вих.гар.ширм 1ст. А12</t>
  </si>
  <si>
    <t>T мет.вих.гар.ширм 1ст. А13</t>
  </si>
  <si>
    <t>T мет.вих.гар.ширм 1ст. А14</t>
  </si>
  <si>
    <t>T мет.вих.гар.ширм 2ст. Б2</t>
  </si>
  <si>
    <t>T мет.вих.гар.ширм 2ст. Б3</t>
  </si>
  <si>
    <t>T мет.вих.гар.ширм 2ст. Б4</t>
  </si>
  <si>
    <t>T мет.вих.гар.ширм 2ст. Б5</t>
  </si>
  <si>
    <t>T мет.вих.гар.ширм 2ст. Б6</t>
  </si>
  <si>
    <t>T мет.вих.гар.ширм 2ст. Б7</t>
  </si>
  <si>
    <t>T мет.вих.гар.ширм 2ст. Б8</t>
  </si>
  <si>
    <t>T мет.вих.гар.ширм 2ст. Б9</t>
  </si>
  <si>
    <t>T мет.вих.гар.ширм 2ст. Б10</t>
  </si>
  <si>
    <t>T мет.вих.гар.ширм 2ст. Б11</t>
  </si>
  <si>
    <t>T мет.вих.гар.ширм 2ст. Б12</t>
  </si>
  <si>
    <t>T мет.вих.гар.ширм 2ст. Б13</t>
  </si>
  <si>
    <t>T мет.вих.гар.ширм 2ст. Б14</t>
  </si>
  <si>
    <t>T мет.вих.гар.ширм 2ст. Б15</t>
  </si>
  <si>
    <t>T мет.вих.гар.ширм 2ст. Б16</t>
  </si>
  <si>
    <t>T мет.вих.гар.ширм 2ст. Б17</t>
  </si>
  <si>
    <t>T мет.вих.гар.ширм 2ст. Б18</t>
  </si>
  <si>
    <t>Т масла після АМП</t>
  </si>
  <si>
    <t>Промшафа бл.№8</t>
  </si>
  <si>
    <t>8CVA025 КК (ХТ1)</t>
  </si>
  <si>
    <t>8CVA026 КК (ХТ1)</t>
  </si>
  <si>
    <t>Т обмоток фази B мідь ДВ-А</t>
  </si>
  <si>
    <t>Т обмоток фази B залізо ДВ-А</t>
  </si>
  <si>
    <t>8CVA021CT001XQ21</t>
  </si>
  <si>
    <t>№31/1</t>
  </si>
  <si>
    <t>№32/1</t>
  </si>
  <si>
    <t>№33/1</t>
  </si>
  <si>
    <t>№34/1</t>
  </si>
  <si>
    <t>№35/1</t>
  </si>
  <si>
    <t>№36/1</t>
  </si>
  <si>
    <t>8CVA036CT001XQ21</t>
  </si>
  <si>
    <t>№37/1</t>
  </si>
  <si>
    <t>№38/1</t>
  </si>
  <si>
    <t>№42/1</t>
  </si>
  <si>
    <t>№43/1</t>
  </si>
  <si>
    <t>№44/1</t>
  </si>
  <si>
    <t>8HNC10CT009XQ21</t>
  </si>
  <si>
    <t>8HNC10CT010XQ21</t>
  </si>
  <si>
    <t>8HNC20CT009XQ21</t>
  </si>
  <si>
    <t>8HNC20CT010XQ21</t>
  </si>
  <si>
    <t>№1/1</t>
  </si>
  <si>
    <t>№2/1</t>
  </si>
  <si>
    <t>№3/2</t>
  </si>
  <si>
    <t>8CVA017CT001XQ21</t>
  </si>
  <si>
    <t>Т холодних спаїв шафи 8CVA017</t>
  </si>
  <si>
    <t>Пряма</t>
  </si>
  <si>
    <t>Т холодних спаїв шафи 8CVA021</t>
  </si>
  <si>
    <t>№22/1</t>
  </si>
  <si>
    <t>№23/1</t>
  </si>
  <si>
    <t>8CVA025CT001XQ21</t>
  </si>
  <si>
    <t>Т холодних спаїв шафи 8CVA0025</t>
  </si>
  <si>
    <t>8CVA029CT001XQ21</t>
  </si>
  <si>
    <t>Т холодних спаїв шафи 8CVA0029</t>
  </si>
  <si>
    <t>8CVA033CT001XQ21</t>
  </si>
  <si>
    <t>Т холодних спаїв шафи 8CVA0033</t>
  </si>
  <si>
    <t>8CVA034CT001XQ21</t>
  </si>
  <si>
    <t>8CVA035CT002XQ21</t>
  </si>
  <si>
    <t>№39/1</t>
  </si>
  <si>
    <t>№40/1</t>
  </si>
  <si>
    <t>№41/1</t>
  </si>
  <si>
    <t>8LBA20CT007XQ12</t>
  </si>
  <si>
    <t>8HAH13CT001XQ11</t>
  </si>
  <si>
    <t>8HAH13CT002XQ11</t>
  </si>
  <si>
    <t>8HAH13CT003XQ11</t>
  </si>
  <si>
    <t>8HAH13CT004XQ11</t>
  </si>
  <si>
    <t>8HAH13CT005XQ11</t>
  </si>
  <si>
    <t>8HAH13CT006XQ11</t>
  </si>
  <si>
    <t>8HAH13CT007XQ11</t>
  </si>
  <si>
    <t>8HAH13CT008XQ11</t>
  </si>
  <si>
    <t>8HHG10CT001XQ21</t>
  </si>
  <si>
    <t>8LBC11CT001XQ21</t>
  </si>
  <si>
    <t>8LBC12CT001XQ21</t>
  </si>
  <si>
    <t>№45/1</t>
  </si>
  <si>
    <t>8MKD30CT009XQ21</t>
  </si>
  <si>
    <t>8MKD30CT017XQ21</t>
  </si>
  <si>
    <t>Т холодних спаїв шафи 8CVA0035</t>
  </si>
  <si>
    <t>Т холодних спаїв шафи 8CVA0036</t>
  </si>
  <si>
    <t>№46/1</t>
  </si>
  <si>
    <t>№47/1</t>
  </si>
  <si>
    <t>8MAG10CT011XQ21</t>
  </si>
  <si>
    <t>8MAG10CT005XQ11</t>
  </si>
  <si>
    <t>8MAG20CT011XQ21</t>
  </si>
  <si>
    <t>8CVA047CT001XQ21</t>
  </si>
  <si>
    <t>Т холодних спаїв шафи 8CVA0047</t>
  </si>
  <si>
    <t>№48/1</t>
  </si>
  <si>
    <t>T масла на зливі з ущільн. (стор збудн.)</t>
  </si>
  <si>
    <t>Т бабіта вкладиша підшипника ген-ра  №6</t>
  </si>
  <si>
    <t>№49/1</t>
  </si>
  <si>
    <t>№50/1</t>
  </si>
  <si>
    <t>№51/1</t>
  </si>
  <si>
    <t>№52/1</t>
  </si>
  <si>
    <t>№53/1</t>
  </si>
  <si>
    <t>№54/1</t>
  </si>
  <si>
    <t>№58/1</t>
  </si>
  <si>
    <t>№55/1</t>
  </si>
  <si>
    <t>№56/1</t>
  </si>
  <si>
    <t>№57/1</t>
  </si>
  <si>
    <t>№59/1</t>
  </si>
  <si>
    <t>8CVA059CT001XQ21</t>
  </si>
  <si>
    <t>Т холодних спаїв шафи 8CVA0059</t>
  </si>
  <si>
    <t>№60/1</t>
  </si>
  <si>
    <t>№61/1</t>
  </si>
  <si>
    <t>№62/1</t>
  </si>
  <si>
    <t>№63/1</t>
  </si>
  <si>
    <t>№64/1</t>
  </si>
  <si>
    <t>№65/1</t>
  </si>
  <si>
    <t>№66/1</t>
  </si>
  <si>
    <t>№67/1</t>
  </si>
  <si>
    <t>№68/1</t>
  </si>
  <si>
    <t>№69/1</t>
  </si>
  <si>
    <t>№70/1</t>
  </si>
  <si>
    <t>№71/1</t>
  </si>
  <si>
    <t>8PCM12CT001XQ21</t>
  </si>
  <si>
    <t>№72/1</t>
  </si>
  <si>
    <t>8LBA60CT001XQ21</t>
  </si>
  <si>
    <t>№73/1</t>
  </si>
  <si>
    <t>T пари у відборі №8 (правий трубопровід)</t>
  </si>
  <si>
    <t>Наявність води в корпусі ЖЕН-8А</t>
  </si>
  <si>
    <t>ТЗ</t>
  </si>
  <si>
    <t>Наявність води в корпусі ЖЕН-8Б</t>
  </si>
  <si>
    <t>T масла на змазку гідромуфти ЖЕН -8Б</t>
  </si>
  <si>
    <t>T масла на зливі з гідромуфти ЖЕН -8Б</t>
  </si>
  <si>
    <t>8LBB10CT010XQ11</t>
  </si>
  <si>
    <t>8LBB10CT011XQ11</t>
  </si>
  <si>
    <t>8LBB20CT010XQ11</t>
  </si>
  <si>
    <t>8LBB20CT011XQ11</t>
  </si>
  <si>
    <t>T модуля 1-1-6 8CRA10</t>
  </si>
  <si>
    <t>Т модуля 1-2-3  8CRA10</t>
  </si>
  <si>
    <t>8D001P1B1L6XQ21</t>
  </si>
  <si>
    <t>8LBA20CT010XQ11</t>
  </si>
  <si>
    <t>T модуля 1-1-5 8CRA40</t>
  </si>
  <si>
    <t>T модуля 1-2-4 8CRA40</t>
  </si>
  <si>
    <t>8D001P1B2L3XQ21</t>
  </si>
  <si>
    <t>Т холодних спаїв шафи  8CVA004/1</t>
  </si>
  <si>
    <t>Т холодних спаїв шафи 8CVA004/2</t>
  </si>
  <si>
    <t>8CVA05CT002XQ21</t>
  </si>
  <si>
    <t>Т холодних спаїв шафи 8CVA005/1</t>
  </si>
  <si>
    <t>Т холодних спаїв шафи 8CVA005/2</t>
  </si>
  <si>
    <t>8CVA06CT001XQ21</t>
  </si>
  <si>
    <t>Т холодних спаїв шафи 8CVA006</t>
  </si>
  <si>
    <t>8CVA08CT001XQ21</t>
  </si>
  <si>
    <t>Т холодних спаїв шафи 8CVA008</t>
  </si>
  <si>
    <t>8CVA013CT001XQ21</t>
  </si>
  <si>
    <t>Т холодних спаїв шафи 8CVA013</t>
  </si>
  <si>
    <t>8CVA060CT001XQ21</t>
  </si>
  <si>
    <t>Т холодних спаїв шафи 8CVA0060</t>
  </si>
  <si>
    <t>8LAC11CL001XQ21</t>
  </si>
  <si>
    <t>8LAC12CL001XQ21</t>
  </si>
  <si>
    <t>8LAV12CT004XQ21</t>
  </si>
  <si>
    <t>8LAV12CT005XQ21</t>
  </si>
  <si>
    <t>8LAC12CL019XQ21</t>
  </si>
  <si>
    <t>8LAC12CL020XQ21</t>
  </si>
  <si>
    <t>8LAC12CL021XQ21</t>
  </si>
  <si>
    <t>8LAC12CL022XQ21</t>
  </si>
  <si>
    <t>8LAC12CL023XQ21</t>
  </si>
  <si>
    <t>8LAC12CL024XQ21</t>
  </si>
  <si>
    <t>8MAV30CT001XQ21</t>
  </si>
  <si>
    <t>Столбец2</t>
  </si>
  <si>
    <t>T пари у відборі №7 (правий трубопровід)</t>
  </si>
  <si>
    <t>T пари у відборі №7 (лівий трубопровід)</t>
  </si>
  <si>
    <t>8CVA001 ПШ</t>
  </si>
  <si>
    <t>8CRA20</t>
  </si>
  <si>
    <t>8CRA32</t>
  </si>
  <si>
    <t>ПТПЕ "М" 2х1.5</t>
  </si>
  <si>
    <t>8CVA002 ПШ</t>
  </si>
  <si>
    <t>8CVA003 ПШ</t>
  </si>
  <si>
    <t xml:space="preserve">8CVA003 ПШ </t>
  </si>
  <si>
    <t xml:space="preserve">8CVA004/1 ПШ </t>
  </si>
  <si>
    <t>МКЕШнг 4х1.5</t>
  </si>
  <si>
    <t>8CRA31</t>
  </si>
  <si>
    <t>№4/2</t>
  </si>
  <si>
    <t>8CVA004/2 ПШ</t>
  </si>
  <si>
    <t xml:space="preserve">8CVA004/2 ПШ </t>
  </si>
  <si>
    <t>8CVA005/1 ПШ</t>
  </si>
  <si>
    <t>№5/2</t>
  </si>
  <si>
    <t>8CVA005/2 ПШ</t>
  </si>
  <si>
    <t>8CVA006 ПШ</t>
  </si>
  <si>
    <t>8СVA006 ПШ</t>
  </si>
  <si>
    <r>
      <t>8CVA007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</si>
  <si>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?</t>
  </si>
  <si>
    <t>8CVA008 ПШ</t>
  </si>
  <si>
    <r>
      <t>8CVA009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</si>
  <si>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r>
      <t>8CVA010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</si>
  <si>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8CVA011 ПШ</t>
  </si>
  <si>
    <r>
      <t>8CVA012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</si>
  <si>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8CRA10</t>
  </si>
  <si>
    <r>
      <t>8CVA013 ПШ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</si>
  <si>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r>
      <t>8CVA013 ПШ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color theme="1"/>
        <rFont val="Calibri"/>
        <family val="2"/>
        <charset val="204"/>
        <scheme val="minor"/>
      </rPr>
      <t>)</t>
    </r>
  </si>
  <si>
    <r>
      <t>8CVA014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</si>
  <si>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8CVA015 ПШ</t>
  </si>
  <si>
    <r>
      <t>8CVA016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</si>
  <si>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8CVA017 ПШ</t>
  </si>
  <si>
    <r>
      <t>8CVA018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</si>
  <si>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8CVA019 ПШ</t>
  </si>
  <si>
    <r>
      <t>8CVA020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</si>
  <si>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8CVA021 ПШ</t>
  </si>
  <si>
    <r>
      <t>8CVA022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</si>
  <si>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8CVA023 ПШ</t>
  </si>
  <si>
    <r>
      <t>8CVA024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</si>
  <si>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8CVA025 ПШ</t>
  </si>
  <si>
    <r>
      <t>8CVA026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</si>
  <si>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8CVA027 ПШ</t>
  </si>
  <si>
    <r>
      <t>8CVA028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</si>
  <si>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8CVA029 ПШ</t>
  </si>
  <si>
    <r>
      <t>8CVA030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</si>
  <si>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8CVA031 ПШ</t>
  </si>
  <si>
    <r>
      <t>8CVA032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</si>
  <si>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8CVA033 ПШ</t>
  </si>
  <si>
    <t>8CVA034CT002XQ21</t>
  </si>
  <si>
    <t>Т холодних спаїв шафи 8CVA034</t>
  </si>
  <si>
    <t>8CVA034 ПШ</t>
  </si>
  <si>
    <t>8CVA035 ПШ</t>
  </si>
  <si>
    <t>8CVA036 ПШ</t>
  </si>
  <si>
    <r>
      <t>8CVA037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</si>
  <si>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r>
      <t>8CVA038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</si>
  <si>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8CVA039 ПШ</t>
  </si>
  <si>
    <t>8CVA040 ПШ</t>
  </si>
  <si>
    <r>
      <t>8CVA041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</si>
  <si>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r>
      <t>8CVA042 КК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</si>
  <si>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8CVA043 ПШ</t>
  </si>
  <si>
    <t>8CVA044 ПШ</t>
  </si>
  <si>
    <r>
      <t>8CVA045 ПШ (</t>
    </r>
    <r>
      <rPr>
        <sz val="11"/>
        <color rgb="FFFF0000"/>
        <rFont val="Calibri"/>
        <family val="2"/>
        <charset val="204"/>
        <scheme val="minor"/>
      </rPr>
      <t>існ.</t>
    </r>
    <r>
      <rPr>
        <sz val="11"/>
        <rFont val="Calibri"/>
        <family val="2"/>
        <charset val="204"/>
        <scheme val="minor"/>
      </rPr>
      <t>)</t>
    </r>
  </si>
  <si>
    <t>8CRA40</t>
  </si>
  <si>
    <t>8CVA046 ПШ</t>
  </si>
  <si>
    <t xml:space="preserve">8CVA047 ПШ </t>
  </si>
  <si>
    <t>8CRA50</t>
  </si>
  <si>
    <t>8CVA048 ПШ</t>
  </si>
  <si>
    <t>8CVA049 КК</t>
  </si>
  <si>
    <t>8CRA61</t>
  </si>
  <si>
    <t>8CVA050 КК</t>
  </si>
  <si>
    <t>8CVA051 КК</t>
  </si>
  <si>
    <t>8CVA052 КК</t>
  </si>
  <si>
    <t>8CVA053 КК</t>
  </si>
  <si>
    <t>8CVA054 КК</t>
  </si>
  <si>
    <t>8CVA055 КК</t>
  </si>
  <si>
    <t>8CVA056 КК</t>
  </si>
  <si>
    <t>8CVA057 КК</t>
  </si>
  <si>
    <t>8CVA058 ПШ</t>
  </si>
  <si>
    <t xml:space="preserve">Т масла на напорі 4,5 підшипників </t>
  </si>
  <si>
    <t>8CVA059 ПШ</t>
  </si>
  <si>
    <t>8CVA060 ПШ</t>
  </si>
  <si>
    <t>8CVA061 ПШ</t>
  </si>
  <si>
    <t>8CVA062 ПШ</t>
  </si>
  <si>
    <t>8CVA063 ПШ</t>
  </si>
  <si>
    <t>8CVA061CT001XQ21</t>
  </si>
  <si>
    <t>Т холодних спаїв шафи 8CVA0061</t>
  </si>
  <si>
    <t>8CVA062CT001XQ21</t>
  </si>
  <si>
    <t>Т холодних спаїв шафи 8CVA0062</t>
  </si>
  <si>
    <t>8CVA064 ПШ</t>
  </si>
  <si>
    <t>T жив.води після ПВТ</t>
  </si>
  <si>
    <t>8CVA065 ПШ</t>
  </si>
  <si>
    <t>8CVA066 КК</t>
  </si>
  <si>
    <t>LX07502 2x2x0.5</t>
  </si>
  <si>
    <t>8CVA067 ПШ</t>
  </si>
  <si>
    <t>8CVA068 КК</t>
  </si>
  <si>
    <t>8CVA069 ПШ</t>
  </si>
  <si>
    <t>8CVA070 ПШ</t>
  </si>
  <si>
    <t>№72/1/1</t>
  </si>
  <si>
    <t>№74/1</t>
  </si>
  <si>
    <t>№75/1</t>
  </si>
  <si>
    <t>8CVA071 ПШ</t>
  </si>
  <si>
    <t>8CVA072 ПШ</t>
  </si>
  <si>
    <t>8CVA072/1/1 ПШ</t>
  </si>
  <si>
    <t>8CVA073 ПШ</t>
  </si>
  <si>
    <t>8CVA074 ПШ</t>
  </si>
  <si>
    <t>8CVA075 ПШ</t>
  </si>
  <si>
    <t>8CVA074CT001XQ21</t>
  </si>
  <si>
    <t>Т холодних спаїв шафи 8CVA0074</t>
  </si>
  <si>
    <t>8CVA075CT001XQ21</t>
  </si>
  <si>
    <t>Т холодних спаїв шафи 8CVA0075</t>
  </si>
  <si>
    <t>T жив.води</t>
  </si>
  <si>
    <t>8LAB10CT001XQ11</t>
  </si>
  <si>
    <t>Столбец4</t>
  </si>
  <si>
    <t>Модуль</t>
  </si>
  <si>
    <t>Канал</t>
  </si>
  <si>
    <t>2.1.1</t>
  </si>
  <si>
    <t>2.1.3</t>
  </si>
  <si>
    <t>2.1.2</t>
  </si>
  <si>
    <t>2.3.3</t>
  </si>
  <si>
    <t>2.4.4</t>
  </si>
  <si>
    <t>2.1.6</t>
  </si>
  <si>
    <t>2.1.7</t>
  </si>
  <si>
    <t>2.1.8</t>
  </si>
  <si>
    <t>1.1.8</t>
  </si>
  <si>
    <t>1.1.7</t>
  </si>
  <si>
    <t>1.2.2</t>
  </si>
  <si>
    <t>2.3.4</t>
  </si>
  <si>
    <t>2.3.5</t>
  </si>
  <si>
    <t>2.3.6</t>
  </si>
  <si>
    <t>2.4.8</t>
  </si>
  <si>
    <t>2.2.3</t>
  </si>
  <si>
    <t>2.2.4</t>
  </si>
  <si>
    <t>2.2.7</t>
  </si>
  <si>
    <t>2.2.8</t>
  </si>
  <si>
    <t>2.3.1</t>
  </si>
  <si>
    <t>2.3.2</t>
  </si>
  <si>
    <t>2.3.7</t>
  </si>
  <si>
    <t>2.3.8</t>
  </si>
  <si>
    <t>1.2.1</t>
  </si>
  <si>
    <t>2.1.4</t>
  </si>
  <si>
    <t>2.1.5</t>
  </si>
  <si>
    <t>Тил</t>
  </si>
  <si>
    <t>2.4.3</t>
  </si>
  <si>
    <t>Фронт</t>
  </si>
  <si>
    <t>2.2.6</t>
  </si>
  <si>
    <t>2.2.5</t>
  </si>
  <si>
    <t>2.4.7</t>
  </si>
  <si>
    <t>2.4.6</t>
  </si>
  <si>
    <t>2.4.5</t>
  </si>
  <si>
    <t>2.2.1</t>
  </si>
  <si>
    <t>2.4.2</t>
  </si>
  <si>
    <t>1.5.4</t>
  </si>
  <si>
    <t>1.6.5</t>
  </si>
  <si>
    <t>1.5.1</t>
  </si>
  <si>
    <t>1.5.5</t>
  </si>
  <si>
    <t>1.1.6</t>
  </si>
  <si>
    <t>1.2.3</t>
  </si>
  <si>
    <t>2.2.2</t>
  </si>
  <si>
    <t>1.5.6</t>
  </si>
  <si>
    <t>1.5.3</t>
  </si>
  <si>
    <t>1.6.3</t>
  </si>
  <si>
    <t>1.6.6</t>
  </si>
  <si>
    <t>1.5.7</t>
  </si>
  <si>
    <t>1.7.7</t>
  </si>
  <si>
    <t>1.7.1</t>
  </si>
  <si>
    <t>1.8.8</t>
  </si>
  <si>
    <t>1.7.2</t>
  </si>
  <si>
    <t>1.8.4</t>
  </si>
  <si>
    <t>1.7.6</t>
  </si>
  <si>
    <t>1.5.8</t>
  </si>
  <si>
    <t>1.6.4</t>
  </si>
  <si>
    <t>1.8.7</t>
  </si>
  <si>
    <t>1.7.3</t>
  </si>
  <si>
    <t>1.8.6</t>
  </si>
  <si>
    <t>1.6.2</t>
  </si>
  <si>
    <t>1.8.2</t>
  </si>
  <si>
    <t>1.8.3</t>
  </si>
  <si>
    <t>1.6.1</t>
  </si>
  <si>
    <t>1.7.4</t>
  </si>
  <si>
    <t>1.8.5</t>
  </si>
  <si>
    <t>1.7.5</t>
  </si>
  <si>
    <t>1.5.2</t>
  </si>
  <si>
    <t>1.6.8</t>
  </si>
  <si>
    <t>1.1.5</t>
  </si>
  <si>
    <t>1.2.4</t>
  </si>
  <si>
    <t>1.3.4</t>
  </si>
  <si>
    <t>1.3.5</t>
  </si>
  <si>
    <t>1.4.5</t>
  </si>
  <si>
    <t>1.3.6</t>
  </si>
  <si>
    <t>1.3.7</t>
  </si>
  <si>
    <t>1.4.4</t>
  </si>
  <si>
    <t>1.3.3</t>
  </si>
  <si>
    <t xml:space="preserve">8CVA048 ПШ </t>
  </si>
  <si>
    <t>1.6.7</t>
  </si>
  <si>
    <t>1.4.3</t>
  </si>
  <si>
    <t>1.4.2</t>
  </si>
  <si>
    <t>1.3.2</t>
  </si>
  <si>
    <t>1.3.1</t>
  </si>
  <si>
    <t>1.4.8</t>
  </si>
  <si>
    <t>8CVA001-401</t>
  </si>
  <si>
    <t>КВВГЭнг 27х1.0</t>
  </si>
  <si>
    <t>8CVA001-402</t>
  </si>
  <si>
    <t>Кількість задіяних жил</t>
  </si>
  <si>
    <t>KKS кабелю</t>
  </si>
  <si>
    <t>Тип кабелю</t>
  </si>
  <si>
    <t>8CVA001-403</t>
  </si>
  <si>
    <t>8CVA001-404</t>
  </si>
  <si>
    <t>8CVA001-405</t>
  </si>
  <si>
    <t>КВВГЭнг 19х1.0</t>
  </si>
  <si>
    <t>8CVA001-406</t>
  </si>
  <si>
    <t>8CVA001-407</t>
  </si>
  <si>
    <t>8CVA001-408</t>
  </si>
  <si>
    <t>8CVA001-409</t>
  </si>
  <si>
    <t>8CVA002-401</t>
  </si>
  <si>
    <t>8CVA002-402</t>
  </si>
  <si>
    <t>8CVA002-403</t>
  </si>
  <si>
    <t>8CVA002-404</t>
  </si>
  <si>
    <t>8CVA002-405</t>
  </si>
  <si>
    <t>8CVA002-406</t>
  </si>
  <si>
    <t>8CVA002-407</t>
  </si>
  <si>
    <t>8CVA002-408</t>
  </si>
  <si>
    <t>8CVA002-409</t>
  </si>
  <si>
    <t>8CVA003-401</t>
  </si>
  <si>
    <t>8CVA003-402</t>
  </si>
  <si>
    <t>8CVA003-403</t>
  </si>
  <si>
    <t>8CVA003-404</t>
  </si>
  <si>
    <t>8CVA003-405</t>
  </si>
  <si>
    <t>8CVA003-406</t>
  </si>
  <si>
    <t>8CVA004/1-401</t>
  </si>
  <si>
    <t>КВВГЭнг 10х1.0</t>
  </si>
  <si>
    <t>8CVA004/1-402</t>
  </si>
  <si>
    <t>8CVA004/1-403</t>
  </si>
  <si>
    <t>8CVA004/2-401</t>
  </si>
  <si>
    <t>8CVA004/2-402</t>
  </si>
  <si>
    <t>8CVA004/2-403</t>
  </si>
  <si>
    <t>8CVA005/1-401</t>
  </si>
  <si>
    <t>КВВГЭнг 14х1.0</t>
  </si>
  <si>
    <t>8CVA005/2-401</t>
  </si>
  <si>
    <t>8CVA006-401</t>
  </si>
  <si>
    <t>8CVA07-401</t>
  </si>
  <si>
    <t xml:space="preserve">КВВГЭнг 10х1.0 </t>
  </si>
  <si>
    <t>8CVA07-402</t>
  </si>
  <si>
    <t>8CVA07-403</t>
  </si>
  <si>
    <t>8CVA008-401</t>
  </si>
  <si>
    <t>8CVA09-401</t>
  </si>
  <si>
    <t>8CVA09-402</t>
  </si>
  <si>
    <t>8CVA09-403</t>
  </si>
  <si>
    <t>8CVA010-401</t>
  </si>
  <si>
    <t>8CVA010-402</t>
  </si>
  <si>
    <t>8CVA010-403</t>
  </si>
  <si>
    <t>8CVA011-401</t>
  </si>
  <si>
    <t>8CVA012-401</t>
  </si>
  <si>
    <t>8CVA012-402</t>
  </si>
  <si>
    <t>8CVA012-403</t>
  </si>
  <si>
    <t>8CVA013-401</t>
  </si>
  <si>
    <t>8CVA013-402</t>
  </si>
  <si>
    <t>8CVA014-401</t>
  </si>
  <si>
    <t>8CVA014-402</t>
  </si>
  <si>
    <t>8CVA014-403</t>
  </si>
  <si>
    <t>8CVA015-401</t>
  </si>
  <si>
    <t>8CVA016-401</t>
  </si>
  <si>
    <t>8CVA016-402</t>
  </si>
  <si>
    <t>8CVA016-403</t>
  </si>
  <si>
    <t>8CVA017-401</t>
  </si>
  <si>
    <t>8CVA017-402</t>
  </si>
  <si>
    <t>8CVA018-401</t>
  </si>
  <si>
    <t>8CVA018-402</t>
  </si>
  <si>
    <t>8CVA018-403</t>
  </si>
  <si>
    <t>8CVA019-401</t>
  </si>
  <si>
    <t>8CVA020-401</t>
  </si>
  <si>
    <t>8CVA020-402</t>
  </si>
  <si>
    <t>8CVA020-403</t>
  </si>
  <si>
    <t>8CVA021-401</t>
  </si>
  <si>
    <t>8CVA021-402</t>
  </si>
  <si>
    <t>8CVA022-401</t>
  </si>
  <si>
    <t>8CVA022-402</t>
  </si>
  <si>
    <t>8CVA022-403</t>
  </si>
  <si>
    <t>8CVA023-401</t>
  </si>
  <si>
    <t>8CVA024-401</t>
  </si>
  <si>
    <t>8CVA024-402</t>
  </si>
  <si>
    <t>8CVA024-403</t>
  </si>
  <si>
    <t>8CVA025-401</t>
  </si>
  <si>
    <t>8CVA025-402</t>
  </si>
  <si>
    <t>8CVA026-401</t>
  </si>
  <si>
    <t>8CVA026-402</t>
  </si>
  <si>
    <t>8CVA026-403</t>
  </si>
  <si>
    <t>8CVA027-401</t>
  </si>
  <si>
    <t>8CVA028-401</t>
  </si>
  <si>
    <t>8CVA028-402</t>
  </si>
  <si>
    <t>8CVA028-403</t>
  </si>
  <si>
    <t>8CVA029-401</t>
  </si>
  <si>
    <t>8CVA029-402</t>
  </si>
  <si>
    <t>8CVA030-401</t>
  </si>
  <si>
    <t>8CVA030-402</t>
  </si>
  <si>
    <t>8CVA030-403</t>
  </si>
  <si>
    <t>8CVA031-401</t>
  </si>
  <si>
    <t>8CVA032-401</t>
  </si>
  <si>
    <t>8CVA032-402</t>
  </si>
  <si>
    <t>8CVA032-403</t>
  </si>
  <si>
    <t>8CVA033-401</t>
  </si>
  <si>
    <t>8CVA033-402</t>
  </si>
  <si>
    <t>8CVA034-401</t>
  </si>
  <si>
    <t>8CVA034-402</t>
  </si>
  <si>
    <t>8CVA034-403</t>
  </si>
  <si>
    <t>8CVA035-401</t>
  </si>
  <si>
    <t>8CVA036-401</t>
  </si>
  <si>
    <t>8CVA037-401</t>
  </si>
  <si>
    <t>8CVA038-401</t>
  </si>
  <si>
    <t>8CVA039-401</t>
  </si>
  <si>
    <t>8CVA040-401</t>
  </si>
  <si>
    <t>8CVA041-401</t>
  </si>
  <si>
    <t>8CVA042-401</t>
  </si>
  <si>
    <t>8CVA043-401</t>
  </si>
  <si>
    <t>8CVA044-401</t>
  </si>
  <si>
    <t>8HHG10CT001-401</t>
  </si>
  <si>
    <t>8HHF10CT001-401</t>
  </si>
  <si>
    <t>8UCA01CT001-401</t>
  </si>
  <si>
    <t>8UHA01CT001-401</t>
  </si>
  <si>
    <t>8UHA02CT001-401</t>
  </si>
  <si>
    <t>8LBB10CT010-401</t>
  </si>
  <si>
    <t>8LBB10CT011-401</t>
  </si>
  <si>
    <t>8LBB20CT010-401</t>
  </si>
  <si>
    <t>8LBB20CT011-401</t>
  </si>
  <si>
    <t>8LBC11CT001-401</t>
  </si>
  <si>
    <t>8LBC12CT001-401</t>
  </si>
  <si>
    <t>8LBA10CT009-401</t>
  </si>
  <si>
    <t>8LBA20CT009-401</t>
  </si>
  <si>
    <t>8LBA10CT001-401</t>
  </si>
  <si>
    <t>8HFE21CT001-401</t>
  </si>
  <si>
    <t>8HFE21CT002-401</t>
  </si>
  <si>
    <t>8HFE22CT002-401</t>
  </si>
  <si>
    <t>8HFE23CT001-401</t>
  </si>
  <si>
    <t>8HFE23CT002-401</t>
  </si>
  <si>
    <t>8HFE24CT001-401</t>
  </si>
  <si>
    <t>8HFE24CT002-401</t>
  </si>
  <si>
    <t>8HFE22CT001-401</t>
  </si>
  <si>
    <t>8HFE25CT001-401</t>
  </si>
  <si>
    <t>8HFE25CT002-401</t>
  </si>
  <si>
    <t>8HFE26CT001-401</t>
  </si>
  <si>
    <t>8HFE26CT002-401</t>
  </si>
  <si>
    <t>8CVA045-401</t>
  </si>
  <si>
    <t>8CVA045-402</t>
  </si>
  <si>
    <t>8CVA045-403</t>
  </si>
  <si>
    <t>8CVA046-401</t>
  </si>
  <si>
    <t>8CVA046-402</t>
  </si>
  <si>
    <t>8CVA046-403</t>
  </si>
  <si>
    <t>8CVA047-401</t>
  </si>
  <si>
    <t>8CVA047-402</t>
  </si>
  <si>
    <t>8CVA047-403</t>
  </si>
  <si>
    <t>8CVA048-401</t>
  </si>
  <si>
    <t>8CVA048-402</t>
  </si>
  <si>
    <t>8CVA049-401</t>
  </si>
  <si>
    <t>8CVA050-401</t>
  </si>
  <si>
    <t>8CVA051-401</t>
  </si>
  <si>
    <t>8CVA052-401</t>
  </si>
  <si>
    <t>8CVA053-401</t>
  </si>
  <si>
    <t>8CVA054-401</t>
  </si>
  <si>
    <t>8CVA055-401</t>
  </si>
  <si>
    <t>8CVA056-401</t>
  </si>
  <si>
    <t>8CVA057-401</t>
  </si>
  <si>
    <t>8CVA058-401</t>
  </si>
  <si>
    <t>8CVA058-402</t>
  </si>
  <si>
    <t>8CVA059-401</t>
  </si>
  <si>
    <t>8CVA059-402</t>
  </si>
  <si>
    <t>8CVA060-401</t>
  </si>
  <si>
    <t>8CVA060-402</t>
  </si>
  <si>
    <t>8CVA060-403</t>
  </si>
  <si>
    <t>8CVA060-404</t>
  </si>
  <si>
    <t>8CVA061-401</t>
  </si>
  <si>
    <t>8CVA061-402</t>
  </si>
  <si>
    <t>КВВГЭнг 4х1.0</t>
  </si>
  <si>
    <t>8CVA061-403</t>
  </si>
  <si>
    <t>8CVA062-401</t>
  </si>
  <si>
    <t>8CVA062-402</t>
  </si>
  <si>
    <t>8CVA063-401</t>
  </si>
  <si>
    <t>8CVA063-402</t>
  </si>
  <si>
    <t>8CVA063-403</t>
  </si>
  <si>
    <t>8CVA064-401</t>
  </si>
  <si>
    <t>8CVA064-402</t>
  </si>
  <si>
    <t>8CVA064-403</t>
  </si>
  <si>
    <t>8CVA065-401</t>
  </si>
  <si>
    <t>8CVA065-402</t>
  </si>
  <si>
    <t>8CVA066-401</t>
  </si>
  <si>
    <t>8CVA066-402</t>
  </si>
  <si>
    <t>8CVA066-403</t>
  </si>
  <si>
    <t>8CVA067-401</t>
  </si>
  <si>
    <t>8CVA067-402</t>
  </si>
  <si>
    <t>8CVA067-403</t>
  </si>
  <si>
    <t>8CVA067-404</t>
  </si>
  <si>
    <t>8CVA068-401</t>
  </si>
  <si>
    <t>8CVA068-402</t>
  </si>
  <si>
    <t>8CVA068-403</t>
  </si>
  <si>
    <t>8CVA069-401</t>
  </si>
  <si>
    <t>8CVA070-401</t>
  </si>
  <si>
    <t>8CVA071-401</t>
  </si>
  <si>
    <t>8CVA071-402</t>
  </si>
  <si>
    <t>8CVA072-401</t>
  </si>
  <si>
    <t>8CVA072/1-401</t>
  </si>
  <si>
    <t>8CVA073-401</t>
  </si>
  <si>
    <t>8CVA073-402</t>
  </si>
  <si>
    <t>8CVA074-401</t>
  </si>
  <si>
    <t>8CVA075-401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</si>
</sst>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indexed="9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1"/>
      <color rgb="FF7030A0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b/>
      <sz val="11"/>
      <color rgb="FF0000FF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0"/>
      <color theme="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color theme="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48"/>
        <bgColor indexed="30"/>
      </patternFill>
    </fill>
    <fill>
      <patternFill patternType="solid">
        <fgColor indexed="8"/>
        <bgColor indexed="58"/>
      </patternFill>
    </fill>
    <fill>
      <patternFill patternType="solid">
        <fgColor indexed="12"/>
        <bgColor indexed="39"/>
      </patternFill>
    </fill>
    <fill>
      <patternFill patternType="solid">
        <fgColor indexed="43"/>
        <bgColor indexed="26"/>
      </patternFill>
    </fill>
    <fill>
      <patternFill patternType="solid">
        <fgColor indexed="29"/>
        <bgColor indexed="26"/>
      </patternFill>
    </fill>
    <fill>
      <patternFill patternType="solid">
        <fgColor indexed="10"/>
        <bgColor indexed="6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3" fillId="0" borderId="0"/>
    <xf numFmtId="0" fontId="5" fillId="0" borderId="0"/>
    <xf numFmtId="0" fontId="21" fillId="0" borderId="0"/>
    <xf numFmtId="0" fontId="21" fillId="0" borderId="0"/>
    <xf numFmtId="0" fontId="25" fillId="0" borderId="0"/>
    <xf numFmtId="43" fontId="17" fillId="0" borderId="0" applyFont="0" applyFill="0" applyBorder="0" applyAlignment="0" applyProtection="0"/>
  </cellStyleXfs>
  <cellXfs count="283">
    <xf numFmtId="0" fontId="0" fillId="0" borderId="0" xfId="0"/>
    <xf numFmtId="0" fontId="4" fillId="3" borderId="1" xfId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1" fillId="0" borderId="0" xfId="0" applyFont="1"/>
    <xf numFmtId="0" fontId="4" fillId="4" borderId="1" xfId="1" applyFont="1" applyFill="1" applyBorder="1" applyAlignment="1">
      <alignment horizontal="center" vertical="center" wrapText="1"/>
    </xf>
    <xf numFmtId="0" fontId="6" fillId="5" borderId="1" xfId="1" applyFont="1" applyFill="1" applyBorder="1" applyAlignment="1">
      <alignment horizontal="center" vertical="center" wrapText="1"/>
    </xf>
    <xf numFmtId="0" fontId="6" fillId="6" borderId="1" xfId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Border="1"/>
    <xf numFmtId="49" fontId="4" fillId="2" borderId="1" xfId="1" applyNumberFormat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left"/>
    </xf>
    <xf numFmtId="0" fontId="0" fillId="8" borderId="1" xfId="0" applyFill="1" applyBorder="1"/>
    <xf numFmtId="0" fontId="0" fillId="0" borderId="1" xfId="0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0" fillId="9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12" fillId="0" borderId="0" xfId="0" applyFont="1"/>
    <xf numFmtId="2" fontId="0" fillId="0" borderId="0" xfId="0" applyNumberFormat="1"/>
    <xf numFmtId="0" fontId="12" fillId="0" borderId="0" xfId="0" applyFont="1" applyFill="1"/>
    <xf numFmtId="0" fontId="0" fillId="0" borderId="0" xfId="0" applyFill="1" applyAlignment="1"/>
    <xf numFmtId="0" fontId="0" fillId="0" borderId="0" xfId="0" applyAlignment="1"/>
    <xf numFmtId="0" fontId="0" fillId="11" borderId="0" xfId="0" applyFill="1"/>
    <xf numFmtId="0" fontId="0" fillId="0" borderId="0" xfId="0" applyAlignment="1">
      <alignment horizontal="center" vertical="distributed"/>
    </xf>
    <xf numFmtId="2" fontId="0" fillId="0" borderId="0" xfId="0" applyNumberFormat="1" applyAlignment="1">
      <alignment horizontal="center" vertical="distributed"/>
    </xf>
    <xf numFmtId="0" fontId="0" fillId="0" borderId="0" xfId="0" applyBorder="1"/>
    <xf numFmtId="0" fontId="12" fillId="0" borderId="0" xfId="0" applyFont="1" applyBorder="1" applyAlignment="1">
      <alignment horizontal="center"/>
    </xf>
    <xf numFmtId="0" fontId="16" fillId="0" borderId="0" xfId="2" applyFont="1" applyBorder="1" applyAlignment="1">
      <alignment horizontal="center"/>
    </xf>
    <xf numFmtId="0" fontId="13" fillId="0" borderId="0" xfId="0" applyFont="1" applyBorder="1"/>
    <xf numFmtId="0" fontId="10" fillId="0" borderId="0" xfId="0" applyFont="1" applyBorder="1"/>
    <xf numFmtId="0" fontId="15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2" borderId="4" xfId="0" applyFill="1" applyBorder="1"/>
    <xf numFmtId="0" fontId="0" fillId="0" borderId="13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2" xfId="0" applyFont="1" applyBorder="1" applyAlignment="1">
      <alignment horizontal="center" vertical="distributed"/>
    </xf>
    <xf numFmtId="0" fontId="15" fillId="13" borderId="8" xfId="0" applyFont="1" applyFill="1" applyBorder="1"/>
    <xf numFmtId="0" fontId="15" fillId="13" borderId="9" xfId="0" applyFont="1" applyFill="1" applyBorder="1"/>
    <xf numFmtId="0" fontId="15" fillId="13" borderId="10" xfId="0" applyFont="1" applyFill="1" applyBorder="1"/>
    <xf numFmtId="0" fontId="0" fillId="0" borderId="6" xfId="0" applyBorder="1"/>
    <xf numFmtId="0" fontId="0" fillId="11" borderId="5" xfId="0" applyFill="1" applyBorder="1"/>
    <xf numFmtId="0" fontId="17" fillId="0" borderId="6" xfId="0" applyFont="1" applyBorder="1"/>
    <xf numFmtId="0" fontId="0" fillId="14" borderId="0" xfId="0" applyFill="1"/>
    <xf numFmtId="0" fontId="0" fillId="14" borderId="5" xfId="0" applyFill="1" applyBorder="1"/>
    <xf numFmtId="0" fontId="0" fillId="0" borderId="5" xfId="0" applyFill="1" applyBorder="1"/>
    <xf numFmtId="0" fontId="0" fillId="0" borderId="7" xfId="0" applyFill="1" applyBorder="1"/>
    <xf numFmtId="0" fontId="0" fillId="11" borderId="7" xfId="0" applyFill="1" applyBorder="1"/>
    <xf numFmtId="0" fontId="0" fillId="14" borderId="7" xfId="0" applyFill="1" applyBorder="1"/>
    <xf numFmtId="0" fontId="0" fillId="15" borderId="0" xfId="0" applyFill="1"/>
    <xf numFmtId="0" fontId="0" fillId="15" borderId="5" xfId="0" applyFill="1" applyBorder="1"/>
    <xf numFmtId="0" fontId="0" fillId="15" borderId="5" xfId="0" applyFont="1" applyFill="1" applyBorder="1"/>
    <xf numFmtId="0" fontId="0" fillId="11" borderId="11" xfId="0" applyFill="1" applyBorder="1"/>
    <xf numFmtId="0" fontId="0" fillId="10" borderId="1" xfId="0" applyFont="1" applyFill="1" applyBorder="1"/>
    <xf numFmtId="0" fontId="0" fillId="16" borderId="0" xfId="0" applyFill="1"/>
    <xf numFmtId="0" fontId="0" fillId="16" borderId="1" xfId="0" applyFill="1" applyBorder="1"/>
    <xf numFmtId="0" fontId="0" fillId="0" borderId="1" xfId="0" applyFill="1" applyBorder="1"/>
    <xf numFmtId="0" fontId="0" fillId="16" borderId="1" xfId="0" applyFont="1" applyFill="1" applyBorder="1"/>
    <xf numFmtId="0" fontId="2" fillId="12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2" fillId="0" borderId="1" xfId="3" applyFont="1" applyFill="1" applyBorder="1" applyAlignment="1">
      <alignment wrapText="1"/>
    </xf>
    <xf numFmtId="0" fontId="22" fillId="0" borderId="1" xfId="3" applyFont="1" applyBorder="1" applyAlignment="1">
      <alignment wrapText="1"/>
    </xf>
    <xf numFmtId="0" fontId="0" fillId="17" borderId="1" xfId="0" applyFill="1" applyBorder="1"/>
    <xf numFmtId="49" fontId="0" fillId="0" borderId="0" xfId="0" applyNumberFormat="1" applyFill="1"/>
    <xf numFmtId="0" fontId="0" fillId="0" borderId="0" xfId="0" applyFill="1" applyAlignment="1">
      <alignment horizontal="right"/>
    </xf>
    <xf numFmtId="49" fontId="0" fillId="0" borderId="0" xfId="0" applyNumberFormat="1" applyFill="1" applyAlignment="1">
      <alignment horizontal="right" vertical="center"/>
    </xf>
    <xf numFmtId="49" fontId="0" fillId="0" borderId="0" xfId="0" applyNumberFormat="1" applyFill="1" applyAlignment="1">
      <alignment horizontal="left" vertical="center"/>
    </xf>
    <xf numFmtId="0" fontId="2" fillId="0" borderId="0" xfId="0" applyFont="1"/>
    <xf numFmtId="0" fontId="2" fillId="0" borderId="0" xfId="0" applyFont="1" applyBorder="1"/>
    <xf numFmtId="0" fontId="0" fillId="12" borderId="0" xfId="0" applyFill="1"/>
    <xf numFmtId="0" fontId="22" fillId="0" borderId="0" xfId="3" applyFont="1" applyFill="1" applyBorder="1" applyAlignment="1">
      <alignment wrapText="1"/>
    </xf>
    <xf numFmtId="0" fontId="0" fillId="18" borderId="1" xfId="0" applyFill="1" applyBorder="1"/>
    <xf numFmtId="0" fontId="22" fillId="18" borderId="1" xfId="3" applyFont="1" applyFill="1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center"/>
    </xf>
    <xf numFmtId="0" fontId="0" fillId="18" borderId="4" xfId="0" applyFill="1" applyBorder="1"/>
    <xf numFmtId="0" fontId="0" fillId="0" borderId="1" xfId="0" applyBorder="1" applyAlignment="1">
      <alignment horizontal="center" vertical="center"/>
    </xf>
    <xf numFmtId="0" fontId="22" fillId="17" borderId="1" xfId="3" applyFont="1" applyFill="1" applyBorder="1" applyAlignment="1">
      <alignment wrapText="1"/>
    </xf>
    <xf numFmtId="0" fontId="15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center"/>
    </xf>
    <xf numFmtId="0" fontId="3" fillId="0" borderId="0" xfId="2" applyFont="1" applyFill="1" applyAlignment="1">
      <alignment horizontal="center"/>
    </xf>
    <xf numFmtId="0" fontId="0" fillId="0" borderId="0" xfId="0" applyFont="1"/>
    <xf numFmtId="0" fontId="20" fillId="19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20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20" fillId="19" borderId="20" xfId="0" applyFont="1" applyFill="1" applyBorder="1" applyAlignment="1">
      <alignment horizontal="center" vertical="center" wrapText="1"/>
    </xf>
    <xf numFmtId="0" fontId="20" fillId="19" borderId="0" xfId="0" applyFont="1" applyFill="1" applyBorder="1" applyAlignment="1">
      <alignment horizontal="center" vertical="center" wrapText="1"/>
    </xf>
    <xf numFmtId="49" fontId="20" fillId="19" borderId="0" xfId="0" applyNumberFormat="1" applyFont="1" applyFill="1" applyBorder="1" applyAlignment="1">
      <alignment horizontal="center" vertical="center" wrapText="1"/>
    </xf>
    <xf numFmtId="0" fontId="20" fillId="19" borderId="23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10" fillId="20" borderId="0" xfId="0" applyFont="1" applyFill="1"/>
    <xf numFmtId="0" fontId="0" fillId="9" borderId="0" xfId="0" applyFill="1" applyBorder="1" applyAlignment="1">
      <alignment horizontal="center"/>
    </xf>
    <xf numFmtId="0" fontId="12" fillId="9" borderId="0" xfId="0" applyFont="1" applyFill="1"/>
    <xf numFmtId="0" fontId="0" fillId="20" borderId="0" xfId="0" applyFill="1"/>
    <xf numFmtId="0" fontId="0" fillId="20" borderId="1" xfId="0" applyFill="1" applyBorder="1"/>
    <xf numFmtId="0" fontId="22" fillId="9" borderId="1" xfId="4" applyFont="1" applyFill="1" applyBorder="1" applyAlignment="1">
      <alignment wrapText="1"/>
    </xf>
    <xf numFmtId="0" fontId="22" fillId="0" borderId="0" xfId="4" applyFont="1" applyFill="1" applyBorder="1" applyAlignment="1">
      <alignment horizontal="center" vertical="center" wrapText="1"/>
    </xf>
    <xf numFmtId="0" fontId="22" fillId="0" borderId="1" xfId="4" applyFont="1" applyFill="1" applyBorder="1" applyAlignment="1">
      <alignment horizontal="center" vertical="center" wrapText="1"/>
    </xf>
    <xf numFmtId="0" fontId="22" fillId="20" borderId="0" xfId="4" applyFont="1" applyFill="1" applyBorder="1" applyAlignment="1">
      <alignment wrapText="1"/>
    </xf>
    <xf numFmtId="0" fontId="13" fillId="20" borderId="0" xfId="0" applyFont="1" applyFill="1" applyAlignment="1">
      <alignment horizontal="center"/>
    </xf>
    <xf numFmtId="0" fontId="16" fillId="21" borderId="0" xfId="2" applyFont="1" applyFill="1" applyBorder="1" applyAlignment="1">
      <alignment horizontal="center"/>
    </xf>
    <xf numFmtId="0" fontId="16" fillId="21" borderId="0" xfId="2" applyFont="1" applyFill="1" applyBorder="1" applyAlignment="1">
      <alignment horizontal="center" wrapText="1"/>
    </xf>
    <xf numFmtId="0" fontId="0" fillId="22" borderId="0" xfId="0" applyFill="1" applyBorder="1" applyAlignment="1">
      <alignment horizontal="center"/>
    </xf>
    <xf numFmtId="0" fontId="0" fillId="22" borderId="0" xfId="0" applyFill="1"/>
    <xf numFmtId="0" fontId="15" fillId="0" borderId="0" xfId="0" applyFont="1" applyBorder="1" applyAlignment="1">
      <alignment horizontal="center" wrapText="1"/>
    </xf>
    <xf numFmtId="0" fontId="22" fillId="23" borderId="0" xfId="4" applyFont="1" applyFill="1" applyBorder="1" applyAlignment="1">
      <alignment wrapText="1"/>
    </xf>
    <xf numFmtId="0" fontId="9" fillId="23" borderId="0" xfId="0" applyFont="1" applyFill="1" applyBorder="1" applyAlignment="1">
      <alignment horizontal="left" vertical="center" wrapText="1"/>
    </xf>
    <xf numFmtId="0" fontId="0" fillId="23" borderId="0" xfId="0" applyFill="1" applyBorder="1"/>
    <xf numFmtId="0" fontId="0" fillId="23" borderId="0" xfId="0" applyFill="1" applyBorder="1" applyAlignment="1">
      <alignment horizontal="center"/>
    </xf>
    <xf numFmtId="0" fontId="0" fillId="23" borderId="0" xfId="0" applyFill="1"/>
    <xf numFmtId="0" fontId="12" fillId="23" borderId="0" xfId="0" applyFont="1" applyFill="1"/>
    <xf numFmtId="0" fontId="13" fillId="0" borderId="1" xfId="0" applyFont="1" applyFill="1" applyBorder="1" applyAlignment="1">
      <alignment horizontal="center"/>
    </xf>
    <xf numFmtId="0" fontId="22" fillId="22" borderId="1" xfId="4" applyFont="1" applyFill="1" applyBorder="1" applyAlignment="1">
      <alignment horizontal="center" vertical="center" wrapText="1"/>
    </xf>
    <xf numFmtId="0" fontId="9" fillId="9" borderId="1" xfId="4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left" vertical="center" wrapText="1"/>
    </xf>
    <xf numFmtId="0" fontId="29" fillId="9" borderId="24" xfId="5" applyFont="1" applyFill="1" applyBorder="1"/>
    <xf numFmtId="0" fontId="29" fillId="9" borderId="15" xfId="5" applyFont="1" applyFill="1" applyBorder="1"/>
    <xf numFmtId="0" fontId="20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2" fillId="9" borderId="0" xfId="0" applyFon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2" fillId="9" borderId="0" xfId="0" applyFont="1" applyFill="1" applyAlignment="1">
      <alignment horizontal="center"/>
    </xf>
    <xf numFmtId="0" fontId="0" fillId="0" borderId="1" xfId="0" applyFont="1" applyFill="1" applyBorder="1" applyAlignment="1">
      <alignment horizontal="left"/>
    </xf>
    <xf numFmtId="0" fontId="3" fillId="0" borderId="1" xfId="2" applyFont="1" applyFill="1" applyBorder="1" applyAlignment="1">
      <alignment horizontal="center"/>
    </xf>
    <xf numFmtId="0" fontId="22" fillId="14" borderId="0" xfId="4" applyFont="1" applyFill="1" applyBorder="1" applyAlignment="1">
      <alignment wrapText="1"/>
    </xf>
    <xf numFmtId="0" fontId="0" fillId="0" borderId="4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/>
    <xf numFmtId="0" fontId="3" fillId="0" borderId="0" xfId="2" applyFont="1" applyFill="1" applyBorder="1" applyAlignment="1">
      <alignment horizontal="center"/>
    </xf>
    <xf numFmtId="0" fontId="22" fillId="0" borderId="1" xfId="4" applyFont="1" applyFill="1" applyBorder="1" applyAlignment="1">
      <alignment wrapText="1"/>
    </xf>
    <xf numFmtId="0" fontId="12" fillId="0" borderId="1" xfId="0" applyFont="1" applyFill="1" applyBorder="1"/>
    <xf numFmtId="0" fontId="9" fillId="0" borderId="1" xfId="0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6" applyNumberFormat="1" applyFont="1" applyFill="1" applyBorder="1" applyAlignment="1">
      <alignment horizontal="center" vertical="center"/>
    </xf>
    <xf numFmtId="49" fontId="12" fillId="9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" fontId="0" fillId="0" borderId="0" xfId="6" applyNumberFormat="1" applyFont="1" applyFill="1" applyBorder="1" applyAlignment="1">
      <alignment horizontal="center" vertical="center"/>
    </xf>
    <xf numFmtId="0" fontId="3" fillId="20" borderId="0" xfId="0" applyNumberFormat="1" applyFont="1" applyFill="1" applyBorder="1" applyAlignment="1" applyProtection="1">
      <alignment horizontal="center"/>
    </xf>
    <xf numFmtId="0" fontId="9" fillId="0" borderId="0" xfId="0" applyFont="1" applyFill="1" applyAlignment="1">
      <alignment horizontal="left" vertical="top" wrapText="1"/>
    </xf>
    <xf numFmtId="2" fontId="0" fillId="0" borderId="0" xfId="0" applyNumberForma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top" wrapText="1"/>
    </xf>
    <xf numFmtId="49" fontId="12" fillId="0" borderId="0" xfId="0" applyNumberFormat="1" applyFont="1" applyBorder="1" applyAlignment="1">
      <alignment horizontal="center"/>
    </xf>
    <xf numFmtId="49" fontId="0" fillId="0" borderId="0" xfId="0" applyNumberFormat="1" applyFill="1" applyBorder="1" applyAlignment="1">
      <alignment horizontal="left"/>
    </xf>
    <xf numFmtId="49" fontId="12" fillId="0" borderId="0" xfId="0" applyNumberFormat="1" applyFont="1" applyFill="1"/>
    <xf numFmtId="49" fontId="12" fillId="0" borderId="0" xfId="0" applyNumberFormat="1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/>
    </xf>
    <xf numFmtId="49" fontId="12" fillId="0" borderId="0" xfId="0" applyNumberFormat="1" applyFont="1"/>
    <xf numFmtId="49" fontId="0" fillId="0" borderId="0" xfId="0" applyNumberFormat="1" applyFont="1"/>
    <xf numFmtId="49" fontId="20" fillId="0" borderId="0" xfId="0" applyNumberFormat="1" applyFont="1" applyBorder="1" applyAlignment="1">
      <alignment horizontal="left"/>
    </xf>
    <xf numFmtId="49" fontId="12" fillId="9" borderId="0" xfId="0" applyNumberFormat="1" applyFont="1" applyFill="1" applyBorder="1" applyAlignment="1">
      <alignment horizontal="center"/>
    </xf>
    <xf numFmtId="49" fontId="12" fillId="9" borderId="0" xfId="0" applyNumberFormat="1" applyFont="1" applyFill="1" applyAlignment="1">
      <alignment horizontal="center"/>
    </xf>
    <xf numFmtId="49" fontId="12" fillId="23" borderId="0" xfId="0" applyNumberFormat="1" applyFont="1" applyFill="1"/>
    <xf numFmtId="0" fontId="0" fillId="0" borderId="0" xfId="0" applyFont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22" fillId="0" borderId="0" xfId="4" applyFont="1" applyFill="1" applyBorder="1" applyAlignment="1">
      <alignment wrapText="1"/>
    </xf>
    <xf numFmtId="49" fontId="0" fillId="9" borderId="0" xfId="0" applyNumberFormat="1" applyFill="1" applyBorder="1" applyAlignment="1">
      <alignment horizontal="center"/>
    </xf>
    <xf numFmtId="49" fontId="0" fillId="0" borderId="0" xfId="0" applyNumberFormat="1" applyFont="1" applyFill="1"/>
    <xf numFmtId="0" fontId="0" fillId="0" borderId="0" xfId="0" applyFont="1" applyFill="1" applyAlignment="1">
      <alignment horizontal="center" vertical="center"/>
    </xf>
    <xf numFmtId="49" fontId="12" fillId="9" borderId="1" xfId="0" applyNumberFormat="1" applyFont="1" applyFill="1" applyBorder="1" applyAlignment="1">
      <alignment horizontal="center"/>
    </xf>
    <xf numFmtId="0" fontId="12" fillId="22" borderId="0" xfId="0" applyFont="1" applyFill="1" applyAlignment="1">
      <alignment horizontal="center" vertical="center"/>
    </xf>
    <xf numFmtId="0" fontId="12" fillId="22" borderId="0" xfId="0" applyFont="1" applyFill="1"/>
    <xf numFmtId="0" fontId="12" fillId="22" borderId="0" xfId="0" applyFont="1" applyFill="1" applyAlignment="1">
      <alignment horizontal="center"/>
    </xf>
    <xf numFmtId="0" fontId="0" fillId="22" borderId="0" xfId="0" applyFill="1" applyBorder="1" applyAlignment="1">
      <alignment horizontal="center" vertical="center"/>
    </xf>
    <xf numFmtId="0" fontId="12" fillId="22" borderId="0" xfId="0" applyFont="1" applyFill="1" applyBorder="1" applyAlignment="1">
      <alignment horizontal="center"/>
    </xf>
    <xf numFmtId="0" fontId="12" fillId="22" borderId="0" xfId="0" applyFont="1" applyFill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 wrapText="1"/>
    </xf>
    <xf numFmtId="0" fontId="0" fillId="18" borderId="3" xfId="0" applyFill="1" applyBorder="1" applyAlignment="1">
      <alignment horizontal="center" vertical="center" wrapText="1"/>
    </xf>
    <xf numFmtId="0" fontId="22" fillId="18" borderId="4" xfId="3" applyFont="1" applyFill="1" applyBorder="1" applyAlignment="1">
      <alignment horizontal="center" vertical="center" wrapText="1"/>
    </xf>
    <xf numFmtId="0" fontId="22" fillId="18" borderId="3" xfId="3" applyFont="1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4" xfId="0" applyFill="1" applyBorder="1" applyAlignment="1">
      <alignment horizontal="center" wrapText="1"/>
    </xf>
    <xf numFmtId="0" fontId="0" fillId="17" borderId="3" xfId="0" applyFill="1" applyBorder="1" applyAlignment="1">
      <alignment horizontal="center" wrapText="1"/>
    </xf>
    <xf numFmtId="0" fontId="0" fillId="17" borderId="1" xfId="0" applyFill="1" applyBorder="1" applyAlignment="1">
      <alignment horizontal="center"/>
    </xf>
    <xf numFmtId="0" fontId="3" fillId="0" borderId="0" xfId="2" applyFont="1" applyFill="1" applyAlignment="1">
      <alignment horizontal="left"/>
    </xf>
    <xf numFmtId="0" fontId="3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 vertical="top"/>
    </xf>
    <xf numFmtId="0" fontId="22" fillId="0" borderId="24" xfId="4" applyFont="1" applyFill="1" applyBorder="1" applyAlignment="1">
      <alignment wrapText="1"/>
    </xf>
    <xf numFmtId="0" fontId="22" fillId="0" borderId="24" xfId="4" applyFont="1" applyFill="1" applyBorder="1" applyAlignment="1">
      <alignment horizontal="center" vertical="center" wrapText="1"/>
    </xf>
    <xf numFmtId="0" fontId="22" fillId="0" borderId="29" xfId="4" applyFont="1" applyFill="1" applyBorder="1" applyAlignment="1">
      <alignment wrapText="1"/>
    </xf>
    <xf numFmtId="0" fontId="3" fillId="0" borderId="24" xfId="2" applyFont="1" applyFill="1" applyBorder="1" applyAlignment="1">
      <alignment horizontal="left"/>
    </xf>
    <xf numFmtId="0" fontId="26" fillId="0" borderId="1" xfId="5" applyFont="1" applyFill="1" applyBorder="1"/>
    <xf numFmtId="0" fontId="25" fillId="0" borderId="1" xfId="5" applyFont="1" applyFill="1" applyBorder="1"/>
    <xf numFmtId="0" fontId="26" fillId="0" borderId="2" xfId="5" applyFont="1" applyFill="1" applyBorder="1"/>
    <xf numFmtId="0" fontId="25" fillId="0" borderId="4" xfId="5" applyFont="1" applyFill="1" applyBorder="1"/>
    <xf numFmtId="0" fontId="22" fillId="0" borderId="4" xfId="4" applyFont="1" applyFill="1" applyBorder="1" applyAlignment="1">
      <alignment wrapText="1"/>
    </xf>
    <xf numFmtId="0" fontId="27" fillId="0" borderId="0" xfId="5" applyFont="1" applyFill="1" applyBorder="1"/>
    <xf numFmtId="0" fontId="27" fillId="0" borderId="19" xfId="5" applyFont="1" applyFill="1" applyBorder="1"/>
    <xf numFmtId="0" fontId="3" fillId="0" borderId="19" xfId="2" applyFont="1" applyFill="1" applyBorder="1" applyAlignment="1">
      <alignment horizontal="center"/>
    </xf>
    <xf numFmtId="0" fontId="9" fillId="0" borderId="1" xfId="4" applyFont="1" applyFill="1" applyBorder="1" applyAlignment="1">
      <alignment horizontal="center"/>
    </xf>
    <xf numFmtId="0" fontId="9" fillId="0" borderId="0" xfId="0" applyFont="1" applyFill="1" applyBorder="1" applyAlignment="1">
      <alignment vertical="center" wrapText="1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2" fillId="0" borderId="3" xfId="4" applyFont="1" applyFill="1" applyBorder="1" applyAlignment="1">
      <alignment wrapText="1"/>
    </xf>
    <xf numFmtId="0" fontId="3" fillId="0" borderId="24" xfId="2" applyFont="1" applyFill="1" applyBorder="1" applyAlignment="1">
      <alignment horizontal="center"/>
    </xf>
    <xf numFmtId="0" fontId="3" fillId="0" borderId="1" xfId="0" applyFont="1" applyFill="1" applyBorder="1"/>
    <xf numFmtId="0" fontId="0" fillId="22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0" fillId="22" borderId="1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Fill="1" applyBorder="1"/>
    <xf numFmtId="0" fontId="0" fillId="0" borderId="0" xfId="0" applyFill="1" applyAlignment="1">
      <alignment horizontal="left" vertical="center"/>
    </xf>
    <xf numFmtId="0" fontId="9" fillId="0" borderId="0" xfId="0" applyFont="1" applyFill="1" applyBorder="1" applyAlignment="1">
      <alignment horizontal="left" vertical="top" wrapText="1"/>
    </xf>
    <xf numFmtId="0" fontId="11" fillId="0" borderId="0" xfId="0" applyFont="1" applyFill="1"/>
    <xf numFmtId="0" fontId="9" fillId="0" borderId="0" xfId="0" applyFont="1" applyFill="1" applyBorder="1" applyAlignment="1">
      <alignment horizontal="left"/>
    </xf>
    <xf numFmtId="0" fontId="0" fillId="0" borderId="0" xfId="0" applyFill="1" applyBorder="1"/>
    <xf numFmtId="0" fontId="9" fillId="0" borderId="0" xfId="0" applyFont="1" applyFill="1" applyAlignment="1">
      <alignment horizontal="left"/>
    </xf>
    <xf numFmtId="0" fontId="22" fillId="9" borderId="0" xfId="4" applyFont="1" applyFill="1" applyBorder="1" applyAlignment="1">
      <alignment horizontal="center" wrapText="1"/>
    </xf>
    <xf numFmtId="0" fontId="9" fillId="0" borderId="0" xfId="0" applyFont="1" applyFill="1" applyAlignment="1">
      <alignment horizontal="center"/>
    </xf>
    <xf numFmtId="0" fontId="9" fillId="0" borderId="28" xfId="4" applyFont="1" applyFill="1" applyBorder="1" applyAlignment="1">
      <alignment horizontal="center"/>
    </xf>
    <xf numFmtId="0" fontId="12" fillId="0" borderId="0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23" fillId="0" borderId="0" xfId="0" applyFont="1" applyFill="1" applyBorder="1" applyAlignment="1">
      <alignment horizontal="left" vertical="top" wrapText="1"/>
    </xf>
    <xf numFmtId="0" fontId="22" fillId="0" borderId="30" xfId="4" applyFont="1" applyFill="1" applyBorder="1" applyAlignment="1">
      <alignment wrapText="1"/>
    </xf>
    <xf numFmtId="0" fontId="0" fillId="0" borderId="0" xfId="0" quotePrefix="1" applyFill="1" applyBorder="1" applyAlignment="1">
      <alignment horizontal="center"/>
    </xf>
    <xf numFmtId="0" fontId="22" fillId="0" borderId="28" xfId="4" applyFont="1" applyFill="1" applyBorder="1" applyAlignment="1">
      <alignment wrapText="1"/>
    </xf>
    <xf numFmtId="0" fontId="22" fillId="0" borderId="28" xfId="4" applyFont="1" applyFill="1" applyBorder="1" applyAlignment="1">
      <alignment horizontal="center" wrapText="1"/>
    </xf>
    <xf numFmtId="0" fontId="9" fillId="0" borderId="1" xfId="0" applyFont="1" applyFill="1" applyBorder="1"/>
    <xf numFmtId="0" fontId="0" fillId="0" borderId="0" xfId="0" applyFont="1" applyFill="1" applyBorder="1"/>
    <xf numFmtId="0" fontId="28" fillId="0" borderId="0" xfId="0" applyFont="1" applyFill="1"/>
    <xf numFmtId="0" fontId="9" fillId="0" borderId="4" xfId="0" applyFont="1" applyFill="1" applyBorder="1" applyAlignment="1">
      <alignment horizontal="left" vertical="top" wrapText="1"/>
    </xf>
    <xf numFmtId="0" fontId="28" fillId="0" borderId="31" xfId="0" applyFont="1" applyFill="1" applyBorder="1" applyAlignment="1">
      <alignment vertical="center" wrapText="1"/>
    </xf>
    <xf numFmtId="0" fontId="9" fillId="0" borderId="4" xfId="4" applyFont="1" applyFill="1" applyBorder="1" applyAlignment="1">
      <alignment horizontal="center"/>
    </xf>
    <xf numFmtId="0" fontId="9" fillId="9" borderId="0" xfId="0" applyFont="1" applyFill="1" applyBorder="1" applyAlignment="1">
      <alignment horizontal="left" vertical="top" wrapText="1"/>
    </xf>
    <xf numFmtId="49" fontId="12" fillId="0" borderId="1" xfId="0" applyNumberFormat="1" applyFont="1" applyFill="1" applyBorder="1"/>
    <xf numFmtId="0" fontId="12" fillId="0" borderId="1" xfId="0" applyFont="1" applyFill="1" applyBorder="1" applyAlignment="1">
      <alignment horizontal="center" vertical="center"/>
    </xf>
    <xf numFmtId="0" fontId="9" fillId="0" borderId="0" xfId="2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/>
    </xf>
    <xf numFmtId="0" fontId="9" fillId="0" borderId="1" xfId="2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center"/>
    </xf>
    <xf numFmtId="49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0" fillId="0" borderId="1" xfId="5" applyFont="1" applyFill="1" applyBorder="1"/>
    <xf numFmtId="0" fontId="30" fillId="0" borderId="16" xfId="5" applyFont="1" applyFill="1" applyBorder="1"/>
    <xf numFmtId="0" fontId="13" fillId="0" borderId="0" xfId="0" applyFont="1" applyFill="1" applyBorder="1"/>
  </cellXfs>
  <cellStyles count="7">
    <cellStyle name="Normal 2" xfId="2" xr:uid="{00000000-0005-0000-0000-000000000000}"/>
    <cellStyle name="Normal_Controllers cabinets rev2" xfId="1" xr:uid="{00000000-0005-0000-0000-000001000000}"/>
    <cellStyle name="Обычный" xfId="0" builtinId="0"/>
    <cellStyle name="Обычный 4 2" xfId="5" xr:uid="{1FC72781-9DB0-4C76-8529-45091F489920}"/>
    <cellStyle name="Обычный_DBID Analog" xfId="4" xr:uid="{C79ADA01-B1CE-4BA7-9BA4-1BBFD1F336ED}"/>
    <cellStyle name="Обычный_DBID Digital" xfId="3" xr:uid="{00000000-0005-0000-0000-000003000000}"/>
    <cellStyle name="Финансовый" xfId="6" builtinId="3"/>
  </cellStyles>
  <dxfs count="1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rgb="FFFF000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numFmt numFmtId="0" formatCode="General"/>
    </dxf>
    <dxf>
      <numFmt numFmtId="2" formatCode="0.0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distributed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asilenkoAVi/Desktop/&#1056;&#1040;&#1041;&#1054;&#1058;&#1040;/&#1044;&#1086;&#1058;&#1045;&#1057;/&#1041;&#1083;7/Emerson/&#1044;&#1086;&#1058;&#1045;&#1057;7_&#1041;&#1044;_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lexander\Desktop\&#1056;&#1072;&#1073;&#1086;&#1090;&#1072;\&#1044;&#1086;&#1058;&#1045;&#1057;\&#1041;&#1083;7\&#1044;&#1086;&#1058;&#1045;&#1057;7_&#1041;&#1044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ID Analog"/>
      <sheetName val="DBID Digital"/>
      <sheetName val="DROPS"/>
      <sheetName val="DROP1"/>
      <sheetName val="DROP2"/>
      <sheetName val="DROP3"/>
      <sheetName val="DROP4"/>
      <sheetName val="DROP5"/>
      <sheetName val="DROP6"/>
      <sheetName val="DROP7"/>
      <sheetName val="DROP8"/>
    </sheetNames>
    <sheetDataSet>
      <sheetData sheetId="0">
        <row r="1">
          <cell r="B1" t="str">
            <v>Point Name</v>
          </cell>
          <cell r="C1" t="str">
            <v>Point Alias</v>
          </cell>
          <cell r="D1" t="str">
            <v>Description</v>
          </cell>
        </row>
        <row r="2">
          <cell r="B2" t="str">
            <v>7HAD10CL001XQ01</v>
          </cell>
          <cell r="C2">
            <v>0</v>
          </cell>
          <cell r="D2" t="str">
            <v>L в барабані, д.1</v>
          </cell>
        </row>
        <row r="3">
          <cell r="B3" t="str">
            <v>7HHG10CP001XQ01</v>
          </cell>
          <cell r="C3">
            <v>0</v>
          </cell>
          <cell r="D3" t="str">
            <v>P газу після РК, д.1</v>
          </cell>
        </row>
        <row r="4">
          <cell r="B4" t="str">
            <v>7HJF10CP001XQ01</v>
          </cell>
          <cell r="C4">
            <v>0</v>
          </cell>
          <cell r="D4" t="str">
            <v>P мазута, д.1</v>
          </cell>
        </row>
        <row r="5">
          <cell r="B5" t="str">
            <v>7HAK10CP001XQ01</v>
          </cell>
          <cell r="C5">
            <v>0</v>
          </cell>
          <cell r="D5" t="str">
            <v>DP ХПП-ГПП нитка – А, д.1</v>
          </cell>
        </row>
        <row r="6">
          <cell r="B6" t="str">
            <v>7HAK20CP001XQ01</v>
          </cell>
          <cell r="C6">
            <v>0</v>
          </cell>
          <cell r="D6" t="str">
            <v>DP ХПП-ГПП нитка – Б, д.1</v>
          </cell>
        </row>
        <row r="7">
          <cell r="B7" t="str">
            <v>7HAD10CP002XQ01</v>
          </cell>
          <cell r="C7">
            <v>0</v>
          </cell>
          <cell r="D7" t="str">
            <v>P в барабані ІЗК робочий</v>
          </cell>
        </row>
        <row r="8">
          <cell r="B8" t="str">
            <v>7HHG00CP001XQ01</v>
          </cell>
          <cell r="C8">
            <v>0</v>
          </cell>
          <cell r="D8" t="str">
            <v>P газу перед котлом</v>
          </cell>
        </row>
        <row r="9">
          <cell r="B9" t="str">
            <v>7LBA12CP003XQ01</v>
          </cell>
          <cell r="C9">
            <v>0</v>
          </cell>
          <cell r="D9" t="str">
            <v>P пари в ПЗК захист 1,04</v>
          </cell>
        </row>
        <row r="10">
          <cell r="B10" t="str">
            <v>7LBA12CP001XQ01</v>
          </cell>
          <cell r="C10">
            <v>0</v>
          </cell>
          <cell r="D10" t="str">
            <v>P пари в ПЗК ІЗК контрольний</v>
          </cell>
        </row>
        <row r="11">
          <cell r="B11" t="str">
            <v>7LBB10CP001XQ01</v>
          </cell>
          <cell r="C11">
            <v>0</v>
          </cell>
          <cell r="D11" t="str">
            <v>P пари ГПП ІЗК-1 захист</v>
          </cell>
        </row>
        <row r="12">
          <cell r="B12" t="str">
            <v>7LBC11CP001XQ01</v>
          </cell>
          <cell r="C12">
            <v>0</v>
          </cell>
          <cell r="D12" t="str">
            <v>P пари ХПП ІЗК-1 захист</v>
          </cell>
        </row>
        <row r="13">
          <cell r="B13" t="str">
            <v>7HNC10CE101XQ01</v>
          </cell>
          <cell r="C13">
            <v>0</v>
          </cell>
          <cell r="D13" t="str">
            <v>Струм ел/дв Д-11А I швидк</v>
          </cell>
        </row>
        <row r="14">
          <cell r="B14" t="str">
            <v>7HNC10CE201XQ01</v>
          </cell>
          <cell r="C14">
            <v>0</v>
          </cell>
          <cell r="D14" t="str">
            <v>Струм ел/дв Д-11А II швидк</v>
          </cell>
        </row>
        <row r="15">
          <cell r="B15" t="str">
            <v>7HLB10CE101XQ01</v>
          </cell>
          <cell r="C15">
            <v>0</v>
          </cell>
          <cell r="D15" t="str">
            <v>Струм ел/дв ДВ-11А I швидк</v>
          </cell>
        </row>
        <row r="16">
          <cell r="B16" t="str">
            <v>7HLB10CE201XQ01</v>
          </cell>
          <cell r="C16">
            <v>0</v>
          </cell>
          <cell r="D16" t="str">
            <v>Струм ел/дв ДВ-11А II швидк</v>
          </cell>
        </row>
        <row r="17">
          <cell r="B17" t="str">
            <v>7HFV11CP001XQ01</v>
          </cell>
          <cell r="C17">
            <v>0</v>
          </cell>
          <cell r="D17" t="str">
            <v>Р оливи зм редукт М-11-1</v>
          </cell>
        </row>
        <row r="18">
          <cell r="B18" t="str">
            <v>7HFV12CP001XQ01</v>
          </cell>
          <cell r="C18">
            <v>0</v>
          </cell>
          <cell r="D18" t="str">
            <v>Р оливи зм редукт М-11-2</v>
          </cell>
        </row>
        <row r="19">
          <cell r="B19" t="str">
            <v>7HFV13CP001XQ01</v>
          </cell>
          <cell r="C19">
            <v>0</v>
          </cell>
          <cell r="D19" t="str">
            <v>Р оливи зм редукт М-11-3</v>
          </cell>
        </row>
        <row r="20">
          <cell r="B20" t="str">
            <v>7HFV14CP001XQ01</v>
          </cell>
          <cell r="C20">
            <v>0</v>
          </cell>
          <cell r="D20" t="str">
            <v>Р оливи зм редукт М-11-4</v>
          </cell>
        </row>
        <row r="21">
          <cell r="B21" t="str">
            <v>7HFV15CP001XQ01</v>
          </cell>
          <cell r="C21">
            <v>0</v>
          </cell>
          <cell r="D21" t="str">
            <v>Р оливи зм редукт М-11-5</v>
          </cell>
        </row>
        <row r="22">
          <cell r="B22" t="str">
            <v>7HFV16CP001XQ01</v>
          </cell>
          <cell r="C22">
            <v>0</v>
          </cell>
          <cell r="D22" t="str">
            <v>Р оливи зм редукт М-11-6</v>
          </cell>
        </row>
        <row r="23">
          <cell r="B23" t="str">
            <v xml:space="preserve">7HHG21CP001XQ01 </v>
          </cell>
          <cell r="C23">
            <v>0</v>
          </cell>
          <cell r="D23" t="str">
            <v xml:space="preserve">P газу перед пальником №1 ярус А </v>
          </cell>
        </row>
        <row r="24">
          <cell r="B24" t="str">
            <v xml:space="preserve">7HHG22CP001XQ01 </v>
          </cell>
          <cell r="C24">
            <v>0</v>
          </cell>
          <cell r="D24" t="str">
            <v xml:space="preserve">P газу перед пальником №2 ярус А </v>
          </cell>
        </row>
        <row r="25">
          <cell r="B25" t="str">
            <v>7HFC11CP002XQ01</v>
          </cell>
          <cell r="C25">
            <v>0</v>
          </cell>
          <cell r="D25" t="str">
            <v>Р пил пов суміші сепар М-11-1</v>
          </cell>
        </row>
        <row r="26">
          <cell r="B26" t="str">
            <v>7HFC12CP002XQ01</v>
          </cell>
          <cell r="C26">
            <v>0</v>
          </cell>
          <cell r="D26" t="str">
            <v>Р пил пов суміші сепар М-11-2</v>
          </cell>
        </row>
        <row r="27">
          <cell r="B27" t="str">
            <v>7HFC13CP002XQ01</v>
          </cell>
          <cell r="C27">
            <v>0</v>
          </cell>
          <cell r="D27" t="str">
            <v>Р пил пов суміші сепар М-11-3</v>
          </cell>
        </row>
        <row r="28">
          <cell r="B28" t="str">
            <v>7HFC14CP002XQ01</v>
          </cell>
          <cell r="C28">
            <v>0</v>
          </cell>
          <cell r="D28" t="str">
            <v>Р пил пов суміші сепар М-11-4</v>
          </cell>
        </row>
        <row r="29">
          <cell r="B29" t="str">
            <v>7HFC15CP002XQ01</v>
          </cell>
          <cell r="C29">
            <v>0</v>
          </cell>
          <cell r="D29" t="str">
            <v>Р пил пов суміші сепар М-11-5</v>
          </cell>
        </row>
        <row r="30">
          <cell r="B30" t="str">
            <v>7HFC16CP002XQ01</v>
          </cell>
          <cell r="C30">
            <v>0</v>
          </cell>
          <cell r="D30" t="str">
            <v>Р пил пов суміші сепар М-11-6</v>
          </cell>
        </row>
        <row r="31">
          <cell r="B31" t="str">
            <v xml:space="preserve">7HHG23CP001XQ01 </v>
          </cell>
          <cell r="C31">
            <v>0</v>
          </cell>
          <cell r="D31" t="str">
            <v xml:space="preserve">P газу перед пальником №3 ярус А </v>
          </cell>
        </row>
        <row r="32">
          <cell r="B32" t="str">
            <v xml:space="preserve">7HHG24CP001XQ01 </v>
          </cell>
          <cell r="C32">
            <v>0</v>
          </cell>
          <cell r="D32" t="str">
            <v xml:space="preserve">P газу перед пальником №4 ярус А </v>
          </cell>
        </row>
        <row r="33">
          <cell r="B33" t="str">
            <v>7HFW11CE001XQ01</v>
          </cell>
          <cell r="C33">
            <v>0</v>
          </cell>
          <cell r="D33" t="str">
            <v>Струм вент ущ пов М-11-1</v>
          </cell>
        </row>
        <row r="34">
          <cell r="B34" t="str">
            <v>7HFW12CE001XQ01</v>
          </cell>
          <cell r="C34">
            <v>0</v>
          </cell>
          <cell r="D34" t="str">
            <v>Струм вент ущ пов М-11-2</v>
          </cell>
        </row>
        <row r="35">
          <cell r="B35" t="str">
            <v>7HFW13CE001XQ01</v>
          </cell>
          <cell r="C35">
            <v>0</v>
          </cell>
          <cell r="D35" t="str">
            <v>Струм вент ущ пов М-11-3</v>
          </cell>
        </row>
        <row r="36">
          <cell r="B36" t="str">
            <v>7HFW14CE001XQ01</v>
          </cell>
          <cell r="C36">
            <v>0</v>
          </cell>
          <cell r="D36" t="str">
            <v>Струм вент ущ пов М-11-4</v>
          </cell>
        </row>
        <row r="37">
          <cell r="B37" t="str">
            <v>7HFW15CE001XQ01</v>
          </cell>
          <cell r="C37">
            <v>0</v>
          </cell>
          <cell r="D37" t="str">
            <v>Струм вент ущ пов М-11-5</v>
          </cell>
        </row>
        <row r="38">
          <cell r="B38" t="str">
            <v>7HFW16CE001XQ01</v>
          </cell>
          <cell r="C38">
            <v>0</v>
          </cell>
          <cell r="D38" t="str">
            <v>Струм вент ущ пов М-11-6</v>
          </cell>
        </row>
        <row r="39">
          <cell r="B39" t="str">
            <v>7LBB10CT010XQ11</v>
          </cell>
          <cell r="C39">
            <v>0</v>
          </cell>
          <cell r="D39" t="str">
            <v>T вторинної пари н.А</v>
          </cell>
        </row>
        <row r="40">
          <cell r="B40" t="str">
            <v>7LBB20CT010XQ11</v>
          </cell>
          <cell r="C40">
            <v>0</v>
          </cell>
          <cell r="D40" t="str">
            <v>T вторинної пари н.Б</v>
          </cell>
        </row>
        <row r="41">
          <cell r="B41" t="str">
            <v>7D001P1B1L7XQ21</v>
          </cell>
          <cell r="C41">
            <v>0</v>
          </cell>
          <cell r="D41" t="str">
            <v>T модуля 1-1-7 CRA10</v>
          </cell>
        </row>
        <row r="42">
          <cell r="B42" t="str">
            <v>7HFV11CT001XQ21</v>
          </cell>
          <cell r="C42">
            <v>0</v>
          </cell>
          <cell r="D42" t="str">
            <v>T оливи в картері М-11-1</v>
          </cell>
        </row>
        <row r="43">
          <cell r="B43" t="str">
            <v>7HFV12CT001XQ21</v>
          </cell>
          <cell r="C43">
            <v>0</v>
          </cell>
          <cell r="D43" t="str">
            <v>T оливи в картері М-11-2</v>
          </cell>
        </row>
        <row r="44">
          <cell r="B44" t="str">
            <v>7HFV13CT001XQ21</v>
          </cell>
          <cell r="C44">
            <v>0</v>
          </cell>
          <cell r="D44" t="str">
            <v>T оливи в картері М-11-3</v>
          </cell>
        </row>
        <row r="45">
          <cell r="B45" t="str">
            <v>7HFV11CT002XQ21</v>
          </cell>
          <cell r="C45">
            <v>0</v>
          </cell>
          <cell r="D45" t="str">
            <v>T оливи за МО М-11-1</v>
          </cell>
        </row>
        <row r="46">
          <cell r="B46" t="str">
            <v>7HFV12CT002XQ21</v>
          </cell>
          <cell r="C46">
            <v>0</v>
          </cell>
          <cell r="D46" t="str">
            <v>T оливи за МО М-11-2</v>
          </cell>
        </row>
        <row r="47">
          <cell r="B47" t="str">
            <v>7HFV13CT002XQ21</v>
          </cell>
          <cell r="C47">
            <v>0</v>
          </cell>
          <cell r="D47" t="str">
            <v>T оливи за МО М-11-3</v>
          </cell>
        </row>
        <row r="48">
          <cell r="B48" t="str">
            <v>7HFV14CT001XQ21</v>
          </cell>
          <cell r="C48">
            <v>0</v>
          </cell>
          <cell r="D48" t="str">
            <v>T оливи в картері М-11-4</v>
          </cell>
        </row>
        <row r="49">
          <cell r="B49" t="str">
            <v>7HFV15CT001XQ21</v>
          </cell>
          <cell r="C49">
            <v>0</v>
          </cell>
          <cell r="D49" t="str">
            <v>T оливи в картері М-11-5</v>
          </cell>
        </row>
        <row r="50">
          <cell r="B50" t="str">
            <v>7HFV16CT001XQ21</v>
          </cell>
          <cell r="C50">
            <v>0</v>
          </cell>
          <cell r="D50" t="str">
            <v>T оливи в картері М-11-6</v>
          </cell>
        </row>
        <row r="51">
          <cell r="B51" t="str">
            <v>7HFV14CT002XQ21</v>
          </cell>
          <cell r="C51">
            <v>0</v>
          </cell>
          <cell r="D51" t="str">
            <v>T оливи за МО М-11-4</v>
          </cell>
        </row>
        <row r="52">
          <cell r="B52" t="str">
            <v>7HFV15CT002XQ21</v>
          </cell>
          <cell r="C52">
            <v>0</v>
          </cell>
          <cell r="D52" t="str">
            <v>T оливи за МО М-11-5</v>
          </cell>
        </row>
        <row r="53">
          <cell r="B53" t="str">
            <v>7HFV16CT002XQ21</v>
          </cell>
          <cell r="C53">
            <v>0</v>
          </cell>
          <cell r="D53" t="str">
            <v>T оливи за МО М-11-6</v>
          </cell>
        </row>
        <row r="54">
          <cell r="B54" t="str">
            <v>7LBB10CT011XQ11</v>
          </cell>
          <cell r="C54">
            <v>0</v>
          </cell>
          <cell r="D54" t="str">
            <v xml:space="preserve">T вторинної пари н.А </v>
          </cell>
        </row>
        <row r="55">
          <cell r="B55" t="str">
            <v>7LBB20CT011XQ11</v>
          </cell>
          <cell r="C55">
            <v>0</v>
          </cell>
          <cell r="D55" t="str">
            <v>T вторинної пари н.Б</v>
          </cell>
        </row>
        <row r="56">
          <cell r="B56" t="str">
            <v>7D001P1B2L2XQ21</v>
          </cell>
          <cell r="C56">
            <v>0</v>
          </cell>
          <cell r="D56" t="str">
            <v>Т модуля 1-2-2  CRA10</v>
          </cell>
        </row>
        <row r="57">
          <cell r="B57" t="str">
            <v>7HFE11CP001XQ01</v>
          </cell>
          <cell r="C57">
            <v>0</v>
          </cell>
          <cell r="D57" t="str">
            <v>Р повітря до М-11-1</v>
          </cell>
        </row>
        <row r="58">
          <cell r="B58" t="str">
            <v>7HFE12CP001XQ01</v>
          </cell>
          <cell r="C58">
            <v>0</v>
          </cell>
          <cell r="D58" t="str">
            <v>Р повітря до М-11-2</v>
          </cell>
        </row>
        <row r="59">
          <cell r="B59" t="str">
            <v>7HFE13CP001XQ01</v>
          </cell>
          <cell r="C59">
            <v>0</v>
          </cell>
          <cell r="D59" t="str">
            <v>Р повітря до М-11-3</v>
          </cell>
        </row>
        <row r="60">
          <cell r="B60" t="str">
            <v>7HFE14CP001XQ01</v>
          </cell>
          <cell r="C60">
            <v>0</v>
          </cell>
          <cell r="D60" t="str">
            <v>Р повітря до М-11-4</v>
          </cell>
        </row>
        <row r="61">
          <cell r="B61" t="str">
            <v>7HFE15CP001XQ01</v>
          </cell>
          <cell r="C61">
            <v>0</v>
          </cell>
          <cell r="D61" t="str">
            <v>Р повітря до М-11-5</v>
          </cell>
        </row>
        <row r="62">
          <cell r="B62" t="str">
            <v>7HFE16CP001XQ01</v>
          </cell>
          <cell r="C62">
            <v>0</v>
          </cell>
          <cell r="D62" t="str">
            <v>Р повітря до М-11-6</v>
          </cell>
        </row>
        <row r="63">
          <cell r="B63" t="str">
            <v>7HFW11CP001XQ01</v>
          </cell>
          <cell r="C63">
            <v>0</v>
          </cell>
          <cell r="D63" t="str">
            <v>Р ущ повітря М-11-1</v>
          </cell>
        </row>
        <row r="64">
          <cell r="B64" t="str">
            <v>7HFW12CP001XQ01</v>
          </cell>
          <cell r="C64">
            <v>0</v>
          </cell>
          <cell r="D64" t="str">
            <v>Р ущ повітря М-11-2</v>
          </cell>
        </row>
        <row r="65">
          <cell r="B65" t="str">
            <v>7HFW13CP001XQ01</v>
          </cell>
          <cell r="C65">
            <v>0</v>
          </cell>
          <cell r="D65" t="str">
            <v>Р ущ повітря М-11-3</v>
          </cell>
        </row>
        <row r="66">
          <cell r="B66" t="str">
            <v>7HFW14CP001XQ01</v>
          </cell>
          <cell r="C66">
            <v>0</v>
          </cell>
          <cell r="D66" t="str">
            <v>Р ущ повітря М-11-4</v>
          </cell>
        </row>
        <row r="67">
          <cell r="B67" t="str">
            <v>7HFW15CP001XQ01</v>
          </cell>
          <cell r="C67">
            <v>0</v>
          </cell>
          <cell r="D67" t="str">
            <v>Р ущ повітря М-11-5</v>
          </cell>
        </row>
        <row r="68">
          <cell r="B68" t="str">
            <v>7HFW16CP001XQ01</v>
          </cell>
          <cell r="C68">
            <v>0</v>
          </cell>
          <cell r="D68" t="str">
            <v>Р ущ повітря М-11-6</v>
          </cell>
        </row>
        <row r="69">
          <cell r="B69" t="str">
            <v xml:space="preserve">7HHG27CP001XQ01 </v>
          </cell>
          <cell r="C69">
            <v>0</v>
          </cell>
          <cell r="D69" t="str">
            <v xml:space="preserve">P газу перед пальником №7 ярус А </v>
          </cell>
        </row>
        <row r="70">
          <cell r="B70" t="str">
            <v xml:space="preserve">7HHG28CP001XQ01 </v>
          </cell>
          <cell r="C70">
            <v>0</v>
          </cell>
          <cell r="D70" t="str">
            <v xml:space="preserve">P газу перед пальником №8 ярус А </v>
          </cell>
        </row>
        <row r="71">
          <cell r="B71" t="str">
            <v>7HFV21CP001XQ01</v>
          </cell>
          <cell r="C71">
            <v>0</v>
          </cell>
          <cell r="D71" t="str">
            <v>P оливи на змащення МВ-11-1</v>
          </cell>
        </row>
        <row r="72">
          <cell r="B72" t="str">
            <v>7HFV22CP001XQ01</v>
          </cell>
          <cell r="C72">
            <v>0</v>
          </cell>
          <cell r="D72" t="str">
            <v>P оливи на змащення МВ-11-2</v>
          </cell>
        </row>
        <row r="73">
          <cell r="B73" t="str">
            <v>7HFV23CP001XQ01</v>
          </cell>
          <cell r="C73">
            <v>0</v>
          </cell>
          <cell r="D73" t="str">
            <v>P оливи на змащення МВ-11-3</v>
          </cell>
        </row>
        <row r="74">
          <cell r="B74" t="str">
            <v>7HFV24CP001XQ01</v>
          </cell>
          <cell r="C74">
            <v>0</v>
          </cell>
          <cell r="D74" t="str">
            <v>P оливи на змащення МВ-11-4</v>
          </cell>
        </row>
        <row r="75">
          <cell r="B75" t="str">
            <v>7HFV25CP001XQ01</v>
          </cell>
          <cell r="C75">
            <v>0</v>
          </cell>
          <cell r="D75" t="str">
            <v>P оливи на змащення МВ-11-5</v>
          </cell>
        </row>
        <row r="76">
          <cell r="B76" t="str">
            <v>7HFV26CP001XQ01</v>
          </cell>
          <cell r="C76">
            <v>0</v>
          </cell>
          <cell r="D76" t="str">
            <v>P оливи на змащення МВ-11-6</v>
          </cell>
        </row>
        <row r="77">
          <cell r="B77" t="str">
            <v xml:space="preserve">7HHG25CP001XQ01 </v>
          </cell>
          <cell r="C77">
            <v>0</v>
          </cell>
          <cell r="D77" t="str">
            <v xml:space="preserve">P газу перед пальником №5 ярус А </v>
          </cell>
        </row>
        <row r="78">
          <cell r="B78" t="str">
            <v xml:space="preserve">7HHG26CP001XQ01 </v>
          </cell>
          <cell r="C78">
            <v>0</v>
          </cell>
          <cell r="D78" t="str">
            <v xml:space="preserve">P газу перед пальником №6 ярус А </v>
          </cell>
        </row>
        <row r="79">
          <cell r="B79" t="str">
            <v>7LBA12CP002XQ01</v>
          </cell>
          <cell r="C79">
            <v>0</v>
          </cell>
          <cell r="D79" t="str">
            <v>P пари в ПЗК ІЗК контрольний</v>
          </cell>
        </row>
        <row r="80">
          <cell r="B80" t="str">
            <v>7LBB10CP002XQ01</v>
          </cell>
          <cell r="C80">
            <v>0</v>
          </cell>
          <cell r="D80" t="str">
            <v>P пари ГПП ІЗК-1 захист</v>
          </cell>
        </row>
        <row r="81">
          <cell r="B81" t="str">
            <v>7LBC11CP002XQ01</v>
          </cell>
          <cell r="C81">
            <v>0</v>
          </cell>
          <cell r="D81" t="str">
            <v>P пари ХПП ІЗК-2 захист</v>
          </cell>
        </row>
        <row r="82">
          <cell r="B82" t="str">
            <v>7HNC20CE101XQ01</v>
          </cell>
          <cell r="C82">
            <v>0</v>
          </cell>
          <cell r="D82" t="str">
            <v>Струм ел/дв Д-11Б I швидк</v>
          </cell>
        </row>
        <row r="83">
          <cell r="B83" t="str">
            <v>7HNC20CE201XQ01</v>
          </cell>
          <cell r="C83">
            <v>0</v>
          </cell>
          <cell r="D83" t="str">
            <v>Струм ел/дв Д-11Б II швидк</v>
          </cell>
        </row>
        <row r="84">
          <cell r="B84" t="str">
            <v>7HLB20CE101XQ01</v>
          </cell>
          <cell r="C84">
            <v>0</v>
          </cell>
          <cell r="D84" t="str">
            <v>Струм ел/дв ДВ-11Б I швидк</v>
          </cell>
        </row>
        <row r="85">
          <cell r="B85" t="str">
            <v>7HLB20CE201XQ01</v>
          </cell>
          <cell r="C85">
            <v>0</v>
          </cell>
          <cell r="D85" t="str">
            <v>Струм ел/дв ДВ-11Б II швидк</v>
          </cell>
        </row>
        <row r="86">
          <cell r="B86" t="str">
            <v>7HAD10CL002XQ01</v>
          </cell>
          <cell r="C86">
            <v>0</v>
          </cell>
          <cell r="D86" t="str">
            <v>L в барабані, д.2</v>
          </cell>
        </row>
        <row r="87">
          <cell r="B87" t="str">
            <v>7HHG10CP002XQ01</v>
          </cell>
          <cell r="C87">
            <v>0</v>
          </cell>
          <cell r="D87" t="str">
            <v>P газу після РК, д.2</v>
          </cell>
        </row>
        <row r="88">
          <cell r="B88" t="str">
            <v>7HJF10CP002XQ01</v>
          </cell>
          <cell r="C88">
            <v>0</v>
          </cell>
          <cell r="D88" t="str">
            <v>P мазута, д.2</v>
          </cell>
        </row>
        <row r="89">
          <cell r="B89" t="str">
            <v>7HAK10CP002XQ01</v>
          </cell>
          <cell r="C89">
            <v>0</v>
          </cell>
          <cell r="D89" t="str">
            <v>DP ХПП-ГПП нитка – А, д.2</v>
          </cell>
        </row>
        <row r="90">
          <cell r="B90" t="str">
            <v>7HAK20CP002XQ01</v>
          </cell>
          <cell r="C90">
            <v>0</v>
          </cell>
          <cell r="D90" t="str">
            <v>DP ХПП-ГПП нитка – Б, д.2</v>
          </cell>
        </row>
        <row r="91">
          <cell r="B91" t="str">
            <v>7HAD10CP003XQ01</v>
          </cell>
          <cell r="C91">
            <v>0</v>
          </cell>
          <cell r="D91" t="str">
            <v>P в барабані ІЗК робочий</v>
          </cell>
        </row>
        <row r="92">
          <cell r="B92" t="str">
            <v>7HAD10CL003XQ01</v>
          </cell>
          <cell r="C92">
            <v>0</v>
          </cell>
          <cell r="D92" t="str">
            <v>L в барабані, д.3</v>
          </cell>
        </row>
        <row r="93">
          <cell r="B93" t="str">
            <v>7HHG10CP003XQ01</v>
          </cell>
          <cell r="C93">
            <v>0</v>
          </cell>
          <cell r="D93" t="str">
            <v>P газу після РК, д.3</v>
          </cell>
        </row>
        <row r="94">
          <cell r="B94" t="str">
            <v>7HJF10CP003XQ01</v>
          </cell>
          <cell r="C94">
            <v>0</v>
          </cell>
          <cell r="D94" t="str">
            <v>P мазута, д.3</v>
          </cell>
        </row>
        <row r="95">
          <cell r="B95" t="str">
            <v>7HAD10CP001XQ01</v>
          </cell>
          <cell r="C95">
            <v>0</v>
          </cell>
          <cell r="D95" t="str">
            <v>P в барабані</v>
          </cell>
        </row>
        <row r="96">
          <cell r="B96" t="str">
            <v>7LAE11CF001XQ01</v>
          </cell>
          <cell r="C96">
            <v>0</v>
          </cell>
          <cell r="D96" t="str">
            <v>F води на вприск 1А</v>
          </cell>
        </row>
        <row r="97">
          <cell r="B97" t="str">
            <v>7LAE12CF001XQ01</v>
          </cell>
          <cell r="C97">
            <v>0</v>
          </cell>
          <cell r="D97" t="str">
            <v>F води на вприск 1Б</v>
          </cell>
        </row>
        <row r="98">
          <cell r="B98" t="str">
            <v>7LAE13CF001XQ01</v>
          </cell>
          <cell r="C98">
            <v>0</v>
          </cell>
          <cell r="D98" t="str">
            <v>F води на вприск 2А</v>
          </cell>
        </row>
        <row r="99">
          <cell r="B99" t="str">
            <v>7LAE14CF001XQ01</v>
          </cell>
          <cell r="C99">
            <v>0</v>
          </cell>
          <cell r="D99" t="str">
            <v>F води на вприск 2Б</v>
          </cell>
        </row>
        <row r="100">
          <cell r="B100" t="str">
            <v>7LAF11CF001XQ01</v>
          </cell>
          <cell r="C100">
            <v>0</v>
          </cell>
          <cell r="D100" t="str">
            <v>F води на вприск в ПП А</v>
          </cell>
        </row>
        <row r="101">
          <cell r="B101" t="str">
            <v>7LAF12CF001XQ01</v>
          </cell>
          <cell r="C101">
            <v>0</v>
          </cell>
          <cell r="D101" t="str">
            <v>F води на вприск в ПП Б</v>
          </cell>
        </row>
        <row r="102">
          <cell r="B102" t="str">
            <v>7UCA01CP001XQ01</v>
          </cell>
          <cell r="C102">
            <v>0</v>
          </cell>
          <cell r="D102" t="str">
            <v>P барометричне</v>
          </cell>
        </row>
        <row r="103">
          <cell r="B103" t="str">
            <v>7HFE11CE001XQ01</v>
          </cell>
          <cell r="C103">
            <v>0</v>
          </cell>
          <cell r="D103" t="str">
            <v>Струм ел/дв МВ-11-1</v>
          </cell>
        </row>
        <row r="104">
          <cell r="B104" t="str">
            <v>7HFE12CE001XQ01</v>
          </cell>
          <cell r="C104">
            <v>0</v>
          </cell>
          <cell r="D104" t="str">
            <v>Струм ел/дв МВ-11-2</v>
          </cell>
        </row>
        <row r="105">
          <cell r="B105" t="str">
            <v>7HFE13CE001XQ01</v>
          </cell>
          <cell r="C105">
            <v>0</v>
          </cell>
          <cell r="D105" t="str">
            <v>Струм ел/дв МВ-11-3</v>
          </cell>
        </row>
        <row r="106">
          <cell r="B106" t="str">
            <v>7HFE14CE001XQ01</v>
          </cell>
          <cell r="C106">
            <v>0</v>
          </cell>
          <cell r="D106" t="str">
            <v>Струм ел/дв МВ-11-4</v>
          </cell>
        </row>
        <row r="107">
          <cell r="B107" t="str">
            <v>7HFE15CE001XQ01</v>
          </cell>
          <cell r="C107">
            <v>0</v>
          </cell>
          <cell r="D107" t="str">
            <v>Струм ел/дв МВ-11-5</v>
          </cell>
        </row>
        <row r="108">
          <cell r="B108" t="str">
            <v>7HFE16CE001XQ01</v>
          </cell>
          <cell r="C108">
            <v>0</v>
          </cell>
          <cell r="D108" t="str">
            <v>Струм ел/дв МВ-11-6</v>
          </cell>
        </row>
        <row r="109">
          <cell r="B109" t="str">
            <v>7HFC11CE001XQ01</v>
          </cell>
          <cell r="C109">
            <v>0</v>
          </cell>
          <cell r="D109" t="str">
            <v>Струм ел/дв М-11-1</v>
          </cell>
        </row>
        <row r="110">
          <cell r="B110" t="str">
            <v>7HFC12CE001XQ01</v>
          </cell>
          <cell r="C110">
            <v>0</v>
          </cell>
          <cell r="D110" t="str">
            <v>Струм ел/дв М-11-2</v>
          </cell>
        </row>
        <row r="111">
          <cell r="B111" t="str">
            <v>7HFC13CE001XQ01</v>
          </cell>
          <cell r="C111">
            <v>0</v>
          </cell>
          <cell r="D111" t="str">
            <v>Струм ел/дв М-11-3</v>
          </cell>
        </row>
        <row r="112">
          <cell r="B112" t="str">
            <v>7HFC14CE001XQ01</v>
          </cell>
          <cell r="C112">
            <v>0</v>
          </cell>
          <cell r="D112" t="str">
            <v>Струм ел/дв М-11-4</v>
          </cell>
        </row>
        <row r="113">
          <cell r="B113" t="str">
            <v>7HFC15CE001XQ01</v>
          </cell>
          <cell r="C113">
            <v>0</v>
          </cell>
          <cell r="D113" t="str">
            <v>Струм ел/дв М-11-5</v>
          </cell>
        </row>
        <row r="114">
          <cell r="B114" t="str">
            <v>7HFC16CE001XQ01</v>
          </cell>
          <cell r="C114">
            <v>0</v>
          </cell>
          <cell r="D114" t="str">
            <v>Струм ел/дв М-11-6</v>
          </cell>
        </row>
        <row r="115">
          <cell r="B115" t="str">
            <v>7LAB10CF001XQ01</v>
          </cell>
          <cell r="C115">
            <v>0</v>
          </cell>
          <cell r="D115" t="str">
            <v>F живильної води (основна) 1</v>
          </cell>
        </row>
        <row r="116">
          <cell r="B116" t="str">
            <v>7LBA10CF001XQ01</v>
          </cell>
          <cell r="C116">
            <v>0</v>
          </cell>
          <cell r="D116" t="str">
            <v>F пари Н-А</v>
          </cell>
        </row>
        <row r="117">
          <cell r="B117" t="str">
            <v>7HAD10CL004XQ01</v>
          </cell>
          <cell r="C117">
            <v>0</v>
          </cell>
          <cell r="D117" t="str">
            <v>L в барабані</v>
          </cell>
        </row>
        <row r="118">
          <cell r="B118" t="str">
            <v>7LAB11CG001XQ01</v>
          </cell>
          <cell r="C118">
            <v>0</v>
          </cell>
          <cell r="D118" t="str">
            <v>ДП РЖК №1 Ду250</v>
          </cell>
        </row>
        <row r="119">
          <cell r="B119" t="str">
            <v>7LAB13CG001XQ01</v>
          </cell>
          <cell r="C119">
            <v>0</v>
          </cell>
          <cell r="D119" t="str">
            <v>ДП РЖК Ду100</v>
          </cell>
        </row>
        <row r="120">
          <cell r="B120" t="str">
            <v>7LBA10CP002XQ01</v>
          </cell>
          <cell r="C120">
            <v>0</v>
          </cell>
          <cell r="D120" t="str">
            <v>P гострої пари Н-А</v>
          </cell>
        </row>
        <row r="121">
          <cell r="B121" t="str">
            <v>7LAB20CF001XQ01</v>
          </cell>
          <cell r="C121">
            <v>0</v>
          </cell>
          <cell r="D121" t="str">
            <v>F живильн води (розпал) Ду 50</v>
          </cell>
        </row>
        <row r="122">
          <cell r="B122" t="str">
            <v>7HLA10CP001XQ01</v>
          </cell>
          <cell r="C122">
            <v>0</v>
          </cell>
          <cell r="D122" t="str">
            <v xml:space="preserve">DP повітроперегр сторона-А </v>
          </cell>
        </row>
        <row r="123">
          <cell r="B123" t="str">
            <v>7HBK11CP001XQ01</v>
          </cell>
          <cell r="C123">
            <v>0</v>
          </cell>
          <cell r="D123" t="str">
            <v>Розрідження в топці, д.1</v>
          </cell>
        </row>
        <row r="124">
          <cell r="B124" t="str">
            <v>7HBK11CP002XQ01</v>
          </cell>
          <cell r="C124">
            <v>0</v>
          </cell>
          <cell r="D124" t="str">
            <v>Розрідження в топці, д.2</v>
          </cell>
        </row>
        <row r="125">
          <cell r="B125" t="str">
            <v>7HBK11CQ001XQ01</v>
          </cell>
          <cell r="C125">
            <v>0</v>
          </cell>
          <cell r="D125" t="str">
            <v>O2 в димових газах (справа)</v>
          </cell>
        </row>
        <row r="126">
          <cell r="B126" t="str">
            <v>7HNC10CG001XQ01</v>
          </cell>
          <cell r="C126">
            <v>0</v>
          </cell>
          <cell r="D126" t="str">
            <v>ДП Направляючий апарат Д-11А</v>
          </cell>
        </row>
        <row r="127">
          <cell r="B127" t="str">
            <v>7HLB10CG001XQ01</v>
          </cell>
          <cell r="C127">
            <v>0</v>
          </cell>
          <cell r="D127" t="str">
            <v>ДП Направляючий апарат ДВ-11А</v>
          </cell>
        </row>
        <row r="128">
          <cell r="B128" t="str">
            <v>7LAE10CG001XQ01</v>
          </cell>
          <cell r="C128">
            <v>0</v>
          </cell>
          <cell r="D128" t="str">
            <v>ДП РК Т гостр пари, вприск 1А</v>
          </cell>
        </row>
        <row r="129">
          <cell r="B129" t="str">
            <v>7LAE20CG001XQ01</v>
          </cell>
          <cell r="C129">
            <v>0</v>
          </cell>
          <cell r="D129" t="str">
            <v>ДП РК Т гостр пари, вприск 1Б</v>
          </cell>
        </row>
        <row r="130">
          <cell r="B130" t="str">
            <v>7LCQ10CF001XQ01</v>
          </cell>
          <cell r="C130">
            <v>0</v>
          </cell>
          <cell r="D130" t="str">
            <v>F води на безперервну продувку</v>
          </cell>
        </row>
        <row r="131">
          <cell r="B131" t="str">
            <v>7LCQ20CP001XQ01</v>
          </cell>
          <cell r="C131">
            <v>0</v>
          </cell>
          <cell r="D131" t="str">
            <v>P в РБП</v>
          </cell>
        </row>
        <row r="132">
          <cell r="B132" t="str">
            <v>7LCQ20CL001XQ01</v>
          </cell>
          <cell r="C132">
            <v>0</v>
          </cell>
          <cell r="D132" t="str">
            <v>L в РБП</v>
          </cell>
        </row>
        <row r="133">
          <cell r="B133" t="str">
            <v>7LBC10CP003XQ01</v>
          </cell>
          <cell r="C133">
            <v>0</v>
          </cell>
          <cell r="D133" t="str">
            <v>P пари на обдувку</v>
          </cell>
        </row>
        <row r="134">
          <cell r="B134" t="str">
            <v>7SGA10CP001XQ01</v>
          </cell>
          <cell r="C134">
            <v>0</v>
          </cell>
          <cell r="D134" t="str">
            <v>P пари на пожежогасіння млинів</v>
          </cell>
        </row>
        <row r="135">
          <cell r="B135" t="str">
            <v>7LCQ10CG001XQ01</v>
          </cell>
          <cell r="C135">
            <v>0</v>
          </cell>
          <cell r="D135" t="str">
            <v>ДП РК безпер прод</v>
          </cell>
        </row>
        <row r="136">
          <cell r="B136" t="str">
            <v>7LCQ20CG001XQ01</v>
          </cell>
          <cell r="C136">
            <v>0</v>
          </cell>
          <cell r="D136" t="str">
            <v>ДП РК L в розширюв безпер прод</v>
          </cell>
        </row>
        <row r="137">
          <cell r="B137" t="str">
            <v>7MKA10CE002XQ01</v>
          </cell>
          <cell r="C137">
            <v>0</v>
          </cell>
          <cell r="D137" t="str">
            <v>Вим. активна потужність блоку</v>
          </cell>
        </row>
        <row r="138">
          <cell r="B138" t="str">
            <v>7LBB10CT005XQ11</v>
          </cell>
          <cell r="C138">
            <v>0</v>
          </cell>
          <cell r="D138" t="str">
            <v>T пари до аварійного вприску А</v>
          </cell>
        </row>
        <row r="139">
          <cell r="B139" t="str">
            <v>7LBB10CT006XQ11</v>
          </cell>
          <cell r="C139">
            <v>0</v>
          </cell>
          <cell r="D139" t="str">
            <v>T пари за ав вприском А  ДЛТ</v>
          </cell>
        </row>
        <row r="140">
          <cell r="B140" t="str">
            <v>7LBB10CT007XQ11</v>
          </cell>
          <cell r="C140">
            <v>0</v>
          </cell>
          <cell r="D140" t="str">
            <v xml:space="preserve">T пари за ав вприском А  </v>
          </cell>
        </row>
        <row r="141">
          <cell r="B141" t="str">
            <v>7LBB10CT008XQ11</v>
          </cell>
          <cell r="C141">
            <v>0</v>
          </cell>
          <cell r="D141" t="str">
            <v>T вторин. пари н.А №1</v>
          </cell>
        </row>
        <row r="142">
          <cell r="B142" t="str">
            <v>7LBB10CT009XQ11</v>
          </cell>
          <cell r="C142">
            <v>0</v>
          </cell>
          <cell r="D142" t="str">
            <v>T вторин. пари н.А №2</v>
          </cell>
        </row>
        <row r="143">
          <cell r="B143" t="str">
            <v>7LBA10CT007XQ11</v>
          </cell>
          <cell r="C143">
            <v>0</v>
          </cell>
          <cell r="D143" t="str">
            <v>Т перегр. пари за котлом н.А</v>
          </cell>
        </row>
        <row r="144">
          <cell r="B144" t="str">
            <v>7D002P1B1L6XQ21</v>
          </cell>
          <cell r="C144">
            <v>0</v>
          </cell>
          <cell r="D144" t="str">
            <v>T модуля 1-1-6 CRA20</v>
          </cell>
        </row>
        <row r="145">
          <cell r="B145" t="str">
            <v>7LBA10CT002XQ11</v>
          </cell>
          <cell r="C145">
            <v>0</v>
          </cell>
          <cell r="D145" t="str">
            <v>T пари до 1-го приску А</v>
          </cell>
        </row>
        <row r="146">
          <cell r="B146" t="str">
            <v>7LBA10CT003XQ11</v>
          </cell>
          <cell r="C146">
            <v>0</v>
          </cell>
          <cell r="D146" t="str">
            <v>АРТ ДЛТ 1 вприску А</v>
          </cell>
        </row>
        <row r="147">
          <cell r="B147" t="str">
            <v>7LBA10CT004XQ11</v>
          </cell>
          <cell r="C147">
            <v>0</v>
          </cell>
          <cell r="D147" t="str">
            <v>АРТ основна 1 вприску А</v>
          </cell>
        </row>
        <row r="148">
          <cell r="B148" t="str">
            <v>7LBA10CT005XQ11</v>
          </cell>
          <cell r="C148">
            <v>0</v>
          </cell>
          <cell r="D148" t="str">
            <v>АРТ ДЛТ 2 вприску А</v>
          </cell>
        </row>
        <row r="149">
          <cell r="B149" t="str">
            <v>7LBA10CT006XQ11</v>
          </cell>
          <cell r="C149">
            <v>0</v>
          </cell>
          <cell r="D149" t="str">
            <v>АРТ основна 2 вприску А</v>
          </cell>
        </row>
        <row r="150">
          <cell r="B150" t="str">
            <v>7LBA10CT103XQ11</v>
          </cell>
          <cell r="C150">
            <v>0</v>
          </cell>
          <cell r="D150" t="str">
            <v>T пари після 1-го приску А</v>
          </cell>
        </row>
        <row r="151">
          <cell r="B151" t="str">
            <v>7LBA10CT104XQ11</v>
          </cell>
          <cell r="C151">
            <v>0</v>
          </cell>
          <cell r="D151" t="str">
            <v>T пари до 2-го приску А</v>
          </cell>
        </row>
        <row r="152">
          <cell r="B152" t="str">
            <v>7LBA10CT105XQ11</v>
          </cell>
          <cell r="C152">
            <v>0</v>
          </cell>
          <cell r="D152" t="str">
            <v>T пари після 2-го приску А</v>
          </cell>
        </row>
        <row r="153">
          <cell r="B153" t="str">
            <v>7CVA01CT001XQ21</v>
          </cell>
          <cell r="C153">
            <v>0</v>
          </cell>
          <cell r="D153" t="str">
            <v>Т холодних спаїв шафи  7CVA001</v>
          </cell>
        </row>
        <row r="154">
          <cell r="B154" t="str">
            <v>7CVA01CT002XQ21</v>
          </cell>
          <cell r="C154">
            <v>0</v>
          </cell>
          <cell r="D154" t="str">
            <v>Т холодних спаїв шафи  7CVA001</v>
          </cell>
        </row>
        <row r="155">
          <cell r="B155" t="str">
            <v>7CVA04CT001XQ21</v>
          </cell>
          <cell r="C155">
            <v>0</v>
          </cell>
          <cell r="D155" t="str">
            <v>Т холодних спаїв шафи  7CVA004</v>
          </cell>
        </row>
        <row r="156">
          <cell r="B156" t="str">
            <v>7HHF10CT001XQ21</v>
          </cell>
          <cell r="C156">
            <v>0</v>
          </cell>
          <cell r="D156" t="str">
            <v>T мазуту</v>
          </cell>
        </row>
        <row r="157">
          <cell r="B157" t="str">
            <v>7UCA01CT001XQ21</v>
          </cell>
          <cell r="C157">
            <v>0</v>
          </cell>
          <cell r="D157" t="str">
            <v>T зовнішнього повітря</v>
          </cell>
        </row>
        <row r="158">
          <cell r="B158" t="str">
            <v>7CVA02CT001XQ21</v>
          </cell>
          <cell r="C158">
            <v>0</v>
          </cell>
          <cell r="D158" t="str">
            <v>Т холодних спаїв шафи  7CVA002</v>
          </cell>
        </row>
        <row r="159">
          <cell r="B159" t="str">
            <v>7CVA02CT002XQ21</v>
          </cell>
          <cell r="C159">
            <v>0</v>
          </cell>
          <cell r="D159" t="str">
            <v>Т холодних спаїв шафи  7CVA002</v>
          </cell>
        </row>
        <row r="160">
          <cell r="B160" t="str">
            <v>7CVA04CT002XQ21</v>
          </cell>
          <cell r="C160">
            <v>0</v>
          </cell>
          <cell r="D160" t="str">
            <v>Т холодних спаїв шафи  7CVA004</v>
          </cell>
        </row>
        <row r="161">
          <cell r="B161" t="str">
            <v>7LBA20CT002XQ11</v>
          </cell>
          <cell r="C161">
            <v>0</v>
          </cell>
          <cell r="D161" t="str">
            <v>T пари до 1-го приску Б</v>
          </cell>
        </row>
        <row r="162">
          <cell r="B162" t="str">
            <v>7LBA20CT003XQ11</v>
          </cell>
          <cell r="C162">
            <v>0</v>
          </cell>
          <cell r="D162" t="str">
            <v>АРТ ДЛТ 1 вприску Б</v>
          </cell>
        </row>
        <row r="163">
          <cell r="B163" t="str">
            <v>7LBA20CT004XQ11</v>
          </cell>
          <cell r="C163">
            <v>0</v>
          </cell>
          <cell r="D163" t="str">
            <v>АРТ основна 1 вприску Б</v>
          </cell>
        </row>
        <row r="164">
          <cell r="B164" t="str">
            <v>7LBA20CT005XQ11</v>
          </cell>
          <cell r="C164">
            <v>0</v>
          </cell>
          <cell r="D164" t="str">
            <v>АРТ ДЛТ 2 вприску Б</v>
          </cell>
        </row>
        <row r="165">
          <cell r="B165" t="str">
            <v>7LBA20CT006XQ11</v>
          </cell>
          <cell r="C165">
            <v>0</v>
          </cell>
          <cell r="D165" t="str">
            <v>АРТ основна 2 вприску Б</v>
          </cell>
        </row>
        <row r="166">
          <cell r="B166" t="str">
            <v>7LBA20CT103XQ11</v>
          </cell>
          <cell r="C166">
            <v>0</v>
          </cell>
          <cell r="D166" t="str">
            <v>T пари після 1-го приску Б</v>
          </cell>
        </row>
        <row r="167">
          <cell r="B167" t="str">
            <v>7LBA20CT104XQ11</v>
          </cell>
          <cell r="C167">
            <v>0</v>
          </cell>
          <cell r="D167" t="str">
            <v>T пари до 2-го приску Б</v>
          </cell>
        </row>
        <row r="168">
          <cell r="B168" t="str">
            <v>7LBA20CT105XQ11</v>
          </cell>
          <cell r="C168">
            <v>0</v>
          </cell>
          <cell r="D168" t="str">
            <v>T пари після 2-го приску Б</v>
          </cell>
        </row>
        <row r="169">
          <cell r="B169" t="str">
            <v>7LBB20CT005XQ11</v>
          </cell>
          <cell r="C169">
            <v>0</v>
          </cell>
          <cell r="D169" t="str">
            <v>T пари до ав вприску Б</v>
          </cell>
        </row>
        <row r="170">
          <cell r="B170" t="str">
            <v>7LBB20CT006XQ11</v>
          </cell>
          <cell r="C170">
            <v>0</v>
          </cell>
          <cell r="D170" t="str">
            <v>T пари за ав вприском Б  ДЛТ</v>
          </cell>
        </row>
        <row r="171">
          <cell r="B171" t="str">
            <v>7LBB20CT007XQ11</v>
          </cell>
          <cell r="C171">
            <v>0</v>
          </cell>
          <cell r="D171" t="str">
            <v xml:space="preserve">T пари за ав вприском Б  </v>
          </cell>
        </row>
        <row r="172">
          <cell r="B172" t="str">
            <v>7LBB20CT008XQ11</v>
          </cell>
          <cell r="C172">
            <v>0</v>
          </cell>
          <cell r="D172" t="str">
            <v>T вторин. пари н.Б №1</v>
          </cell>
        </row>
        <row r="173">
          <cell r="B173" t="str">
            <v>7LBB20CT009XQ11</v>
          </cell>
          <cell r="C173">
            <v>0</v>
          </cell>
          <cell r="D173" t="str">
            <v>T вторин. пари н.Б №2</v>
          </cell>
        </row>
        <row r="174">
          <cell r="B174" t="str">
            <v>7LBA20CT007XQ11</v>
          </cell>
          <cell r="C174">
            <v>0</v>
          </cell>
          <cell r="D174" t="str">
            <v>Т перегр. пари за котлом н.Б</v>
          </cell>
        </row>
        <row r="175">
          <cell r="B175" t="str">
            <v>7D002P1B2L3XQ21</v>
          </cell>
          <cell r="C175">
            <v>0</v>
          </cell>
          <cell r="D175" t="str">
            <v>T модуля 1-2-3 CRA20</v>
          </cell>
        </row>
        <row r="176">
          <cell r="B176" t="str">
            <v>7HHG10CF001XQ01</v>
          </cell>
          <cell r="C176">
            <v>0</v>
          </cell>
          <cell r="D176" t="str">
            <v xml:space="preserve">F газу основна </v>
          </cell>
        </row>
        <row r="177">
          <cell r="B177" t="str">
            <v>7LBA12CP005XQ01</v>
          </cell>
          <cell r="C177">
            <v>0</v>
          </cell>
          <cell r="D177" t="str">
            <v>P пари перед турбогенератором</v>
          </cell>
        </row>
        <row r="178">
          <cell r="B178" t="str">
            <v>7HHG10CG001XQ01</v>
          </cell>
          <cell r="C178">
            <v>0</v>
          </cell>
          <cell r="D178" t="str">
            <v>ДП РК газу</v>
          </cell>
        </row>
        <row r="179">
          <cell r="B179" t="str">
            <v>7LAE10CG002XQ01</v>
          </cell>
          <cell r="C179">
            <v>0</v>
          </cell>
          <cell r="D179" t="str">
            <v>ДП РК Т гострої пари вприск 2А</v>
          </cell>
        </row>
        <row r="180">
          <cell r="B180" t="str">
            <v>7LAE20CG002XQ01</v>
          </cell>
          <cell r="C180">
            <v>0</v>
          </cell>
          <cell r="D180" t="str">
            <v>ДП РК Т гострої пари вприск 2Б</v>
          </cell>
        </row>
        <row r="181">
          <cell r="B181" t="str">
            <v>7HHG11CF001XQ01</v>
          </cell>
          <cell r="C181">
            <v>0</v>
          </cell>
          <cell r="D181" t="str">
            <v xml:space="preserve">F газу розпалювальна </v>
          </cell>
        </row>
        <row r="182">
          <cell r="B182" t="str">
            <v>7HLA20CP001XQ01</v>
          </cell>
          <cell r="C182">
            <v>0</v>
          </cell>
          <cell r="D182" t="str">
            <v xml:space="preserve">DP повітроперегрів сторона-Б </v>
          </cell>
        </row>
        <row r="183">
          <cell r="B183" t="str">
            <v>7HBK12CP001XQ01</v>
          </cell>
          <cell r="C183">
            <v>0</v>
          </cell>
          <cell r="D183" t="str">
            <v>Розрідження в топці, д.1</v>
          </cell>
        </row>
        <row r="184">
          <cell r="B184" t="str">
            <v>7HBK12CP002XQ01</v>
          </cell>
          <cell r="C184">
            <v>0</v>
          </cell>
          <cell r="D184" t="str">
            <v>Розрідження в топці, д.2</v>
          </cell>
        </row>
        <row r="185">
          <cell r="B185" t="str">
            <v>7HBK12CQ001XQ01</v>
          </cell>
          <cell r="C185">
            <v>0</v>
          </cell>
          <cell r="D185" t="str">
            <v>O2 в димових газах (зліва)</v>
          </cell>
        </row>
        <row r="186">
          <cell r="B186" t="str">
            <v>7HNC20CG001XQ01</v>
          </cell>
          <cell r="C186">
            <v>0</v>
          </cell>
          <cell r="D186" t="str">
            <v>ДП Направляючий апарат Д-11Б</v>
          </cell>
        </row>
        <row r="187">
          <cell r="B187" t="str">
            <v>7HLB20CG001XQ01</v>
          </cell>
          <cell r="C187">
            <v>0</v>
          </cell>
          <cell r="D187" t="str">
            <v>ДП Направляючий апарат ДВ-11Б</v>
          </cell>
        </row>
        <row r="188">
          <cell r="B188" t="str">
            <v>7LAF10CG001XQ01</v>
          </cell>
          <cell r="C188">
            <v>0</v>
          </cell>
          <cell r="D188" t="str">
            <v>ДП РК Т вторин пари вприск А</v>
          </cell>
        </row>
        <row r="189">
          <cell r="B189" t="str">
            <v>7LAF20CG001XQ01</v>
          </cell>
          <cell r="C189">
            <v>0</v>
          </cell>
          <cell r="D189" t="str">
            <v>ДП РК Т вторин пари вприск Б</v>
          </cell>
        </row>
        <row r="190">
          <cell r="B190" t="str">
            <v>7LAB10CF002XQ01</v>
          </cell>
          <cell r="C190">
            <v>0</v>
          </cell>
          <cell r="D190" t="str">
            <v>F живильної води (основна) 2</v>
          </cell>
        </row>
        <row r="191">
          <cell r="B191" t="str">
            <v>7LBA20CF001XQ01</v>
          </cell>
          <cell r="C191">
            <v>0</v>
          </cell>
          <cell r="D191" t="str">
            <v>F пари Н-Б</v>
          </cell>
        </row>
        <row r="192">
          <cell r="B192" t="str">
            <v>7HAD10CL005XQ01</v>
          </cell>
          <cell r="C192">
            <v>0</v>
          </cell>
          <cell r="D192" t="str">
            <v>L в барабані</v>
          </cell>
        </row>
        <row r="193">
          <cell r="B193" t="str">
            <v>7LAB12CG001XQ01</v>
          </cell>
          <cell r="C193">
            <v>0</v>
          </cell>
          <cell r="D193" t="str">
            <v>ДП РЖК №2 Ду250</v>
          </cell>
        </row>
        <row r="194">
          <cell r="B194" t="str">
            <v>7LAB14CG001XQ01</v>
          </cell>
          <cell r="C194">
            <v>0</v>
          </cell>
          <cell r="D194" t="str">
            <v>ДП РЖК Ду50</v>
          </cell>
        </row>
        <row r="195">
          <cell r="B195" t="str">
            <v>7LBA20CP002XQ01</v>
          </cell>
          <cell r="C195">
            <v>0</v>
          </cell>
          <cell r="D195" t="str">
            <v>P гострої пари Н-Б</v>
          </cell>
        </row>
        <row r="196">
          <cell r="B196" t="str">
            <v>7HFB11CE001XQ01</v>
          </cell>
          <cell r="C196">
            <v>0</v>
          </cell>
          <cell r="D196" t="str">
            <v>Струм ел/дв ЖСВ М-11-1</v>
          </cell>
        </row>
        <row r="197">
          <cell r="B197" t="str">
            <v>7HFB12CE001XQ01</v>
          </cell>
          <cell r="C197">
            <v>0</v>
          </cell>
          <cell r="D197" t="str">
            <v>Струм ел/дв ЖСВ М-11-2</v>
          </cell>
        </row>
        <row r="198">
          <cell r="B198" t="str">
            <v>7HFB13CE001XQ01</v>
          </cell>
          <cell r="C198">
            <v>0</v>
          </cell>
          <cell r="D198" t="str">
            <v>Струм ел/дв ЖСВ М-11-3</v>
          </cell>
        </row>
        <row r="199">
          <cell r="B199" t="str">
            <v>7HFB13CE002XQ01</v>
          </cell>
          <cell r="C199">
            <v>0</v>
          </cell>
          <cell r="D199" t="str">
            <v>Струм ел/дв ТЖСВ М-11-3</v>
          </cell>
        </row>
        <row r="200">
          <cell r="B200" t="str">
            <v>7HFB11DS001XQ01</v>
          </cell>
          <cell r="C200">
            <v>0</v>
          </cell>
          <cell r="D200" t="str">
            <v>ЖСВ М-11-1 швидкість</v>
          </cell>
        </row>
        <row r="201">
          <cell r="B201" t="str">
            <v>7HFB12DS001XQ01</v>
          </cell>
          <cell r="C201">
            <v>0</v>
          </cell>
          <cell r="D201" t="str">
            <v>ЖСВ М-11-2 швидкість</v>
          </cell>
        </row>
        <row r="202">
          <cell r="B202" t="str">
            <v>7HFB13DS001XQ01</v>
          </cell>
          <cell r="C202">
            <v>0</v>
          </cell>
          <cell r="D202" t="str">
            <v>ЖСВ М-11-3 швидкість</v>
          </cell>
        </row>
        <row r="203">
          <cell r="B203" t="str">
            <v>7HFC11CP001XQ01</v>
          </cell>
          <cell r="C203">
            <v>0</v>
          </cell>
          <cell r="D203" t="str">
            <v>Перепад аеросуміші М-11-1</v>
          </cell>
        </row>
        <row r="204">
          <cell r="B204" t="str">
            <v>7HFC12CP001XQ01</v>
          </cell>
          <cell r="C204">
            <v>0</v>
          </cell>
          <cell r="D204" t="str">
            <v>Перепад аеросуміші М-11-2</v>
          </cell>
        </row>
        <row r="205">
          <cell r="B205" t="str">
            <v>7HFC13CP001XQ01</v>
          </cell>
          <cell r="C205">
            <v>0</v>
          </cell>
          <cell r="D205" t="str">
            <v>Перепад аеросуміші М-11-3</v>
          </cell>
        </row>
        <row r="206">
          <cell r="B206" t="str">
            <v>7HFE11CG001XQ01</v>
          </cell>
          <cell r="C206">
            <v>0</v>
          </cell>
          <cell r="D206" t="str">
            <v>ДП Шибер загального пов М-11-1</v>
          </cell>
        </row>
        <row r="207">
          <cell r="B207" t="str">
            <v>7HFE12CG001XQ01</v>
          </cell>
          <cell r="C207">
            <v>0</v>
          </cell>
          <cell r="D207" t="str">
            <v>ДП Шибер загального пов М-11-2</v>
          </cell>
        </row>
        <row r="208">
          <cell r="B208" t="str">
            <v>7HFE13CG001XQ01</v>
          </cell>
          <cell r="C208">
            <v>0</v>
          </cell>
          <cell r="D208" t="str">
            <v>ДП Шибер загального пов М-11-3</v>
          </cell>
        </row>
        <row r="209">
          <cell r="B209" t="str">
            <v>7HFE11CF001XQ01</v>
          </cell>
          <cell r="C209">
            <v>0</v>
          </cell>
          <cell r="D209" t="str">
            <v>F пов на напір МВ-11-1</v>
          </cell>
        </row>
        <row r="210">
          <cell r="B210" t="str">
            <v>7HFE12CF001XQ01</v>
          </cell>
          <cell r="C210">
            <v>0</v>
          </cell>
          <cell r="D210" t="str">
            <v>F пов на напір МВ-11-2</v>
          </cell>
        </row>
        <row r="211">
          <cell r="B211" t="str">
            <v>7HFE13CF001XQ01</v>
          </cell>
          <cell r="C211">
            <v>0</v>
          </cell>
          <cell r="D211" t="str">
            <v>F пов на напір МВ-11-3</v>
          </cell>
        </row>
        <row r="212">
          <cell r="B212" t="str">
            <v>7HFE11CG003XQ01</v>
          </cell>
          <cell r="C212">
            <v>0</v>
          </cell>
          <cell r="D212" t="str">
            <v>ДП Шибер F пов М-11-1</v>
          </cell>
        </row>
        <row r="213">
          <cell r="B213" t="str">
            <v>7HFE12CG003XQ01</v>
          </cell>
          <cell r="C213">
            <v>0</v>
          </cell>
          <cell r="D213" t="str">
            <v>ДП Шибер F пов М-11-2</v>
          </cell>
        </row>
        <row r="214">
          <cell r="B214" t="str">
            <v>7HFE13CG003XQ01</v>
          </cell>
          <cell r="C214">
            <v>0</v>
          </cell>
          <cell r="D214" t="str">
            <v>ДП Шибер F пов М-11-3</v>
          </cell>
        </row>
        <row r="215">
          <cell r="B215" t="str">
            <v>7HFE21CG002XQ01</v>
          </cell>
          <cell r="C215">
            <v>0</v>
          </cell>
          <cell r="D215" t="str">
            <v>ДП Клапан атмосф на пов М-11-1</v>
          </cell>
        </row>
        <row r="216">
          <cell r="B216" t="str">
            <v>7HFE22CG002XQ01</v>
          </cell>
          <cell r="C216">
            <v>0</v>
          </cell>
          <cell r="D216" t="str">
            <v>ДП Клапан атмосф на пов М-11-2</v>
          </cell>
        </row>
        <row r="217">
          <cell r="B217" t="str">
            <v>7HFE21CG001XQ01</v>
          </cell>
          <cell r="C217">
            <v>0</v>
          </cell>
          <cell r="D217" t="str">
            <v>ДП Шибер Т пилепов сум М-11-1</v>
          </cell>
        </row>
        <row r="218">
          <cell r="B218" t="str">
            <v>7HFE22CG001XQ01</v>
          </cell>
          <cell r="C218">
            <v>0</v>
          </cell>
          <cell r="D218" t="str">
            <v>ДП Шибер Т пилепов сум М-11-2</v>
          </cell>
        </row>
        <row r="219">
          <cell r="B219" t="str">
            <v>7HFE23CG001XQ01</v>
          </cell>
          <cell r="C219">
            <v>0</v>
          </cell>
          <cell r="D219" t="str">
            <v>ДП Шибер Т пилепов сум М-11-3</v>
          </cell>
        </row>
        <row r="220">
          <cell r="B220" t="str">
            <v>7HFE24CG001XQ01</v>
          </cell>
          <cell r="C220">
            <v>0</v>
          </cell>
          <cell r="D220" t="str">
            <v>ДП Шибер Т пилепов сум М-11-4</v>
          </cell>
        </row>
        <row r="221">
          <cell r="B221" t="str">
            <v>7HFE25CG001XQ01</v>
          </cell>
          <cell r="C221">
            <v>0</v>
          </cell>
          <cell r="D221" t="str">
            <v>ДП Шибер Т пилепов сум М-11-5</v>
          </cell>
        </row>
        <row r="222">
          <cell r="B222" t="str">
            <v>7HFE26CG001XQ01</v>
          </cell>
          <cell r="C222">
            <v>0</v>
          </cell>
          <cell r="D222" t="str">
            <v>ДП Шибер Т пилепов сум М-11-6</v>
          </cell>
        </row>
        <row r="223">
          <cell r="B223" t="str">
            <v>7HFE23CG002XQ01</v>
          </cell>
          <cell r="C223">
            <v>0</v>
          </cell>
          <cell r="D223" t="str">
            <v>ДП Клапан атмосф на пов М-11-3</v>
          </cell>
        </row>
        <row r="224">
          <cell r="B224" t="str">
            <v>7HFE24CG002XQ01</v>
          </cell>
          <cell r="C224">
            <v>0</v>
          </cell>
          <cell r="D224" t="str">
            <v>ДП Клапан атмосф на пов М-11-4</v>
          </cell>
        </row>
        <row r="225">
          <cell r="B225" t="str">
            <v>7HNA11CP001XQ01</v>
          </cell>
          <cell r="C225">
            <v>0</v>
          </cell>
          <cell r="D225" t="str">
            <v>Розрідження за п/п А</v>
          </cell>
        </row>
        <row r="226">
          <cell r="B226" t="str">
            <v>7HNA31CP001XQ01</v>
          </cell>
          <cell r="C226">
            <v>0</v>
          </cell>
          <cell r="D226" t="str">
            <v>Розрідження перед ДС-А</v>
          </cell>
        </row>
        <row r="227">
          <cell r="B227" t="str">
            <v>7HFE25CG002XQ01</v>
          </cell>
          <cell r="C227">
            <v>0</v>
          </cell>
          <cell r="D227" t="str">
            <v>ДП Клапан атмосф на пов М-11-5</v>
          </cell>
        </row>
        <row r="228">
          <cell r="B228" t="str">
            <v>7HFE26CG002XQ01</v>
          </cell>
          <cell r="C228">
            <v>0</v>
          </cell>
          <cell r="D228" t="str">
            <v>ДП Клапан атмосф на пов М-11-6</v>
          </cell>
        </row>
        <row r="229">
          <cell r="B229" t="str">
            <v>7HFB11DS001YQ01</v>
          </cell>
          <cell r="C229">
            <v>0</v>
          </cell>
          <cell r="D229" t="str">
            <v>ЖСВ М-11-1 завд з швидкості</v>
          </cell>
        </row>
        <row r="230">
          <cell r="B230" t="str">
            <v>7HFB12DS001YQ01</v>
          </cell>
          <cell r="C230">
            <v>0</v>
          </cell>
          <cell r="D230" t="str">
            <v>ЖСВ М-11-2 завд з швидкості</v>
          </cell>
        </row>
        <row r="231">
          <cell r="B231" t="str">
            <v>7HFB13DS001YQ01</v>
          </cell>
          <cell r="C231">
            <v>0</v>
          </cell>
          <cell r="D231" t="str">
            <v>ЖСВ М-11-3 завд з швидкості</v>
          </cell>
        </row>
        <row r="232">
          <cell r="B232" t="str">
            <v>7HFB16DS001YQ01</v>
          </cell>
          <cell r="C232">
            <v>0</v>
          </cell>
          <cell r="D232" t="str">
            <v>ЖСВ М-11-6 завд з швидкості</v>
          </cell>
        </row>
        <row r="233">
          <cell r="B233" t="str">
            <v>7HFB14DS001YQ01</v>
          </cell>
          <cell r="C233">
            <v>0</v>
          </cell>
          <cell r="D233" t="str">
            <v>ЖСВ М-11-4 завд з швидкості</v>
          </cell>
        </row>
        <row r="234">
          <cell r="B234" t="str">
            <v>7HFB15DS001YQ01</v>
          </cell>
          <cell r="C234">
            <v>0</v>
          </cell>
          <cell r="D234" t="str">
            <v>ЖСВ М-11-5 завд з швидкості</v>
          </cell>
        </row>
        <row r="235">
          <cell r="B235" t="str">
            <v xml:space="preserve">7HNA21CP001XQ01 </v>
          </cell>
          <cell r="C235">
            <v>0</v>
          </cell>
          <cell r="D235" t="str">
            <v xml:space="preserve">Розрідження перед скрубером 1 </v>
          </cell>
        </row>
        <row r="236">
          <cell r="B236" t="str">
            <v xml:space="preserve">7HNA22CP001XQ01 </v>
          </cell>
          <cell r="C236">
            <v>0</v>
          </cell>
          <cell r="D236" t="str">
            <v xml:space="preserve">Розрідження перед скрубером 2 </v>
          </cell>
        </row>
        <row r="237">
          <cell r="B237" t="str">
            <v xml:space="preserve">7HNA23CP001XQ01 </v>
          </cell>
          <cell r="C237">
            <v>0</v>
          </cell>
          <cell r="D237" t="str">
            <v xml:space="preserve">Розрідження перед скрубером 3 </v>
          </cell>
        </row>
        <row r="238">
          <cell r="B238" t="str">
            <v xml:space="preserve">7HNA24CP001XQ01 </v>
          </cell>
          <cell r="C238">
            <v>0</v>
          </cell>
          <cell r="D238" t="str">
            <v xml:space="preserve">Розрідження перед скрубером 4 </v>
          </cell>
        </row>
        <row r="239">
          <cell r="B239" t="str">
            <v xml:space="preserve">7HNA25CP001XQ01 </v>
          </cell>
          <cell r="C239">
            <v>0</v>
          </cell>
          <cell r="D239" t="str">
            <v xml:space="preserve">Розрідження перед скрубером 5 </v>
          </cell>
        </row>
        <row r="240">
          <cell r="B240" t="str">
            <v>7HNA12CP001XQ01</v>
          </cell>
          <cell r="C240">
            <v>0</v>
          </cell>
          <cell r="D240" t="str">
            <v>Розрідження за п/п Б</v>
          </cell>
        </row>
        <row r="241">
          <cell r="B241" t="str">
            <v>7HNA32CP001XQ01</v>
          </cell>
          <cell r="C241">
            <v>0</v>
          </cell>
          <cell r="D241" t="str">
            <v>Розрідження перед ДС-Б</v>
          </cell>
        </row>
        <row r="242">
          <cell r="B242" t="str">
            <v>7HFE11CG002XQ01</v>
          </cell>
          <cell r="C242">
            <v>0</v>
          </cell>
          <cell r="D242" t="str">
            <v>ДП Шибер гарячого пов М-11-1</v>
          </cell>
        </row>
        <row r="243">
          <cell r="B243" t="str">
            <v>7HFE12CG002XQ01</v>
          </cell>
          <cell r="C243">
            <v>0</v>
          </cell>
          <cell r="D243" t="str">
            <v>ДП Шибер гарячого пов М-11-2</v>
          </cell>
        </row>
        <row r="244">
          <cell r="B244" t="str">
            <v>7HFE13CG002XQ01</v>
          </cell>
          <cell r="C244">
            <v>0</v>
          </cell>
          <cell r="D244" t="str">
            <v>ДП Шибер гарячого пов М-11-3</v>
          </cell>
        </row>
        <row r="245">
          <cell r="B245" t="str">
            <v>7HFE14CG002XQ01</v>
          </cell>
          <cell r="C245">
            <v>0</v>
          </cell>
          <cell r="D245" t="str">
            <v>ДП Шибер гарячого пов М-11-4</v>
          </cell>
        </row>
        <row r="246">
          <cell r="B246" t="str">
            <v>7HFE15CG002XQ01</v>
          </cell>
          <cell r="C246">
            <v>0</v>
          </cell>
          <cell r="D246" t="str">
            <v>ДП Шибер гарячого пов М-11-5</v>
          </cell>
        </row>
        <row r="247">
          <cell r="B247" t="str">
            <v>7HFE16CG002XQ01</v>
          </cell>
          <cell r="C247">
            <v>0</v>
          </cell>
          <cell r="D247" t="str">
            <v>ДП Шибер гарячого пов М-11-6</v>
          </cell>
        </row>
        <row r="248">
          <cell r="B248" t="str">
            <v>7HNC11CG001XQ01</v>
          </cell>
          <cell r="C248">
            <v>0</v>
          </cell>
          <cell r="D248" t="str">
            <v>Шибер рециркул гаряч пов н.А</v>
          </cell>
        </row>
        <row r="249">
          <cell r="B249" t="str">
            <v>7HNC21CG001XQ01</v>
          </cell>
          <cell r="C249">
            <v>0</v>
          </cell>
          <cell r="D249" t="str">
            <v>Шибер рециркул гаряч пов н.Б</v>
          </cell>
        </row>
        <row r="250">
          <cell r="B250" t="str">
            <v>7HFE14CF001XQ01</v>
          </cell>
          <cell r="C250">
            <v>0</v>
          </cell>
          <cell r="D250" t="str">
            <v>F пов на напір МВ-11-4</v>
          </cell>
        </row>
        <row r="251">
          <cell r="B251" t="str">
            <v>7HFE15CF001XQ01</v>
          </cell>
          <cell r="C251">
            <v>0</v>
          </cell>
          <cell r="D251" t="str">
            <v>F пов на напір МВ-11-5</v>
          </cell>
        </row>
        <row r="252">
          <cell r="B252" t="str">
            <v>7HFE16CF001XQ01</v>
          </cell>
          <cell r="C252">
            <v>0</v>
          </cell>
          <cell r="D252" t="str">
            <v>F пов на напір МВ-11-6</v>
          </cell>
        </row>
        <row r="253">
          <cell r="B253" t="str">
            <v>7HFE14CG003XQ01</v>
          </cell>
          <cell r="C253">
            <v>0</v>
          </cell>
          <cell r="D253" t="str">
            <v>ДП Шибер F пов М-11-4</v>
          </cell>
        </row>
        <row r="254">
          <cell r="B254" t="str">
            <v>7HFE15CG003XQ01</v>
          </cell>
          <cell r="C254">
            <v>0</v>
          </cell>
          <cell r="D254" t="str">
            <v>ДП Шибер F пов М-11-5</v>
          </cell>
        </row>
        <row r="255">
          <cell r="B255" t="str">
            <v>7HFE16CG003XQ01</v>
          </cell>
          <cell r="C255">
            <v>0</v>
          </cell>
          <cell r="D255" t="str">
            <v>ДП Шибер F пов М-11-6</v>
          </cell>
        </row>
        <row r="256">
          <cell r="B256" t="str">
            <v>7HFC14CP001XQ01</v>
          </cell>
          <cell r="C256">
            <v>0</v>
          </cell>
          <cell r="D256" t="str">
            <v>Перепад аеросуміші М-11-4</v>
          </cell>
        </row>
        <row r="257">
          <cell r="B257" t="str">
            <v>7HFC15CP001XQ01</v>
          </cell>
          <cell r="C257">
            <v>0</v>
          </cell>
          <cell r="D257" t="str">
            <v>Перепад аеросуміші М-11-5</v>
          </cell>
        </row>
        <row r="258">
          <cell r="B258" t="str">
            <v>7HFC16CP001XQ01</v>
          </cell>
          <cell r="C258">
            <v>0</v>
          </cell>
          <cell r="D258" t="str">
            <v>Перепад аеросуміші М-11-6</v>
          </cell>
        </row>
        <row r="259">
          <cell r="B259" t="str">
            <v>7HFE14CG001XQ01</v>
          </cell>
          <cell r="C259">
            <v>0</v>
          </cell>
          <cell r="D259" t="str">
            <v>ДП Шибер загального пов М-11-4</v>
          </cell>
        </row>
        <row r="260">
          <cell r="B260" t="str">
            <v>7HFE15CG001XQ01</v>
          </cell>
          <cell r="C260">
            <v>0</v>
          </cell>
          <cell r="D260" t="str">
            <v>ДП Шибер загального пов М-11-5</v>
          </cell>
        </row>
        <row r="261">
          <cell r="B261" t="str">
            <v>7HFE16CG001XQ01</v>
          </cell>
          <cell r="C261">
            <v>0</v>
          </cell>
          <cell r="D261" t="str">
            <v>ДП Шибер загального пов М-11-6</v>
          </cell>
        </row>
        <row r="262">
          <cell r="B262" t="str">
            <v>7LBC10CG001XQ01</v>
          </cell>
          <cell r="C262">
            <v>0</v>
          </cell>
          <cell r="D262" t="str">
            <v>ДП РК пари на обдувку</v>
          </cell>
        </row>
        <row r="263">
          <cell r="B263" t="str">
            <v>7HLC10CG001XQ01</v>
          </cell>
          <cell r="C263">
            <v>0</v>
          </cell>
          <cell r="D263" t="str">
            <v>ДП РК пари на калориф</v>
          </cell>
        </row>
        <row r="264">
          <cell r="B264" t="str">
            <v>7HFB14CE001XQ01</v>
          </cell>
          <cell r="C264">
            <v>0</v>
          </cell>
          <cell r="D264" t="str">
            <v>Струм ел/дв ЖСВ М-11-4</v>
          </cell>
        </row>
        <row r="265">
          <cell r="B265" t="str">
            <v>7HFB15CE001XQ01</v>
          </cell>
          <cell r="C265">
            <v>0</v>
          </cell>
          <cell r="D265" t="str">
            <v>Струм ел/дв ЖСВ М-11-5</v>
          </cell>
        </row>
        <row r="266">
          <cell r="B266" t="str">
            <v>7HFB16CE001XQ01</v>
          </cell>
          <cell r="C266">
            <v>0</v>
          </cell>
          <cell r="D266" t="str">
            <v>Струм ел/дв ЖСВ М-11-6</v>
          </cell>
        </row>
        <row r="267">
          <cell r="B267" t="str">
            <v>7HFB14CE002XQ01</v>
          </cell>
          <cell r="C267">
            <v>0</v>
          </cell>
          <cell r="D267" t="str">
            <v>Струм ел/дв ТЖСВ М-11-4</v>
          </cell>
        </row>
        <row r="268">
          <cell r="B268" t="str">
            <v>7HFB14DS001XQ01</v>
          </cell>
          <cell r="C268">
            <v>0</v>
          </cell>
          <cell r="D268" t="str">
            <v>ЖСВ М-11-4 швидкість</v>
          </cell>
        </row>
        <row r="269">
          <cell r="B269" t="str">
            <v>7HFB15DS001XQ01</v>
          </cell>
          <cell r="C269">
            <v>0</v>
          </cell>
          <cell r="D269" t="str">
            <v>ЖСВ М-11-5 швидкість</v>
          </cell>
        </row>
        <row r="270">
          <cell r="B270" t="str">
            <v>7HFB16DS001XQ01</v>
          </cell>
          <cell r="C270">
            <v>0</v>
          </cell>
          <cell r="D270" t="str">
            <v>ЖСВ М-11-6 швидкість</v>
          </cell>
        </row>
        <row r="271">
          <cell r="B271" t="str">
            <v>7HLD10CT001XQ11</v>
          </cell>
          <cell r="C271">
            <v>0</v>
          </cell>
          <cell r="D271" t="str">
            <v>Т до повітряпідігрівача справа</v>
          </cell>
        </row>
        <row r="272">
          <cell r="B272" t="str">
            <v>7HLD20CT001XQ11</v>
          </cell>
          <cell r="C272">
            <v>0</v>
          </cell>
          <cell r="D272" t="str">
            <v>Т до повітряпідігрівача зліва</v>
          </cell>
        </row>
        <row r="273">
          <cell r="B273" t="str">
            <v>7HLD10CT002XQ11</v>
          </cell>
          <cell r="C273">
            <v>0</v>
          </cell>
          <cell r="D273" t="str">
            <v>Т після повітряпідігрівача справа</v>
          </cell>
        </row>
        <row r="274">
          <cell r="B274" t="str">
            <v>7HLD20CT002XQ11</v>
          </cell>
          <cell r="C274">
            <v>0</v>
          </cell>
          <cell r="D274" t="str">
            <v>Т після повітряпідігрівача зліва</v>
          </cell>
        </row>
        <row r="275">
          <cell r="B275" t="str">
            <v>7HLD10CT006XQ11</v>
          </cell>
          <cell r="C275">
            <v>0</v>
          </cell>
          <cell r="D275" t="str">
            <v>T пов після пов підігрівача справа</v>
          </cell>
        </row>
        <row r="276">
          <cell r="B276" t="str">
            <v>7HLD20CT006XQ11</v>
          </cell>
          <cell r="C276">
            <v>0</v>
          </cell>
          <cell r="D276" t="str">
            <v>T пов після пов підігрівача зліва</v>
          </cell>
        </row>
        <row r="277">
          <cell r="B277" t="str">
            <v>7HLD10CT007XQ11</v>
          </cell>
          <cell r="C277">
            <v>0</v>
          </cell>
          <cell r="D277" t="str">
            <v>Т пов пов підігр справа</v>
          </cell>
        </row>
        <row r="278">
          <cell r="B278" t="str">
            <v>7HLD20CT007XQ11</v>
          </cell>
          <cell r="C278">
            <v>0</v>
          </cell>
          <cell r="D278" t="str">
            <v>Т пов пов підігр зліва</v>
          </cell>
        </row>
        <row r="279">
          <cell r="B279" t="str">
            <v>7HNF10CT005XQ11</v>
          </cell>
          <cell r="C279">
            <v>0</v>
          </cell>
          <cell r="D279" t="str">
            <v>T газу до пов підігр справа</v>
          </cell>
        </row>
        <row r="280">
          <cell r="B280" t="str">
            <v>7HNF10CT006XQ11</v>
          </cell>
          <cell r="C280">
            <v>0</v>
          </cell>
          <cell r="D280" t="str">
            <v>T газу до пов підігр середина справа</v>
          </cell>
        </row>
        <row r="281">
          <cell r="B281" t="str">
            <v>7HNF10CT007XQ11</v>
          </cell>
          <cell r="C281">
            <v>0</v>
          </cell>
          <cell r="D281" t="str">
            <v>Т газу пов підігр справа</v>
          </cell>
        </row>
        <row r="282">
          <cell r="B282" t="str">
            <v>7HNF20CT005XQ11</v>
          </cell>
          <cell r="C282">
            <v>0</v>
          </cell>
          <cell r="D282" t="str">
            <v>T газу до пов підігр зліва</v>
          </cell>
        </row>
        <row r="283">
          <cell r="B283" t="str">
            <v>7HNF20CT006XQ11</v>
          </cell>
          <cell r="C283">
            <v>0</v>
          </cell>
          <cell r="D283" t="str">
            <v>T газу до пов підігр середина зліва</v>
          </cell>
        </row>
        <row r="284">
          <cell r="B284" t="str">
            <v>7HNF20CT007XQ11</v>
          </cell>
          <cell r="C284">
            <v>0</v>
          </cell>
          <cell r="D284" t="str">
            <v>Т газу пов підігр зліва</v>
          </cell>
        </row>
        <row r="285">
          <cell r="B285" t="str">
            <v>7HFE21CT001XQ11</v>
          </cell>
          <cell r="C285">
            <v>0</v>
          </cell>
          <cell r="D285" t="str">
            <v>T пилопов суміші М-11-1</v>
          </cell>
        </row>
        <row r="286">
          <cell r="B286" t="str">
            <v>7HFE22CT001XQ11</v>
          </cell>
          <cell r="C286">
            <v>0</v>
          </cell>
          <cell r="D286" t="str">
            <v>T пилопов суміші М-11-2</v>
          </cell>
        </row>
        <row r="287">
          <cell r="B287" t="str">
            <v>7HFE23CT001XQ11</v>
          </cell>
          <cell r="C287">
            <v>0</v>
          </cell>
          <cell r="D287" t="str">
            <v>T пилопов суміші М-11-3</v>
          </cell>
        </row>
        <row r="288">
          <cell r="B288" t="str">
            <v>7HFE24CT001XQ11</v>
          </cell>
          <cell r="C288">
            <v>0</v>
          </cell>
          <cell r="D288" t="str">
            <v>T пилопов суміші М-11-4</v>
          </cell>
        </row>
        <row r="289">
          <cell r="B289" t="str">
            <v>7HFE25CT001XQ11</v>
          </cell>
          <cell r="C289">
            <v>0</v>
          </cell>
          <cell r="D289" t="str">
            <v>T пилопов суміші М-11-5</v>
          </cell>
        </row>
        <row r="290">
          <cell r="B290" t="str">
            <v>7HFE26CT001XQ11</v>
          </cell>
          <cell r="C290">
            <v>0</v>
          </cell>
          <cell r="D290" t="str">
            <v>T пилопов суміші М-11-6</v>
          </cell>
        </row>
        <row r="291">
          <cell r="B291" t="str">
            <v>7HLA10CT001XQ21</v>
          </cell>
          <cell r="C291">
            <v>0</v>
          </cell>
          <cell r="D291" t="str">
            <v>T повітря після ДВ справа</v>
          </cell>
        </row>
        <row r="292">
          <cell r="B292" t="str">
            <v>7HLA10CT002XQ11</v>
          </cell>
          <cell r="C292">
            <v>0</v>
          </cell>
          <cell r="D292" t="str">
            <v>Т повітря до рециркуляц.справа</v>
          </cell>
        </row>
        <row r="293">
          <cell r="B293" t="str">
            <v>7HAK10CT015XQ11</v>
          </cell>
          <cell r="C293">
            <v>0</v>
          </cell>
          <cell r="D293" t="str">
            <v>T труби мікроблоку №4</v>
          </cell>
        </row>
        <row r="294">
          <cell r="B294" t="str">
            <v>7HAK10CT016XQ11</v>
          </cell>
          <cell r="C294">
            <v>0</v>
          </cell>
          <cell r="D294" t="str">
            <v>T труби мікроблоку №9</v>
          </cell>
        </row>
        <row r="295">
          <cell r="B295" t="str">
            <v>7HAK10CT017XQ11</v>
          </cell>
          <cell r="C295">
            <v>0</v>
          </cell>
          <cell r="D295" t="str">
            <v>T труби мікроблоку №14</v>
          </cell>
        </row>
        <row r="296">
          <cell r="B296" t="str">
            <v>7HAK10CT018XQ11</v>
          </cell>
          <cell r="C296">
            <v>0</v>
          </cell>
          <cell r="D296" t="str">
            <v>T труби мікроблоку №20</v>
          </cell>
        </row>
        <row r="297">
          <cell r="B297" t="str">
            <v>7HAK10CT019XQ11</v>
          </cell>
          <cell r="C297">
            <v>0</v>
          </cell>
          <cell r="D297" t="str">
            <v>T труби мікроблоку №24</v>
          </cell>
        </row>
        <row r="298">
          <cell r="B298" t="str">
            <v>7HAK10CT020XQ11</v>
          </cell>
          <cell r="C298">
            <v>0</v>
          </cell>
          <cell r="D298" t="str">
            <v>T труби мікроблоку №76</v>
          </cell>
        </row>
        <row r="299">
          <cell r="B299" t="str">
            <v>7HAK10CT021XQ11</v>
          </cell>
          <cell r="C299">
            <v>0</v>
          </cell>
          <cell r="D299" t="str">
            <v>T труби мікроблоку №81</v>
          </cell>
        </row>
        <row r="300">
          <cell r="B300" t="str">
            <v>7HLB10CT001XQ21</v>
          </cell>
          <cell r="C300">
            <v>0</v>
          </cell>
          <cell r="D300" t="str">
            <v>T підш.ел.дв. ДВ-А (вільна стор.)</v>
          </cell>
        </row>
        <row r="301">
          <cell r="B301" t="str">
            <v>7HLB10CT002XQ21</v>
          </cell>
          <cell r="C301">
            <v>0</v>
          </cell>
          <cell r="D301" t="str">
            <v>T підш.ел дв ДВ-А (стор механізму)</v>
          </cell>
        </row>
        <row r="302">
          <cell r="B302" t="str">
            <v>7HLB10CT009XQ21</v>
          </cell>
          <cell r="C302">
            <v>0</v>
          </cell>
          <cell r="D302" t="str">
            <v>T підш мех ДВ-11А (ст.е/д)</v>
          </cell>
        </row>
        <row r="303">
          <cell r="B303" t="str">
            <v>7HLB10CT010XQ21</v>
          </cell>
          <cell r="C303">
            <v>0</v>
          </cell>
          <cell r="D303" t="str">
            <v>T підш мех ДВ-11А (ст.мех)</v>
          </cell>
        </row>
        <row r="304">
          <cell r="B304" t="str">
            <v>7HNC10CT001XQ21</v>
          </cell>
          <cell r="C304">
            <v>0</v>
          </cell>
          <cell r="D304" t="str">
            <v>T підш.ел.дв. ДС-А (вільна стор.)</v>
          </cell>
        </row>
        <row r="305">
          <cell r="B305" t="str">
            <v>7HNC10CT002XQ21</v>
          </cell>
          <cell r="C305">
            <v>0</v>
          </cell>
          <cell r="D305" t="str">
            <v>T підш.ел.дв. ДС-А (стор. механізму)</v>
          </cell>
        </row>
        <row r="306">
          <cell r="B306" t="str">
            <v>7HNC10CT009XQ21</v>
          </cell>
          <cell r="C306">
            <v>0</v>
          </cell>
          <cell r="D306" t="str">
            <v>T підш мех Д-11А (ст е/д)</v>
          </cell>
        </row>
        <row r="307">
          <cell r="B307" t="str">
            <v>7HNC10CT010XQ21</v>
          </cell>
          <cell r="C307">
            <v>0</v>
          </cell>
          <cell r="D307" t="str">
            <v>T підш мех Д-11А (вільна ст.)</v>
          </cell>
        </row>
        <row r="308">
          <cell r="B308" t="str">
            <v>7HFC11CT001XQ21</v>
          </cell>
          <cell r="C308">
            <v>0</v>
          </cell>
          <cell r="D308" t="str">
            <v>T підш ел дв М-11-1 (стор мех)</v>
          </cell>
        </row>
        <row r="309">
          <cell r="B309" t="str">
            <v>7HFC11CT002XQ21</v>
          </cell>
          <cell r="C309">
            <v>0</v>
          </cell>
          <cell r="D309" t="str">
            <v>T підш ел дв М-11-1 (вільна стор)</v>
          </cell>
        </row>
        <row r="310">
          <cell r="B310" t="str">
            <v>7HFC12CT001XQ21</v>
          </cell>
          <cell r="C310">
            <v>0</v>
          </cell>
          <cell r="D310" t="str">
            <v>T підш ел дв М-11-2 (стор мех)</v>
          </cell>
        </row>
        <row r="311">
          <cell r="B311" t="str">
            <v>7HFC12CT002XQ21</v>
          </cell>
          <cell r="C311">
            <v>0</v>
          </cell>
          <cell r="D311" t="str">
            <v>T підш ел дв М-11-2 (вільна стор)</v>
          </cell>
        </row>
        <row r="312">
          <cell r="B312" t="str">
            <v>7HFC13CT001XQ21</v>
          </cell>
          <cell r="C312">
            <v>0</v>
          </cell>
          <cell r="D312" t="str">
            <v>T підш ел дв М-11-3 (стор мех)</v>
          </cell>
        </row>
        <row r="313">
          <cell r="B313" t="str">
            <v>7HFC13CT002XQ21</v>
          </cell>
          <cell r="C313">
            <v>0</v>
          </cell>
          <cell r="D313" t="str">
            <v>T підш ел дв М-11-3 (вільна стор)</v>
          </cell>
        </row>
        <row r="314">
          <cell r="B314" t="str">
            <v>7HLB10CT003XQ21</v>
          </cell>
          <cell r="C314">
            <v>0</v>
          </cell>
          <cell r="D314" t="str">
            <v>T обмоток фази А мідь ДВ-А</v>
          </cell>
        </row>
        <row r="315">
          <cell r="B315" t="str">
            <v>7CVA31CT001XQ21</v>
          </cell>
          <cell r="C315">
            <v>0</v>
          </cell>
          <cell r="D315" t="str">
            <v>Т холодних спаїв шафи 7CVA031</v>
          </cell>
        </row>
        <row r="316">
          <cell r="B316" t="str">
            <v>7HFC11CT003XQ21</v>
          </cell>
          <cell r="C316">
            <v>0</v>
          </cell>
          <cell r="D316" t="str">
            <v>T колодки №1 підш М-11-1</v>
          </cell>
        </row>
        <row r="317">
          <cell r="B317" t="str">
            <v>7HFC11CT004XQ21</v>
          </cell>
          <cell r="C317">
            <v>0</v>
          </cell>
          <cell r="D317" t="str">
            <v>T колодки №7 підш М-11-1</v>
          </cell>
        </row>
        <row r="318">
          <cell r="B318" t="str">
            <v>7HFC12CT003XQ21</v>
          </cell>
          <cell r="C318">
            <v>0</v>
          </cell>
          <cell r="D318" t="str">
            <v>T колодки №1 підш М-11-2</v>
          </cell>
        </row>
        <row r="319">
          <cell r="B319" t="str">
            <v>7HFC12CT004XQ21</v>
          </cell>
          <cell r="C319">
            <v>0</v>
          </cell>
          <cell r="D319" t="str">
            <v>T колодки №7 підш М-11-2</v>
          </cell>
        </row>
        <row r="320">
          <cell r="B320" t="str">
            <v>7HFC13CT003XQ21</v>
          </cell>
          <cell r="C320">
            <v>0</v>
          </cell>
          <cell r="D320" t="str">
            <v>T колодки №1 підш М-11-3</v>
          </cell>
        </row>
        <row r="321">
          <cell r="B321" t="str">
            <v>7HFC13CT004XQ21</v>
          </cell>
          <cell r="C321">
            <v>0</v>
          </cell>
          <cell r="D321" t="str">
            <v>T колодки №7 підш М-11-3</v>
          </cell>
        </row>
        <row r="322">
          <cell r="B322" t="str">
            <v>7CVA05CT001XQ21</v>
          </cell>
          <cell r="C322">
            <v>0</v>
          </cell>
          <cell r="D322" t="str">
            <v>Т холодних спаїв шафи 7CVA005</v>
          </cell>
        </row>
        <row r="323">
          <cell r="B323" t="str">
            <v>7CVA31CT002XQ21</v>
          </cell>
          <cell r="C323">
            <v>0</v>
          </cell>
          <cell r="D323" t="str">
            <v>Т холодних спаїв шафи 7CVA031</v>
          </cell>
        </row>
        <row r="324">
          <cell r="B324" t="str">
            <v>7HFC14CT003XQ21</v>
          </cell>
          <cell r="C324">
            <v>0</v>
          </cell>
          <cell r="D324" t="str">
            <v>T колодки №1 підш М-11-4</v>
          </cell>
        </row>
        <row r="325">
          <cell r="B325" t="str">
            <v>7HFC14CT004XQ21</v>
          </cell>
          <cell r="C325">
            <v>0</v>
          </cell>
          <cell r="D325" t="str">
            <v>T колодки №7 підш М-11-4</v>
          </cell>
        </row>
        <row r="326">
          <cell r="B326" t="str">
            <v>7HFC15CT003XQ21</v>
          </cell>
          <cell r="C326">
            <v>0</v>
          </cell>
          <cell r="D326" t="str">
            <v>T колодки №1 підш М-11-5</v>
          </cell>
        </row>
        <row r="327">
          <cell r="B327" t="str">
            <v>7HFC15CT004XQ21</v>
          </cell>
          <cell r="C327">
            <v>0</v>
          </cell>
          <cell r="D327" t="str">
            <v>T колодки №7 підш М-11-5</v>
          </cell>
        </row>
        <row r="328">
          <cell r="B328" t="str">
            <v>7HFC16CT003XQ21</v>
          </cell>
          <cell r="C328">
            <v>0</v>
          </cell>
          <cell r="D328" t="str">
            <v>T колодки №1 підш М-11-6</v>
          </cell>
        </row>
        <row r="329">
          <cell r="B329" t="str">
            <v>7HFC16CT004XQ21</v>
          </cell>
          <cell r="C329">
            <v>0</v>
          </cell>
          <cell r="D329" t="str">
            <v>T колодки №7 підш М-11-6</v>
          </cell>
        </row>
        <row r="330">
          <cell r="B330" t="str">
            <v>7CVA06CT001XQ21</v>
          </cell>
          <cell r="C330">
            <v>0</v>
          </cell>
          <cell r="D330" t="str">
            <v>Т холодних спаїв шафи 7CVA006</v>
          </cell>
        </row>
        <row r="331">
          <cell r="B331" t="str">
            <v>7HFC14CT001XQ21</v>
          </cell>
          <cell r="C331">
            <v>0</v>
          </cell>
          <cell r="D331" t="str">
            <v>T підш ел дв М-11-4 (стор мех)</v>
          </cell>
        </row>
        <row r="332">
          <cell r="B332" t="str">
            <v>7HFC14CT002XQ21</v>
          </cell>
          <cell r="C332">
            <v>0</v>
          </cell>
          <cell r="D332" t="str">
            <v>T підш ел дв М-11-4 (вільна стор)</v>
          </cell>
        </row>
        <row r="333">
          <cell r="B333" t="str">
            <v>7HFC15CT001XQ21</v>
          </cell>
          <cell r="C333">
            <v>0</v>
          </cell>
          <cell r="D333" t="str">
            <v>T підш ел дв М-11-5 (стор мех)</v>
          </cell>
        </row>
        <row r="334">
          <cell r="B334" t="str">
            <v>7HFC15CT002XQ21</v>
          </cell>
          <cell r="C334">
            <v>0</v>
          </cell>
          <cell r="D334" t="str">
            <v>T підш ел дв М-11-5 (вільна стор)</v>
          </cell>
        </row>
        <row r="335">
          <cell r="B335" t="str">
            <v>7HFC16CT001XQ21</v>
          </cell>
          <cell r="C335">
            <v>0</v>
          </cell>
          <cell r="D335" t="str">
            <v>T підш ел дв М-11-6 (стор мех)</v>
          </cell>
        </row>
        <row r="336">
          <cell r="B336" t="str">
            <v>7HFC16CT002XQ21</v>
          </cell>
          <cell r="C336">
            <v>0</v>
          </cell>
          <cell r="D336" t="str">
            <v>T підш ел дв М-11-6 (вільна стор)</v>
          </cell>
        </row>
        <row r="337">
          <cell r="B337" t="str">
            <v>7HLB20CT001XQ21</v>
          </cell>
          <cell r="C337">
            <v>0</v>
          </cell>
          <cell r="D337" t="str">
            <v>T підш.ел.дв. ДВ-Б (вільна стор.)</v>
          </cell>
        </row>
        <row r="338">
          <cell r="B338" t="str">
            <v>7HLB20CT002XQ21</v>
          </cell>
          <cell r="C338">
            <v>0</v>
          </cell>
          <cell r="D338" t="str">
            <v>T підш.ел.дв. ДВ-Б (стор. механізму)</v>
          </cell>
        </row>
        <row r="339">
          <cell r="B339" t="str">
            <v>7HLB20CT009XQ21</v>
          </cell>
          <cell r="C339">
            <v>0</v>
          </cell>
          <cell r="D339" t="str">
            <v>T підш мех ДВ-11Б (ст.е/д)</v>
          </cell>
        </row>
        <row r="340">
          <cell r="B340" t="str">
            <v>7HLB20CT010XQ21</v>
          </cell>
          <cell r="C340">
            <v>0</v>
          </cell>
          <cell r="D340" t="str">
            <v>T підш мех ДВ-11Б (ст.мех)</v>
          </cell>
        </row>
        <row r="341">
          <cell r="B341" t="str">
            <v>7HNC20CT001XQ21</v>
          </cell>
          <cell r="C341">
            <v>0</v>
          </cell>
          <cell r="D341" t="str">
            <v>T підш.ел.дв. ДС-Б (вільна стор.)</v>
          </cell>
        </row>
        <row r="342">
          <cell r="B342" t="str">
            <v>7HNC20CT002XQ21</v>
          </cell>
          <cell r="C342">
            <v>0</v>
          </cell>
          <cell r="D342" t="str">
            <v>T підш.ел.дв. ДС-Б (стор. механізму)</v>
          </cell>
        </row>
        <row r="343">
          <cell r="B343" t="str">
            <v>7HNC20CT009XQ21</v>
          </cell>
          <cell r="C343">
            <v>0</v>
          </cell>
          <cell r="D343" t="str">
            <v>T підш мех. Д-11Б (ст е/д)</v>
          </cell>
        </row>
        <row r="344">
          <cell r="B344" t="str">
            <v>7HNC20CT010XQ21</v>
          </cell>
          <cell r="C344">
            <v>0</v>
          </cell>
          <cell r="D344" t="str">
            <v>T підш мех. Д-11Б (вільна ст.)</v>
          </cell>
        </row>
        <row r="345">
          <cell r="B345" t="str">
            <v>7HAK10CT022XQ11</v>
          </cell>
          <cell r="C345">
            <v>0</v>
          </cell>
          <cell r="D345" t="str">
            <v>T труби мікроблоку №86</v>
          </cell>
        </row>
        <row r="346">
          <cell r="B346" t="str">
            <v>7HAK10CT023XQ11</v>
          </cell>
          <cell r="C346">
            <v>0</v>
          </cell>
          <cell r="D346" t="str">
            <v>T труби мікроблоку №92</v>
          </cell>
        </row>
        <row r="347">
          <cell r="B347" t="str">
            <v>7HAK10CT024XQ11</v>
          </cell>
          <cell r="C347">
            <v>0</v>
          </cell>
          <cell r="D347" t="str">
            <v>T труби мікроблоку №96</v>
          </cell>
        </row>
        <row r="348">
          <cell r="B348" t="str">
            <v>7HNA01CT001XQ11</v>
          </cell>
          <cell r="C348">
            <v>0</v>
          </cell>
          <cell r="D348" t="str">
            <v>T газів в районі мікроблоків №14-15</v>
          </cell>
        </row>
        <row r="349">
          <cell r="B349" t="str">
            <v>7HNA01CT002XQ11</v>
          </cell>
          <cell r="C349">
            <v>0</v>
          </cell>
          <cell r="D349" t="str">
            <v>T газів в районі мікроблоків №86-87</v>
          </cell>
        </row>
        <row r="350">
          <cell r="B350" t="str">
            <v>7LAF10CT001XQ11</v>
          </cell>
          <cell r="C350">
            <v>0</v>
          </cell>
          <cell r="D350" t="str">
            <v xml:space="preserve">T металу водопідв труби авар вприску А </v>
          </cell>
        </row>
        <row r="351">
          <cell r="B351" t="str">
            <v>7LAF20CT001XQ11</v>
          </cell>
          <cell r="C351">
            <v>0</v>
          </cell>
          <cell r="D351" t="str">
            <v xml:space="preserve">T металу водопідв труби авар вприску Б </v>
          </cell>
        </row>
        <row r="352">
          <cell r="B352" t="str">
            <v>7HFE21CT002XQ11</v>
          </cell>
          <cell r="C352">
            <v>0</v>
          </cell>
          <cell r="D352" t="str">
            <v>T пилопов суміші М-11-1</v>
          </cell>
        </row>
        <row r="353">
          <cell r="B353" t="str">
            <v>7HFE22CT002XQ11</v>
          </cell>
          <cell r="C353">
            <v>0</v>
          </cell>
          <cell r="D353" t="str">
            <v>T пилопов суміші М-11-2</v>
          </cell>
        </row>
        <row r="354">
          <cell r="B354" t="str">
            <v>7HFE23CT002XQ11</v>
          </cell>
          <cell r="C354">
            <v>0</v>
          </cell>
          <cell r="D354" t="str">
            <v>T пилопов суміші М-11-3</v>
          </cell>
        </row>
        <row r="355">
          <cell r="B355" t="str">
            <v>7HFE24CT002XQ11</v>
          </cell>
          <cell r="C355">
            <v>0</v>
          </cell>
          <cell r="D355" t="str">
            <v>T пилопов суміші М-11-4</v>
          </cell>
        </row>
        <row r="356">
          <cell r="B356" t="str">
            <v>7HFE25CT002XQ11</v>
          </cell>
          <cell r="C356">
            <v>0</v>
          </cell>
          <cell r="D356" t="str">
            <v>T пилопов суміші М-11-5</v>
          </cell>
        </row>
        <row r="357">
          <cell r="B357" t="str">
            <v>7HFE26CT002XQ11</v>
          </cell>
          <cell r="C357">
            <v>0</v>
          </cell>
          <cell r="D357" t="str">
            <v>T пилопов суміші М-11-6</v>
          </cell>
        </row>
        <row r="358">
          <cell r="B358" t="str">
            <v>7HLA20CT001XQ21</v>
          </cell>
          <cell r="C358">
            <v>0</v>
          </cell>
          <cell r="D358" t="str">
            <v>T повітря після ДВ зліва</v>
          </cell>
        </row>
        <row r="359">
          <cell r="B359" t="str">
            <v>7HLA20CT002XQ11</v>
          </cell>
          <cell r="C359">
            <v>0</v>
          </cell>
          <cell r="D359" t="str">
            <v>Т повітря до рециркуляц.зліва</v>
          </cell>
        </row>
        <row r="360">
          <cell r="B360" t="str">
            <v>7HFE11CT101XQ11</v>
          </cell>
          <cell r="C360">
            <v>0</v>
          </cell>
          <cell r="D360" t="str">
            <v>T пов після МВ-11-1</v>
          </cell>
        </row>
        <row r="361">
          <cell r="B361" t="str">
            <v>7HFE12CT101XQ11</v>
          </cell>
          <cell r="C361">
            <v>0</v>
          </cell>
          <cell r="D361" t="str">
            <v>T пов після МВ-11-2</v>
          </cell>
        </row>
        <row r="362">
          <cell r="B362" t="str">
            <v>7HFE13CT101XQ11</v>
          </cell>
          <cell r="C362">
            <v>0</v>
          </cell>
          <cell r="D362" t="str">
            <v>T пов після МВ-11-3</v>
          </cell>
        </row>
        <row r="363">
          <cell r="B363" t="str">
            <v>7HFE14CT101XQ11</v>
          </cell>
          <cell r="C363">
            <v>0</v>
          </cell>
          <cell r="D363" t="str">
            <v>T пов після МВ-11-4</v>
          </cell>
        </row>
        <row r="364">
          <cell r="B364" t="str">
            <v>7HFE15CT101XQ11</v>
          </cell>
          <cell r="C364">
            <v>0</v>
          </cell>
          <cell r="D364" t="str">
            <v>T пов після МВ-11-5</v>
          </cell>
        </row>
        <row r="365">
          <cell r="B365" t="str">
            <v>7HFE16CT101XQ11</v>
          </cell>
          <cell r="C365">
            <v>0</v>
          </cell>
          <cell r="D365" t="str">
            <v>T пов після МВ-11-6</v>
          </cell>
        </row>
        <row r="366">
          <cell r="B366" t="str">
            <v>7HNF10CT010XQ11</v>
          </cell>
          <cell r="C366">
            <v>0</v>
          </cell>
          <cell r="D366" t="str">
            <v>Т в газоході середина справа</v>
          </cell>
        </row>
        <row r="367">
          <cell r="B367" t="str">
            <v>7HNF10CT011XQ11</v>
          </cell>
          <cell r="C367">
            <v>0</v>
          </cell>
          <cell r="D367" t="str">
            <v>Т в газоході справа</v>
          </cell>
        </row>
        <row r="368">
          <cell r="B368" t="str">
            <v>7D003P1B6L7XQ21</v>
          </cell>
          <cell r="C368">
            <v>0</v>
          </cell>
          <cell r="D368" t="str">
            <v>T модуля 1-6-7 CRA31</v>
          </cell>
        </row>
        <row r="369">
          <cell r="B369" t="str">
            <v>7HNF15CT001XQ11</v>
          </cell>
          <cell r="C369">
            <v>0</v>
          </cell>
          <cell r="D369" t="str">
            <v>Т за скрубером №1</v>
          </cell>
        </row>
        <row r="370">
          <cell r="B370" t="str">
            <v>7HNF15CT002XQ11</v>
          </cell>
          <cell r="C370">
            <v>0</v>
          </cell>
          <cell r="D370" t="str">
            <v>Т за скрубером №2</v>
          </cell>
        </row>
        <row r="371">
          <cell r="B371" t="str">
            <v>7HNF15CT003XQ11</v>
          </cell>
          <cell r="C371">
            <v>0</v>
          </cell>
          <cell r="D371" t="str">
            <v>Т за скрубером №3</v>
          </cell>
        </row>
        <row r="372">
          <cell r="B372" t="str">
            <v>7HNF15CT004XQ11</v>
          </cell>
          <cell r="C372">
            <v>0</v>
          </cell>
          <cell r="D372" t="str">
            <v>Т за скрубером №4</v>
          </cell>
        </row>
        <row r="373">
          <cell r="B373" t="str">
            <v>7HNF15CT005XQ11</v>
          </cell>
          <cell r="C373">
            <v>0</v>
          </cell>
          <cell r="D373" t="str">
            <v>Т за скрубером №5</v>
          </cell>
        </row>
        <row r="374">
          <cell r="B374" t="str">
            <v>7HNF20CT010XQ11</v>
          </cell>
          <cell r="C374">
            <v>0</v>
          </cell>
          <cell r="D374" t="str">
            <v>Т в газоході зліва</v>
          </cell>
        </row>
        <row r="375">
          <cell r="B375" t="str">
            <v>7HNF20CT011XQ11</v>
          </cell>
          <cell r="C375">
            <v>0</v>
          </cell>
          <cell r="D375" t="str">
            <v>Т в газоході середина зліва</v>
          </cell>
        </row>
        <row r="376">
          <cell r="B376" t="str">
            <v>7HNF10CT001XQ11</v>
          </cell>
          <cell r="C376">
            <v>0</v>
          </cell>
          <cell r="D376" t="str">
            <v>T за 2 ст пов підігр справа</v>
          </cell>
        </row>
        <row r="377">
          <cell r="B377" t="str">
            <v>7HNF10CT002XQ11</v>
          </cell>
          <cell r="C377">
            <v>0</v>
          </cell>
          <cell r="D377" t="str">
            <v>T за 2 ст пов підігр сер справа</v>
          </cell>
        </row>
        <row r="378">
          <cell r="B378" t="str">
            <v>7HNF10CT003XQ11</v>
          </cell>
          <cell r="C378">
            <v>0</v>
          </cell>
          <cell r="D378" t="str">
            <v>T за 1 ст пов підігр справа</v>
          </cell>
        </row>
        <row r="379">
          <cell r="B379" t="str">
            <v>7HNF10CT004XQ11</v>
          </cell>
          <cell r="C379">
            <v>0</v>
          </cell>
          <cell r="D379" t="str">
            <v>T за 1 ст пов підігр серед справа</v>
          </cell>
        </row>
        <row r="380">
          <cell r="B380" t="str">
            <v>7HNF20CT001XQ11</v>
          </cell>
          <cell r="C380">
            <v>0</v>
          </cell>
          <cell r="D380" t="str">
            <v>T за 2 ст пов підігр зліва</v>
          </cell>
        </row>
        <row r="381">
          <cell r="B381" t="str">
            <v>7HNF20CT002XQ11</v>
          </cell>
          <cell r="C381">
            <v>0</v>
          </cell>
          <cell r="D381" t="str">
            <v>T за 2 ст пов підігр сер зліва</v>
          </cell>
        </row>
        <row r="382">
          <cell r="B382" t="str">
            <v>7HNF20CT003XQ11</v>
          </cell>
          <cell r="C382">
            <v>0</v>
          </cell>
          <cell r="D382" t="str">
            <v>T за 1 ст пов підігр зліва</v>
          </cell>
        </row>
        <row r="383">
          <cell r="B383" t="str">
            <v>7HNF20CT004XQ11</v>
          </cell>
          <cell r="C383">
            <v>0</v>
          </cell>
          <cell r="D383" t="str">
            <v>T за 1 ст пов підігр серед зліва</v>
          </cell>
        </row>
        <row r="384">
          <cell r="B384" t="str">
            <v>7HFE11CT005XQ21</v>
          </cell>
          <cell r="C384">
            <v>0</v>
          </cell>
          <cell r="D384" t="str">
            <v>T обм фази А МВ-11-1</v>
          </cell>
        </row>
        <row r="385">
          <cell r="B385" t="str">
            <v>7HFE11CT006XQ21</v>
          </cell>
          <cell r="C385">
            <v>0</v>
          </cell>
          <cell r="D385" t="str">
            <v>T обм фази В МВ-11-1</v>
          </cell>
        </row>
        <row r="386">
          <cell r="B386" t="str">
            <v>7HFE11CT007XQ21</v>
          </cell>
          <cell r="C386">
            <v>0</v>
          </cell>
          <cell r="D386" t="str">
            <v>T обм фази С МВ-11-1</v>
          </cell>
        </row>
        <row r="387">
          <cell r="B387" t="str">
            <v>7HFC11CT005XQ21</v>
          </cell>
          <cell r="C387">
            <v>0</v>
          </cell>
          <cell r="D387" t="str">
            <v>T обм фази А М-11-1</v>
          </cell>
        </row>
        <row r="388">
          <cell r="B388" t="str">
            <v>7HFC11CT006XQ21</v>
          </cell>
          <cell r="C388">
            <v>0</v>
          </cell>
          <cell r="D388" t="str">
            <v>T обм фази В М-11-1</v>
          </cell>
        </row>
        <row r="389">
          <cell r="B389" t="str">
            <v>7HFC11CT007XQ21</v>
          </cell>
          <cell r="C389">
            <v>0</v>
          </cell>
          <cell r="D389" t="str">
            <v>T обм фази С М-11-1</v>
          </cell>
        </row>
        <row r="390">
          <cell r="B390" t="str">
            <v>7HFE12CT005XQ21</v>
          </cell>
          <cell r="C390">
            <v>0</v>
          </cell>
          <cell r="D390" t="str">
            <v>T обм фази А МВ-11-2</v>
          </cell>
        </row>
        <row r="391">
          <cell r="B391" t="str">
            <v>7HFE12CT006XQ21</v>
          </cell>
          <cell r="C391">
            <v>0</v>
          </cell>
          <cell r="D391" t="str">
            <v>T обм фази В МВ-11-2</v>
          </cell>
        </row>
        <row r="392">
          <cell r="B392" t="str">
            <v>7HFE12CT007XQ21</v>
          </cell>
          <cell r="C392">
            <v>0</v>
          </cell>
          <cell r="D392" t="str">
            <v>T обм фази С МВ-11-2</v>
          </cell>
        </row>
        <row r="393">
          <cell r="B393" t="str">
            <v>7HFC12CT005XQ21</v>
          </cell>
          <cell r="C393">
            <v>0</v>
          </cell>
          <cell r="D393" t="str">
            <v>T обм фази А М-11-2</v>
          </cell>
        </row>
        <row r="394">
          <cell r="B394" t="str">
            <v>7HFC12CT006XQ21</v>
          </cell>
          <cell r="C394">
            <v>0</v>
          </cell>
          <cell r="D394" t="str">
            <v>T обм фази В М-11-2</v>
          </cell>
        </row>
        <row r="395">
          <cell r="B395" t="str">
            <v>7HFC12CT007XQ21</v>
          </cell>
          <cell r="C395">
            <v>0</v>
          </cell>
          <cell r="D395" t="str">
            <v>T обм фази С М-11-2</v>
          </cell>
        </row>
        <row r="396">
          <cell r="B396" t="str">
            <v>7HFE13CT005XQ21</v>
          </cell>
          <cell r="C396">
            <v>0</v>
          </cell>
          <cell r="D396" t="str">
            <v>T обм фази А МВ-11-3</v>
          </cell>
        </row>
        <row r="397">
          <cell r="B397" t="str">
            <v>7HFE13CT006XQ21</v>
          </cell>
          <cell r="C397">
            <v>0</v>
          </cell>
          <cell r="D397" t="str">
            <v>T обм фази В МВ-11-3</v>
          </cell>
        </row>
        <row r="398">
          <cell r="B398" t="str">
            <v>7HFE13CT007XQ21</v>
          </cell>
          <cell r="C398">
            <v>0</v>
          </cell>
          <cell r="D398" t="str">
            <v>T обм фази С МВ-11-3</v>
          </cell>
        </row>
        <row r="399">
          <cell r="B399" t="str">
            <v>7HFC13CT005XQ21</v>
          </cell>
          <cell r="C399">
            <v>0</v>
          </cell>
          <cell r="D399" t="str">
            <v>T обм фази А М-11-3</v>
          </cell>
        </row>
        <row r="400">
          <cell r="B400" t="str">
            <v>7HFC13CT006XQ21</v>
          </cell>
          <cell r="C400">
            <v>0</v>
          </cell>
          <cell r="D400" t="str">
            <v>T обм фази В М-11-3</v>
          </cell>
        </row>
        <row r="401">
          <cell r="B401" t="str">
            <v>7HFC13CT007XQ21</v>
          </cell>
          <cell r="C401">
            <v>0</v>
          </cell>
          <cell r="D401" t="str">
            <v>T обм фази С М-11-3</v>
          </cell>
        </row>
        <row r="402">
          <cell r="B402" t="str">
            <v>7HFE14CT005XQ21</v>
          </cell>
          <cell r="C402">
            <v>0</v>
          </cell>
          <cell r="D402" t="str">
            <v>T обм фази А МВ-11-4</v>
          </cell>
        </row>
        <row r="403">
          <cell r="B403" t="str">
            <v>7HFE14CT006XQ21</v>
          </cell>
          <cell r="C403">
            <v>0</v>
          </cell>
          <cell r="D403" t="str">
            <v>T обм фази В МВ-11-4</v>
          </cell>
        </row>
        <row r="404">
          <cell r="B404" t="str">
            <v>7HFE14CT007XQ21</v>
          </cell>
          <cell r="C404">
            <v>0</v>
          </cell>
          <cell r="D404" t="str">
            <v>T обм фази С МВ-11-4</v>
          </cell>
        </row>
        <row r="405">
          <cell r="B405" t="str">
            <v>7HFC14CT005XQ21</v>
          </cell>
          <cell r="C405">
            <v>0</v>
          </cell>
          <cell r="D405" t="str">
            <v>T обм фази А М-11-4</v>
          </cell>
        </row>
        <row r="406">
          <cell r="B406" t="str">
            <v>7HFC14CT006XQ21</v>
          </cell>
          <cell r="C406">
            <v>0</v>
          </cell>
          <cell r="D406" t="str">
            <v>T обм фази В М-11-4</v>
          </cell>
        </row>
        <row r="407">
          <cell r="B407" t="str">
            <v>7HFC14CT007XQ21</v>
          </cell>
          <cell r="C407">
            <v>0</v>
          </cell>
          <cell r="D407" t="str">
            <v>T обм фази С М-11-4</v>
          </cell>
        </row>
        <row r="408">
          <cell r="B408" t="str">
            <v>7HFE15CT005XQ21</v>
          </cell>
          <cell r="C408">
            <v>0</v>
          </cell>
          <cell r="D408" t="str">
            <v>T обм фази А МВ-11-5</v>
          </cell>
        </row>
        <row r="409">
          <cell r="B409" t="str">
            <v>7HFE15CT006XQ21</v>
          </cell>
          <cell r="C409">
            <v>0</v>
          </cell>
          <cell r="D409" t="str">
            <v>T обм фази В МВ-11-5</v>
          </cell>
        </row>
        <row r="410">
          <cell r="B410" t="str">
            <v>7HFE15CT007XQ21</v>
          </cell>
          <cell r="C410">
            <v>0</v>
          </cell>
          <cell r="D410" t="str">
            <v>T обм фази С МВ-11-5</v>
          </cell>
        </row>
        <row r="411">
          <cell r="B411" t="str">
            <v>7HFC15CT005XQ21</v>
          </cell>
          <cell r="C411">
            <v>0</v>
          </cell>
          <cell r="D411" t="str">
            <v>T обм фази А М-11-5</v>
          </cell>
        </row>
        <row r="412">
          <cell r="B412" t="str">
            <v>7HFC15CT006XQ21</v>
          </cell>
          <cell r="C412">
            <v>0</v>
          </cell>
          <cell r="D412" t="str">
            <v>T обм фази В М-11-5</v>
          </cell>
        </row>
        <row r="413">
          <cell r="B413" t="str">
            <v>7HFC15CT007XQ21</v>
          </cell>
          <cell r="C413">
            <v>0</v>
          </cell>
          <cell r="D413" t="str">
            <v>T обм фази С М-11-5</v>
          </cell>
        </row>
        <row r="414">
          <cell r="B414" t="str">
            <v>7HFE16CT005XQ21</v>
          </cell>
          <cell r="C414">
            <v>0</v>
          </cell>
          <cell r="D414" t="str">
            <v>T обм фази А МВ-11-6</v>
          </cell>
        </row>
        <row r="415">
          <cell r="B415" t="str">
            <v>7HFE16CT006XQ21</v>
          </cell>
          <cell r="C415">
            <v>0</v>
          </cell>
          <cell r="D415" t="str">
            <v>T обм фази В МВ-11-6</v>
          </cell>
        </row>
        <row r="416">
          <cell r="B416" t="str">
            <v>7HFE16CT007XQ21</v>
          </cell>
          <cell r="C416">
            <v>0</v>
          </cell>
          <cell r="D416" t="str">
            <v>T обм фази С МВ-11-6</v>
          </cell>
        </row>
        <row r="417">
          <cell r="B417" t="str">
            <v>7HFC16CT005XQ21</v>
          </cell>
          <cell r="C417">
            <v>0</v>
          </cell>
          <cell r="D417" t="str">
            <v>T обм фази А М-11-6</v>
          </cell>
        </row>
        <row r="418">
          <cell r="B418" t="str">
            <v>7HFC16CT006XQ21</v>
          </cell>
          <cell r="C418">
            <v>0</v>
          </cell>
          <cell r="D418" t="str">
            <v>T обм фази В М-11-6</v>
          </cell>
        </row>
        <row r="419">
          <cell r="B419" t="str">
            <v>7HFC16CT007XQ21</v>
          </cell>
          <cell r="C419">
            <v>0</v>
          </cell>
          <cell r="D419" t="str">
            <v>T обм фази С М-11-6</v>
          </cell>
        </row>
        <row r="420">
          <cell r="B420" t="str">
            <v>7HFV21CT001XQ21</v>
          </cell>
          <cell r="C420">
            <v>0</v>
          </cell>
          <cell r="D420" t="str">
            <v>T оливи в маслобаці МВ-11-1</v>
          </cell>
        </row>
        <row r="421">
          <cell r="B421" t="str">
            <v>7HFV22CT001XQ21</v>
          </cell>
          <cell r="C421">
            <v>0</v>
          </cell>
          <cell r="D421" t="str">
            <v>T оливи в маслобаці МВ-11-2</v>
          </cell>
        </row>
        <row r="422">
          <cell r="B422" t="str">
            <v>7HFV23CT001XQ21</v>
          </cell>
          <cell r="C422">
            <v>0</v>
          </cell>
          <cell r="D422" t="str">
            <v>T оливи в маслобаці МВ-11-3</v>
          </cell>
        </row>
        <row r="423">
          <cell r="B423" t="str">
            <v>7HFE11CT001XQ21</v>
          </cell>
          <cell r="C423">
            <v>0</v>
          </cell>
          <cell r="D423" t="str">
            <v>T підш ел дв МВ-11-1 (ст мех)</v>
          </cell>
        </row>
        <row r="424">
          <cell r="B424" t="str">
            <v>7HFE11CT002XQ21</v>
          </cell>
          <cell r="C424">
            <v>0</v>
          </cell>
          <cell r="D424" t="str">
            <v>T підш ел дв МВ-11-1 (вільна ст)</v>
          </cell>
        </row>
        <row r="425">
          <cell r="B425" t="str">
            <v>7HFE12CT001XQ21</v>
          </cell>
          <cell r="C425">
            <v>0</v>
          </cell>
          <cell r="D425" t="str">
            <v>T підш ел дв МВ-11-2 (ст мех)</v>
          </cell>
        </row>
        <row r="426">
          <cell r="B426" t="str">
            <v>7HFE12CT002XQ21</v>
          </cell>
          <cell r="C426">
            <v>0</v>
          </cell>
          <cell r="D426" t="str">
            <v>T підш ел дв МВ-11-2 (вільна ст)</v>
          </cell>
        </row>
        <row r="427">
          <cell r="B427" t="str">
            <v>7HFE13CT001XQ21</v>
          </cell>
          <cell r="C427">
            <v>0</v>
          </cell>
          <cell r="D427" t="str">
            <v>T підш ел дв МВ-11-3 (ст мех)</v>
          </cell>
        </row>
        <row r="428">
          <cell r="B428" t="str">
            <v>7HFE13CT002XQ21</v>
          </cell>
          <cell r="C428">
            <v>0</v>
          </cell>
          <cell r="D428" t="str">
            <v>T підш ел дв МВ-11-3 (вільна ст)</v>
          </cell>
        </row>
        <row r="429">
          <cell r="B429" t="str">
            <v>7HFE11CT003XQ21</v>
          </cell>
          <cell r="C429">
            <v>0</v>
          </cell>
          <cell r="D429" t="str">
            <v>T підш МВ-11-1 (стор двигуна)</v>
          </cell>
        </row>
        <row r="430">
          <cell r="B430" t="str">
            <v>7HFE11CT004XQ21</v>
          </cell>
          <cell r="C430">
            <v>0</v>
          </cell>
          <cell r="D430" t="str">
            <v>T підш МВ-11-1 (стор механізму)</v>
          </cell>
        </row>
        <row r="431">
          <cell r="B431" t="str">
            <v>7HFE12CT003XQ21</v>
          </cell>
          <cell r="C431">
            <v>0</v>
          </cell>
          <cell r="D431" t="str">
            <v>T підш МВ-11-2 (стор двигуна)</v>
          </cell>
        </row>
        <row r="432">
          <cell r="B432" t="str">
            <v>7HFE12CT004XQ21</v>
          </cell>
          <cell r="C432">
            <v>0</v>
          </cell>
          <cell r="D432" t="str">
            <v>T підш МВ-11-2 (стор механізму)</v>
          </cell>
        </row>
        <row r="433">
          <cell r="B433" t="str">
            <v>7HFE13CT003XQ21</v>
          </cell>
          <cell r="C433">
            <v>0</v>
          </cell>
          <cell r="D433" t="str">
            <v>T підш МВ-11-3 (стор двигуна)</v>
          </cell>
        </row>
        <row r="434">
          <cell r="B434" t="str">
            <v>7HFE13CT004XQ21</v>
          </cell>
          <cell r="C434">
            <v>0</v>
          </cell>
          <cell r="D434" t="str">
            <v>T підш МВ-11-3 (стор механізму)</v>
          </cell>
        </row>
        <row r="435">
          <cell r="B435" t="str">
            <v>7LBC11CT001XQ21</v>
          </cell>
          <cell r="C435">
            <v>0</v>
          </cell>
          <cell r="D435" t="str">
            <v>Т пари на обдувку ст А</v>
          </cell>
        </row>
        <row r="436">
          <cell r="B436" t="str">
            <v>7LBC12CT001XQ21</v>
          </cell>
          <cell r="C436">
            <v>0</v>
          </cell>
          <cell r="D436" t="str">
            <v>Т пари на обдувку ст Б</v>
          </cell>
        </row>
        <row r="437">
          <cell r="B437" t="str">
            <v>7HFE14CT003XQ21</v>
          </cell>
          <cell r="C437">
            <v>0</v>
          </cell>
          <cell r="D437" t="str">
            <v>T підш МВ-11-4 (стор двигуна)</v>
          </cell>
        </row>
        <row r="438">
          <cell r="B438" t="str">
            <v>7HFE14CT004XQ21</v>
          </cell>
          <cell r="C438">
            <v>0</v>
          </cell>
          <cell r="D438" t="str">
            <v>T підш МВ-11-4 (стор механізму)</v>
          </cell>
        </row>
        <row r="439">
          <cell r="B439" t="str">
            <v>7HFE15CT003XQ21</v>
          </cell>
          <cell r="C439">
            <v>0</v>
          </cell>
          <cell r="D439" t="str">
            <v>T підш МВ-11-5 (стор двигуна)</v>
          </cell>
        </row>
        <row r="440">
          <cell r="B440" t="str">
            <v>7HFE15CT004XQ21</v>
          </cell>
          <cell r="C440">
            <v>0</v>
          </cell>
          <cell r="D440" t="str">
            <v>T підш МВ-11-5 (стор механізму)</v>
          </cell>
        </row>
        <row r="441">
          <cell r="B441" t="str">
            <v>7HFE16CT003XQ21</v>
          </cell>
          <cell r="C441">
            <v>0</v>
          </cell>
          <cell r="D441" t="str">
            <v>T підш МВ-11-6 (стор двигуна)</v>
          </cell>
        </row>
        <row r="442">
          <cell r="B442" t="str">
            <v>7HFE16CT004XQ21</v>
          </cell>
          <cell r="C442">
            <v>0</v>
          </cell>
          <cell r="D442" t="str">
            <v>T підш МВ-11-6 (стор механізму)</v>
          </cell>
        </row>
        <row r="443">
          <cell r="B443" t="str">
            <v>7CVA06CT001XQ21</v>
          </cell>
          <cell r="C443">
            <v>0</v>
          </cell>
          <cell r="D443" t="str">
            <v>Т холодних спаїв шафи 7CVA006</v>
          </cell>
        </row>
        <row r="444">
          <cell r="B444" t="str">
            <v>7HFE14CT001XQ21</v>
          </cell>
          <cell r="C444">
            <v>0</v>
          </cell>
          <cell r="D444" t="str">
            <v>T підш ел дв МВ-4 (ст мех)</v>
          </cell>
        </row>
        <row r="445">
          <cell r="B445" t="str">
            <v>7HFE14CT002XQ21</v>
          </cell>
          <cell r="C445">
            <v>0</v>
          </cell>
          <cell r="D445" t="str">
            <v>T підш ел дв МВ-4 (вільна ст)</v>
          </cell>
        </row>
        <row r="446">
          <cell r="B446" t="str">
            <v>7HFE15CT001XQ21</v>
          </cell>
          <cell r="C446">
            <v>0</v>
          </cell>
          <cell r="D446" t="str">
            <v>T підш ел дв МВ-5 (ст мех)</v>
          </cell>
        </row>
        <row r="447">
          <cell r="B447" t="str">
            <v>7HFE15CT002XQ21</v>
          </cell>
          <cell r="C447">
            <v>0</v>
          </cell>
          <cell r="D447" t="str">
            <v>T підш ел дв МВ-5 (вільна ст)</v>
          </cell>
        </row>
        <row r="448">
          <cell r="B448" t="str">
            <v>7HFE16CT001XQ21</v>
          </cell>
          <cell r="C448">
            <v>0</v>
          </cell>
          <cell r="D448" t="str">
            <v>T підш ел дв МВ-6 (ст мех)</v>
          </cell>
        </row>
        <row r="449">
          <cell r="B449" t="str">
            <v>7HFE16CT002XQ21</v>
          </cell>
          <cell r="C449">
            <v>0</v>
          </cell>
          <cell r="D449" t="str">
            <v>T підш ел дв МВ-6 (ст мех)</v>
          </cell>
        </row>
        <row r="450">
          <cell r="B450" t="str">
            <v>7UHA01CT001XQ21</v>
          </cell>
          <cell r="C450">
            <v>0</v>
          </cell>
          <cell r="D450" t="str">
            <v xml:space="preserve">T повітря в каб півповерсі </v>
          </cell>
        </row>
        <row r="451">
          <cell r="B451" t="str">
            <v>7UHA02CT001XQ21</v>
          </cell>
          <cell r="C451">
            <v>0</v>
          </cell>
          <cell r="D451" t="str">
            <v>T повітря в каб півповерсі</v>
          </cell>
        </row>
        <row r="452">
          <cell r="B452" t="str">
            <v>7HFE16CT010XQ21</v>
          </cell>
          <cell r="C452">
            <v>0</v>
          </cell>
          <cell r="D452" t="str">
            <v>T обм фази С МВ-11-6</v>
          </cell>
        </row>
        <row r="453">
          <cell r="B453" t="str">
            <v>7HFC16CT008XQ21</v>
          </cell>
          <cell r="C453">
            <v>0</v>
          </cell>
          <cell r="D453" t="str">
            <v>T обм фази А М-11-6</v>
          </cell>
        </row>
        <row r="454">
          <cell r="B454" t="str">
            <v>7HFC16CT009XQ21</v>
          </cell>
          <cell r="C454">
            <v>0</v>
          </cell>
          <cell r="D454" t="str">
            <v>T обм фази В М-11-6</v>
          </cell>
        </row>
        <row r="455">
          <cell r="B455" t="str">
            <v>7HFC16CT010XQ21</v>
          </cell>
          <cell r="C455">
            <v>0</v>
          </cell>
          <cell r="D455" t="str">
            <v>T обм фази С М-11-6</v>
          </cell>
        </row>
        <row r="456">
          <cell r="B456" t="str">
            <v>7HFV24CT001XQ21</v>
          </cell>
          <cell r="C456">
            <v>0</v>
          </cell>
          <cell r="D456" t="str">
            <v>T оливи в маслобаці МВ-11-4</v>
          </cell>
        </row>
        <row r="457">
          <cell r="B457" t="str">
            <v>7HFV25CT001XQ21</v>
          </cell>
          <cell r="C457">
            <v>0</v>
          </cell>
          <cell r="D457" t="str">
            <v>T оливи в маслобаці МВ-11-5</v>
          </cell>
        </row>
        <row r="458">
          <cell r="B458" t="str">
            <v>7HFV26CT001XQ21</v>
          </cell>
          <cell r="C458">
            <v>0</v>
          </cell>
          <cell r="D458" t="str">
            <v>T оливи в маслобаці МВ-11-6</v>
          </cell>
        </row>
        <row r="459">
          <cell r="B459" t="str">
            <v>7HFE15CT008XQ21</v>
          </cell>
          <cell r="C459">
            <v>0</v>
          </cell>
          <cell r="D459" t="str">
            <v>T обм фази А МВ-11-5</v>
          </cell>
        </row>
        <row r="460">
          <cell r="B460" t="str">
            <v>7HFE15CT009XQ21</v>
          </cell>
          <cell r="C460">
            <v>0</v>
          </cell>
          <cell r="D460" t="str">
            <v>T обм фази В МВ-11-5</v>
          </cell>
        </row>
        <row r="461">
          <cell r="B461" t="str">
            <v>7HFE15CT010XQ21</v>
          </cell>
          <cell r="C461">
            <v>0</v>
          </cell>
          <cell r="D461" t="str">
            <v>T обм фази С МВ-11-5</v>
          </cell>
        </row>
        <row r="462">
          <cell r="B462" t="str">
            <v>7HFC15CT008XQ21</v>
          </cell>
          <cell r="C462">
            <v>0</v>
          </cell>
          <cell r="D462" t="str">
            <v>T обм фази А М-11-5</v>
          </cell>
        </row>
        <row r="463">
          <cell r="B463" t="str">
            <v>7HFC15CT009XQ21</v>
          </cell>
          <cell r="C463">
            <v>0</v>
          </cell>
          <cell r="D463" t="str">
            <v>T обм фази В М-11-5</v>
          </cell>
        </row>
        <row r="464">
          <cell r="B464" t="str">
            <v>7HFC15CT010XQ21</v>
          </cell>
          <cell r="C464">
            <v>0</v>
          </cell>
          <cell r="D464" t="str">
            <v>T обм фази С М-11-5</v>
          </cell>
        </row>
        <row r="465">
          <cell r="B465" t="str">
            <v>7HFE16CT008XQ21</v>
          </cell>
          <cell r="C465">
            <v>0</v>
          </cell>
          <cell r="D465" t="str">
            <v>T обм фази А МВ-11-6</v>
          </cell>
        </row>
        <row r="466">
          <cell r="B466" t="str">
            <v>7HFE16CT009XQ21</v>
          </cell>
          <cell r="C466">
            <v>0</v>
          </cell>
          <cell r="D466" t="str">
            <v>T обм фази В МВ-11-6</v>
          </cell>
        </row>
        <row r="467">
          <cell r="B467" t="str">
            <v>7HFC13CT009XQ21</v>
          </cell>
          <cell r="C467">
            <v>0</v>
          </cell>
          <cell r="D467" t="str">
            <v>T обм фази В М-11-3</v>
          </cell>
        </row>
        <row r="468">
          <cell r="B468" t="str">
            <v>7HFC13CT010XQ21</v>
          </cell>
          <cell r="C468">
            <v>0</v>
          </cell>
          <cell r="D468" t="str">
            <v>T обм фази С М-11-3</v>
          </cell>
        </row>
        <row r="469">
          <cell r="B469" t="str">
            <v>7HFE14CT008XQ21</v>
          </cell>
          <cell r="C469">
            <v>0</v>
          </cell>
          <cell r="D469" t="str">
            <v>T обм фази А МВ-11-4</v>
          </cell>
        </row>
        <row r="470">
          <cell r="B470" t="str">
            <v>7HFE14CT009XQ21</v>
          </cell>
          <cell r="C470">
            <v>0</v>
          </cell>
          <cell r="D470" t="str">
            <v>T обм фази В МВ-11-4</v>
          </cell>
        </row>
        <row r="471">
          <cell r="B471" t="str">
            <v>7HFE14CT010XQ21</v>
          </cell>
          <cell r="C471">
            <v>0</v>
          </cell>
          <cell r="D471" t="str">
            <v>T обм фази С МВ-11-4</v>
          </cell>
        </row>
        <row r="472">
          <cell r="B472" t="str">
            <v>7HFC14CT008XQ21</v>
          </cell>
          <cell r="C472">
            <v>0</v>
          </cell>
          <cell r="D472" t="str">
            <v>T обм фази А М-11-4</v>
          </cell>
        </row>
        <row r="473">
          <cell r="B473" t="str">
            <v>7HFC14CT009XQ21</v>
          </cell>
          <cell r="C473">
            <v>0</v>
          </cell>
          <cell r="D473" t="str">
            <v>T обм фази В М-11-4</v>
          </cell>
        </row>
        <row r="474">
          <cell r="B474" t="str">
            <v>7HFC14CT010XQ21</v>
          </cell>
          <cell r="C474">
            <v>0</v>
          </cell>
          <cell r="D474" t="str">
            <v>T обм фази С М-11-4</v>
          </cell>
        </row>
        <row r="475">
          <cell r="B475" t="str">
            <v>7HFE12CT010XQ21</v>
          </cell>
          <cell r="C475">
            <v>0</v>
          </cell>
          <cell r="D475" t="str">
            <v>T обм фази С МВ-11-2</v>
          </cell>
        </row>
        <row r="476">
          <cell r="B476" t="str">
            <v>7HFC12CT008XQ21</v>
          </cell>
          <cell r="C476">
            <v>0</v>
          </cell>
          <cell r="D476" t="str">
            <v>T обм фази А М-11-2</v>
          </cell>
        </row>
        <row r="477">
          <cell r="B477" t="str">
            <v>7HFC12CT009XQ21</v>
          </cell>
          <cell r="C477">
            <v>0</v>
          </cell>
          <cell r="D477" t="str">
            <v>T обм фази В М-11-2</v>
          </cell>
        </row>
        <row r="478">
          <cell r="B478" t="str">
            <v>7HFC12CT010XQ21</v>
          </cell>
          <cell r="C478">
            <v>0</v>
          </cell>
          <cell r="D478" t="str">
            <v>T обм фази С М-11-2</v>
          </cell>
        </row>
        <row r="479">
          <cell r="B479" t="str">
            <v>7HFE13CT008XQ21</v>
          </cell>
          <cell r="C479">
            <v>0</v>
          </cell>
          <cell r="D479" t="str">
            <v>T обм фази А МВ-11-3</v>
          </cell>
        </row>
        <row r="480">
          <cell r="B480" t="str">
            <v>7HFE13CT009XQ21</v>
          </cell>
          <cell r="C480">
            <v>0</v>
          </cell>
          <cell r="D480" t="str">
            <v>T обм фази В МВ-11-3</v>
          </cell>
        </row>
        <row r="481">
          <cell r="B481" t="str">
            <v>7HFE13CT010XQ21</v>
          </cell>
          <cell r="C481">
            <v>0</v>
          </cell>
          <cell r="D481" t="str">
            <v>T обм фази С МВ-11-3</v>
          </cell>
        </row>
        <row r="482">
          <cell r="B482" t="str">
            <v>7HFC13CT008XQ21</v>
          </cell>
          <cell r="C482">
            <v>0</v>
          </cell>
          <cell r="D482" t="str">
            <v>T обм фази А М-11-3</v>
          </cell>
        </row>
        <row r="483">
          <cell r="B483" t="str">
            <v>7HFE11CT008XQ21</v>
          </cell>
          <cell r="C483">
            <v>0</v>
          </cell>
          <cell r="D483" t="str">
            <v>T обм фази А МВ-11-1</v>
          </cell>
        </row>
        <row r="484">
          <cell r="B484" t="str">
            <v>7HFE11CT009XQ21</v>
          </cell>
          <cell r="C484">
            <v>0</v>
          </cell>
          <cell r="D484" t="str">
            <v>T обм фази В МВ-11-1</v>
          </cell>
        </row>
        <row r="485">
          <cell r="B485" t="str">
            <v>7HFE11CT010XQ21</v>
          </cell>
          <cell r="C485">
            <v>0</v>
          </cell>
          <cell r="D485" t="str">
            <v>T обм фази С МВ-11-1</v>
          </cell>
        </row>
        <row r="486">
          <cell r="B486" t="str">
            <v>7HFC11CT008XQ21</v>
          </cell>
          <cell r="C486">
            <v>0</v>
          </cell>
          <cell r="D486" t="str">
            <v>T обм фази А М-11-1</v>
          </cell>
        </row>
        <row r="487">
          <cell r="B487" t="str">
            <v>7HFC11CT009XQ21</v>
          </cell>
          <cell r="C487">
            <v>0</v>
          </cell>
          <cell r="D487" t="str">
            <v>T обм фази В М-11-1</v>
          </cell>
        </row>
        <row r="488">
          <cell r="B488" t="str">
            <v>7HFC11CT010XQ21</v>
          </cell>
          <cell r="C488">
            <v>0</v>
          </cell>
          <cell r="D488" t="str">
            <v>T обм фази С М-11-1</v>
          </cell>
        </row>
        <row r="489">
          <cell r="B489" t="str">
            <v>7HFE12CT008XQ21</v>
          </cell>
          <cell r="C489">
            <v>0</v>
          </cell>
          <cell r="D489" t="str">
            <v>T обм фази А МВ-11-2</v>
          </cell>
        </row>
        <row r="490">
          <cell r="B490" t="str">
            <v>7HFE12CT009XQ21</v>
          </cell>
          <cell r="C490">
            <v>0</v>
          </cell>
          <cell r="D490" t="str">
            <v>T обм фази В МВ-11-2</v>
          </cell>
        </row>
        <row r="491">
          <cell r="B491" t="str">
            <v>7HAH21CT001XQ11</v>
          </cell>
          <cell r="C491">
            <v>0</v>
          </cell>
          <cell r="D491" t="str">
            <v>T мет.вих.хол.ширм 1ст. справа А1</v>
          </cell>
        </row>
        <row r="492">
          <cell r="B492" t="str">
            <v>7HAH21CT002XQ11</v>
          </cell>
          <cell r="C492">
            <v>0</v>
          </cell>
          <cell r="D492" t="str">
            <v>T мет.вих.хол.ширм 1ст. справа А2</v>
          </cell>
        </row>
        <row r="493">
          <cell r="B493" t="str">
            <v>7HAH21CT003XQ11</v>
          </cell>
          <cell r="C493">
            <v>0</v>
          </cell>
          <cell r="D493" t="str">
            <v>T мет.вих.хол.ширм 1ст. справа А3</v>
          </cell>
        </row>
        <row r="494">
          <cell r="B494" t="str">
            <v>7HAH21CT004XQ11</v>
          </cell>
          <cell r="C494">
            <v>0</v>
          </cell>
          <cell r="D494" t="str">
            <v>T мет.вих.хол.ширм 1ст. справа А4</v>
          </cell>
        </row>
        <row r="495">
          <cell r="B495" t="str">
            <v>7HAH21CT005XQ11</v>
          </cell>
          <cell r="C495">
            <v>0</v>
          </cell>
          <cell r="D495" t="str">
            <v>T мет.вих.хол.ширм 1ст. справа А5</v>
          </cell>
        </row>
        <row r="496">
          <cell r="B496" t="str">
            <v>7HAH21CT006XQ11</v>
          </cell>
          <cell r="C496">
            <v>0</v>
          </cell>
          <cell r="D496" t="str">
            <v>T мет.вих.хол.ширм 1ст. справа А6</v>
          </cell>
        </row>
        <row r="497">
          <cell r="B497" t="str">
            <v>7HAH21CT007XQ11</v>
          </cell>
          <cell r="C497">
            <v>0</v>
          </cell>
          <cell r="D497" t="str">
            <v>T мет.вих.хол.ширм 1ст. справа А7</v>
          </cell>
        </row>
        <row r="498">
          <cell r="B498" t="str">
            <v>7HAH21CT008XQ11</v>
          </cell>
          <cell r="C498">
            <v>0</v>
          </cell>
          <cell r="D498" t="str">
            <v>T мет.вих.хол.ширм 1ст. справа А8</v>
          </cell>
        </row>
        <row r="499">
          <cell r="B499" t="str">
            <v>7HAH21CT009XQ11</v>
          </cell>
          <cell r="C499">
            <v>0</v>
          </cell>
          <cell r="D499" t="str">
            <v>T мет.вих.хол.ширм 1ст. справа А9</v>
          </cell>
        </row>
        <row r="500">
          <cell r="B500" t="str">
            <v>7HAH21CT010XQ11</v>
          </cell>
          <cell r="C500">
            <v>0</v>
          </cell>
          <cell r="D500" t="str">
            <v>T мет.вих.хол.ширм 1ст. справа А10</v>
          </cell>
        </row>
        <row r="501">
          <cell r="B501" t="str">
            <v>7HAH21CT011XQ11</v>
          </cell>
          <cell r="C501">
            <v>0</v>
          </cell>
          <cell r="D501" t="str">
            <v>T мет.вих.хол.ширм 1ст. справа А11</v>
          </cell>
        </row>
        <row r="502">
          <cell r="B502" t="str">
            <v>7HAH21CT012XQ11</v>
          </cell>
          <cell r="C502">
            <v>0</v>
          </cell>
          <cell r="D502" t="str">
            <v>T мет.вих.хол.ширм 1ст. справа А12</v>
          </cell>
        </row>
        <row r="503">
          <cell r="B503" t="str">
            <v>7HAH21CT013XQ11</v>
          </cell>
          <cell r="C503">
            <v>0</v>
          </cell>
          <cell r="D503" t="str">
            <v>T мет.вих.хол.ширм 1ст. справа А13</v>
          </cell>
        </row>
        <row r="504">
          <cell r="B504" t="str">
            <v>7HAH21CT014XQ11</v>
          </cell>
          <cell r="C504">
            <v>0</v>
          </cell>
          <cell r="D504" t="str">
            <v>T мет.вих.хол.ширм 1ст. справа А14</v>
          </cell>
        </row>
        <row r="505">
          <cell r="B505" t="str">
            <v>7HAH21CT015XQ11</v>
          </cell>
          <cell r="C505">
            <v>0</v>
          </cell>
          <cell r="D505" t="str">
            <v>T мет.вих.хол.ширм 1ст. справа А15</v>
          </cell>
        </row>
        <row r="506">
          <cell r="B506" t="str">
            <v>7HAH21CT016XQ11</v>
          </cell>
          <cell r="C506">
            <v>0</v>
          </cell>
          <cell r="D506" t="str">
            <v>T мет.вих.хол.ширм 1ст. справа А16</v>
          </cell>
        </row>
        <row r="507">
          <cell r="B507" t="str">
            <v>7HAH21CT017XQ11</v>
          </cell>
          <cell r="C507">
            <v>0</v>
          </cell>
          <cell r="D507" t="str">
            <v>T мет.вих.хол.ширм 1ст. справа А17</v>
          </cell>
        </row>
        <row r="508">
          <cell r="B508" t="str">
            <v>7HAH21CT018XQ11</v>
          </cell>
          <cell r="C508">
            <v>0</v>
          </cell>
          <cell r="D508" t="str">
            <v>T мет.вих.хол.ширм 1ст. справа А18</v>
          </cell>
        </row>
        <row r="509">
          <cell r="B509" t="str">
            <v>7HAH23CT001XQ11</v>
          </cell>
          <cell r="C509">
            <v>0</v>
          </cell>
          <cell r="D509" t="str">
            <v>T мет.вих.гар.ширм 1ст. справа А1</v>
          </cell>
        </row>
        <row r="510">
          <cell r="B510" t="str">
            <v>7HAH23CT002XQ11</v>
          </cell>
          <cell r="C510">
            <v>0</v>
          </cell>
          <cell r="D510" t="str">
            <v>T мет.вих.гар.ширм 1ст. справа А2</v>
          </cell>
        </row>
        <row r="511">
          <cell r="B511" t="str">
            <v>7HAH23CT003XQ11</v>
          </cell>
          <cell r="C511">
            <v>0</v>
          </cell>
          <cell r="D511" t="str">
            <v>T мет.вих.гар.ширм 1ст. справа А3</v>
          </cell>
        </row>
        <row r="512">
          <cell r="B512" t="str">
            <v>7HAH23CT004XQ11</v>
          </cell>
          <cell r="C512">
            <v>0</v>
          </cell>
          <cell r="D512" t="str">
            <v>T мет.вих.гар.ширм 1ст. справа А4</v>
          </cell>
        </row>
        <row r="513">
          <cell r="B513" t="str">
            <v>7HAH23CT005XQ11</v>
          </cell>
          <cell r="C513">
            <v>0</v>
          </cell>
          <cell r="D513" t="str">
            <v>T мет.вих.гар.ширм 1ст. справа А5</v>
          </cell>
        </row>
        <row r="514">
          <cell r="B514" t="str">
            <v>7HAH23CT006XQ11</v>
          </cell>
          <cell r="C514">
            <v>0</v>
          </cell>
          <cell r="D514" t="str">
            <v>T мет.вих.гар.ширм 1ст. справа А6</v>
          </cell>
        </row>
        <row r="515">
          <cell r="B515" t="str">
            <v>7HAH23CT007XQ11</v>
          </cell>
          <cell r="C515">
            <v>0</v>
          </cell>
          <cell r="D515" t="str">
            <v>T мет.вих.гар.ширм 1ст. справа А7</v>
          </cell>
        </row>
        <row r="516">
          <cell r="B516" t="str">
            <v>7HAH23CT008XQ11</v>
          </cell>
          <cell r="C516">
            <v>0</v>
          </cell>
          <cell r="D516" t="str">
            <v>T мет.вих.гар.ширм 1ст. справа А8</v>
          </cell>
        </row>
        <row r="517">
          <cell r="B517" t="str">
            <v>7HAH23CT009XQ11</v>
          </cell>
          <cell r="C517">
            <v>0</v>
          </cell>
          <cell r="D517" t="str">
            <v>T мет.вих.гар.ширм 1ст. справа А9</v>
          </cell>
        </row>
        <row r="518">
          <cell r="B518" t="str">
            <v>7HAH23CT010XQ11</v>
          </cell>
          <cell r="C518">
            <v>0</v>
          </cell>
          <cell r="D518" t="str">
            <v>T мет.вих.гар.ширм 1ст. справа А10</v>
          </cell>
        </row>
        <row r="519">
          <cell r="B519" t="str">
            <v>7HAH23CT011XQ11</v>
          </cell>
          <cell r="C519">
            <v>0</v>
          </cell>
          <cell r="D519" t="str">
            <v>T мет.вих.гар.ширм 1ст. справа А11</v>
          </cell>
        </row>
        <row r="520">
          <cell r="B520" t="str">
            <v>7HAH23CT012XQ11</v>
          </cell>
          <cell r="C520">
            <v>0</v>
          </cell>
          <cell r="D520" t="str">
            <v>T мет.вих.гар.ширм 1ст. справа А12</v>
          </cell>
        </row>
        <row r="521">
          <cell r="B521" t="str">
            <v>7HAH23CT013XQ11</v>
          </cell>
          <cell r="C521">
            <v>0</v>
          </cell>
          <cell r="D521" t="str">
            <v>T мет.вих.гар.ширм 1ст. справа А13</v>
          </cell>
        </row>
        <row r="522">
          <cell r="B522" t="str">
            <v>7HAH23CT014XQ11</v>
          </cell>
          <cell r="C522">
            <v>0</v>
          </cell>
          <cell r="D522" t="str">
            <v>T мет.вих.гар.ширм 1ст. справа А14</v>
          </cell>
        </row>
        <row r="523">
          <cell r="B523" t="str">
            <v>7HAH31CT001XQ11</v>
          </cell>
          <cell r="C523">
            <v>0</v>
          </cell>
          <cell r="D523" t="str">
            <v>T мет.вих.хол.ширм 2ст.справа А1</v>
          </cell>
        </row>
        <row r="524">
          <cell r="B524" t="str">
            <v>7HAH31CT002XQ11</v>
          </cell>
          <cell r="C524">
            <v>0</v>
          </cell>
          <cell r="D524" t="str">
            <v>T мет.вих.хол.ширм 2ст.справа А2</v>
          </cell>
        </row>
        <row r="525">
          <cell r="B525" t="str">
            <v>7HAH31CT003XQ11</v>
          </cell>
          <cell r="C525">
            <v>0</v>
          </cell>
          <cell r="D525" t="str">
            <v>T мет.вих.хол.ширм 2ст.справа А3</v>
          </cell>
        </row>
        <row r="526">
          <cell r="B526" t="str">
            <v>7HAH31CT004XQ11</v>
          </cell>
          <cell r="C526">
            <v>0</v>
          </cell>
          <cell r="D526" t="str">
            <v>T мет.вих.хол.ширм 2ст.справа А4</v>
          </cell>
        </row>
        <row r="527">
          <cell r="B527" t="str">
            <v>7HAH31CT005XQ11</v>
          </cell>
          <cell r="C527">
            <v>0</v>
          </cell>
          <cell r="D527" t="str">
            <v>T мет.вих.хол.ширм 2ст.справа А5</v>
          </cell>
        </row>
        <row r="528">
          <cell r="B528" t="str">
            <v>7HAH31CT006XQ11</v>
          </cell>
          <cell r="C528">
            <v>0</v>
          </cell>
          <cell r="D528" t="str">
            <v>T мет.вих.хол.ширм 2ст.справа А6</v>
          </cell>
        </row>
        <row r="529">
          <cell r="B529" t="str">
            <v>7HAH31CT007XQ11</v>
          </cell>
          <cell r="C529">
            <v>0</v>
          </cell>
          <cell r="D529" t="str">
            <v>T мет.вих.хол.ширм 2ст.справа А7</v>
          </cell>
        </row>
        <row r="530">
          <cell r="B530" t="str">
            <v>7HAH31CT008XQ11</v>
          </cell>
          <cell r="C530">
            <v>0</v>
          </cell>
          <cell r="D530" t="str">
            <v>T мет.вих.хол.ширм 2ст.справа А8</v>
          </cell>
        </row>
        <row r="531">
          <cell r="B531" t="str">
            <v>7HAH31CT009XQ11</v>
          </cell>
          <cell r="C531">
            <v>0</v>
          </cell>
          <cell r="D531" t="str">
            <v>T мет.вих.хол.ширм 2ст.справа А9</v>
          </cell>
        </row>
        <row r="532">
          <cell r="B532" t="str">
            <v>7HAH31CT010XQ11</v>
          </cell>
          <cell r="C532">
            <v>0</v>
          </cell>
          <cell r="D532" t="str">
            <v>T мет.вих.хол.ширм 2ст.справа А10</v>
          </cell>
        </row>
        <row r="533">
          <cell r="B533" t="str">
            <v>7HAH31CT011XQ11</v>
          </cell>
          <cell r="C533">
            <v>0</v>
          </cell>
          <cell r="D533" t="str">
            <v>T мет.вих.хол.ширм 2ст.справа А11</v>
          </cell>
        </row>
        <row r="534">
          <cell r="B534" t="str">
            <v>7HAH31CT012XQ11</v>
          </cell>
          <cell r="C534">
            <v>0</v>
          </cell>
          <cell r="D534" t="str">
            <v>T мет.вих.хол.ширм 2ст.справа А12</v>
          </cell>
        </row>
        <row r="535">
          <cell r="B535" t="str">
            <v>7HAH31CT013XQ11</v>
          </cell>
          <cell r="C535">
            <v>0</v>
          </cell>
          <cell r="D535" t="str">
            <v>T мет.вих.хол.ширм 2ст.справа А13</v>
          </cell>
        </row>
        <row r="536">
          <cell r="B536" t="str">
            <v>7HAH31CT014XQ11</v>
          </cell>
          <cell r="C536">
            <v>0</v>
          </cell>
          <cell r="D536" t="str">
            <v>T мет.вих.хол.ширм 2ст.справа А14</v>
          </cell>
        </row>
        <row r="537">
          <cell r="B537" t="str">
            <v>7HAH33CT001XQ11</v>
          </cell>
          <cell r="C537">
            <v>0</v>
          </cell>
          <cell r="D537" t="str">
            <v>T мет.вих.гар.ширм 2ст.справа А1</v>
          </cell>
        </row>
        <row r="538">
          <cell r="B538" t="str">
            <v>7HAH33CT002XQ11</v>
          </cell>
          <cell r="C538">
            <v>0</v>
          </cell>
          <cell r="D538" t="str">
            <v>T мет.вих.гар.ширм 2ст.справа А2</v>
          </cell>
        </row>
        <row r="539">
          <cell r="B539" t="str">
            <v>7HAH33CT003XQ11</v>
          </cell>
          <cell r="C539">
            <v>0</v>
          </cell>
          <cell r="D539" t="str">
            <v>T мет.вих.гар.ширм 2ст.справа А3</v>
          </cell>
        </row>
        <row r="540">
          <cell r="B540" t="str">
            <v>7HAH33CT004XQ11</v>
          </cell>
          <cell r="C540">
            <v>0</v>
          </cell>
          <cell r="D540" t="str">
            <v>T мет.вих.гар.ширм 2ст.справа А4</v>
          </cell>
        </row>
        <row r="541">
          <cell r="B541" t="str">
            <v>7HAH33CT005XQ11</v>
          </cell>
          <cell r="C541">
            <v>0</v>
          </cell>
          <cell r="D541" t="str">
            <v>T мет.вих.гар.ширм 2ст.справа А5</v>
          </cell>
        </row>
        <row r="542">
          <cell r="B542" t="str">
            <v>7HAH33CT006XQ11</v>
          </cell>
          <cell r="C542">
            <v>0</v>
          </cell>
          <cell r="D542" t="str">
            <v>T мет.вих.гар.ширм 2ст.справа А6</v>
          </cell>
        </row>
        <row r="543">
          <cell r="B543" t="str">
            <v>7HAH33CT007XQ11</v>
          </cell>
          <cell r="C543">
            <v>0</v>
          </cell>
          <cell r="D543" t="str">
            <v>T мет.вих.гар.ширм 2ст.справа А7</v>
          </cell>
        </row>
        <row r="544">
          <cell r="B544" t="str">
            <v>7HAH33CT008XQ11</v>
          </cell>
          <cell r="C544">
            <v>0</v>
          </cell>
          <cell r="D544" t="str">
            <v>T мет.вих.гар.ширм 2ст.справа А8</v>
          </cell>
        </row>
        <row r="545">
          <cell r="B545" t="str">
            <v>7HAH33CT009XQ11</v>
          </cell>
          <cell r="C545">
            <v>0</v>
          </cell>
          <cell r="D545" t="str">
            <v>T мет.вих.гар.ширм 2ст.справа А9</v>
          </cell>
        </row>
        <row r="546">
          <cell r="B546" t="str">
            <v>7HAH33CT010XQ11</v>
          </cell>
          <cell r="C546">
            <v>0</v>
          </cell>
          <cell r="D546" t="str">
            <v>T мет.вих.гар.ширм 2ст.справа А10</v>
          </cell>
        </row>
        <row r="547">
          <cell r="B547" t="str">
            <v>7HAH33CT011XQ11</v>
          </cell>
          <cell r="C547">
            <v>0</v>
          </cell>
          <cell r="D547" t="str">
            <v>T мет.вих.гар.ширм 2ст.справа А11</v>
          </cell>
        </row>
        <row r="548">
          <cell r="B548" t="str">
            <v>7HAH33CT012XQ11</v>
          </cell>
          <cell r="C548">
            <v>0</v>
          </cell>
          <cell r="D548" t="str">
            <v>T мет.вих.гар.ширм 2ст.справа А12</v>
          </cell>
        </row>
        <row r="549">
          <cell r="B549" t="str">
            <v>7HAH33CT013XQ11</v>
          </cell>
          <cell r="C549">
            <v>0</v>
          </cell>
          <cell r="D549" t="str">
            <v>T мет.вих.гар.ширм 2ст.справа А13</v>
          </cell>
        </row>
        <row r="550">
          <cell r="B550" t="str">
            <v>7HAH33CT014XQ11</v>
          </cell>
          <cell r="C550">
            <v>0</v>
          </cell>
          <cell r="D550" t="str">
            <v>T мет.вих.гар.ширм 2ст.справа А14</v>
          </cell>
        </row>
        <row r="551">
          <cell r="B551" t="str">
            <v>7HAH33CT015XQ11</v>
          </cell>
          <cell r="C551">
            <v>0</v>
          </cell>
          <cell r="D551" t="str">
            <v>T мет.вих.гар.ширм 2ст.справа А15</v>
          </cell>
        </row>
        <row r="552">
          <cell r="B552" t="str">
            <v>7HAH33CT016XQ11</v>
          </cell>
          <cell r="C552">
            <v>0</v>
          </cell>
          <cell r="D552" t="str">
            <v>T мет.вих.гар.ширм 2ст.справа А16</v>
          </cell>
        </row>
        <row r="553">
          <cell r="B553" t="str">
            <v>7HAH33CT017XQ11</v>
          </cell>
          <cell r="C553">
            <v>0</v>
          </cell>
          <cell r="D553" t="str">
            <v>T мет.вих.гар.ширм 2ст.справа А17</v>
          </cell>
        </row>
        <row r="554">
          <cell r="B554" t="str">
            <v>7HAH33CT018XQ11</v>
          </cell>
          <cell r="C554">
            <v>0</v>
          </cell>
          <cell r="D554" t="str">
            <v>T мет.вих.гар.ширм 2ст.справа А18</v>
          </cell>
        </row>
        <row r="555">
          <cell r="B555" t="str">
            <v>7CVA03CT001XQ21</v>
          </cell>
          <cell r="C555">
            <v>0</v>
          </cell>
          <cell r="D555" t="str">
            <v>Т холодних спаїв шафи 7CVA003</v>
          </cell>
        </row>
        <row r="556">
          <cell r="B556" t="str">
            <v>7CVA03CT002XQ21</v>
          </cell>
          <cell r="C556">
            <v>0</v>
          </cell>
          <cell r="D556" t="str">
            <v>Т холодних спаїв шафи 7CVA003</v>
          </cell>
        </row>
        <row r="557">
          <cell r="B557" t="str">
            <v>7HAH13CT001XQ11</v>
          </cell>
          <cell r="C557">
            <v>0</v>
          </cell>
          <cell r="D557" t="str">
            <v>T фронт наст пароперегр в районі пальника 1А</v>
          </cell>
        </row>
        <row r="558">
          <cell r="B558" t="str">
            <v>7HAH13CT002XQ11</v>
          </cell>
          <cell r="C558">
            <v>0</v>
          </cell>
          <cell r="D558" t="str">
            <v>T фронт наст пароперегр в районі пальника 1А</v>
          </cell>
        </row>
        <row r="559">
          <cell r="B559" t="str">
            <v>7HAH13CT003XQ11</v>
          </cell>
          <cell r="C559">
            <v>0</v>
          </cell>
          <cell r="D559" t="str">
            <v>T фронт наст пароперегр в районі пальника 2А</v>
          </cell>
        </row>
        <row r="560">
          <cell r="B560" t="str">
            <v>7HAH13CT004XQ11</v>
          </cell>
          <cell r="C560">
            <v>0</v>
          </cell>
          <cell r="D560" t="str">
            <v>T фронт наст пароперегр в районі пальника 2А</v>
          </cell>
        </row>
        <row r="561">
          <cell r="B561" t="str">
            <v>7HAH13CT005XQ11</v>
          </cell>
          <cell r="C561">
            <v>0</v>
          </cell>
          <cell r="D561" t="str">
            <v>T фронт наст пароперегр в районі пальника 3А</v>
          </cell>
        </row>
        <row r="562">
          <cell r="B562" t="str">
            <v>7HAH13CT006XQ11</v>
          </cell>
          <cell r="C562">
            <v>0</v>
          </cell>
          <cell r="D562" t="str">
            <v>T фронт наст пароперегр в районі пальника 3А</v>
          </cell>
        </row>
        <row r="563">
          <cell r="B563" t="str">
            <v>7HAH13CT007XQ11</v>
          </cell>
          <cell r="C563">
            <v>0</v>
          </cell>
          <cell r="D563" t="str">
            <v>T фронт наст пароперегр в районі пальника 4А</v>
          </cell>
        </row>
        <row r="564">
          <cell r="B564" t="str">
            <v>7HAH13CT008XQ11</v>
          </cell>
          <cell r="C564">
            <v>0</v>
          </cell>
          <cell r="D564" t="str">
            <v>T фронт наст пароперегр в районі пальника 4А</v>
          </cell>
        </row>
        <row r="565">
          <cell r="B565" t="str">
            <v>7LBA10CT013XQ11</v>
          </cell>
          <cell r="C565">
            <v>0</v>
          </cell>
          <cell r="D565" t="str">
            <v>T металу до 1-го вприску (верх)</v>
          </cell>
        </row>
        <row r="566">
          <cell r="B566" t="str">
            <v>7LBA10CT014XQ11</v>
          </cell>
          <cell r="C566">
            <v>0</v>
          </cell>
          <cell r="D566" t="str">
            <v>T металу до 1-го вприску (низ)</v>
          </cell>
        </row>
        <row r="567">
          <cell r="B567" t="str">
            <v>7LBA10CT015XQ11</v>
          </cell>
          <cell r="C567">
            <v>0</v>
          </cell>
          <cell r="D567" t="str">
            <v>T металу після  1-го вприску (верх)</v>
          </cell>
        </row>
        <row r="568">
          <cell r="B568" t="str">
            <v>7LBA10CT016XQ11</v>
          </cell>
          <cell r="C568">
            <v>0</v>
          </cell>
          <cell r="D568" t="str">
            <v>T металу після  1-го вприску (низ)</v>
          </cell>
        </row>
        <row r="569">
          <cell r="B569" t="str">
            <v>7LBA10CT017XQ11</v>
          </cell>
          <cell r="C569">
            <v>0</v>
          </cell>
          <cell r="D569" t="str">
            <v>T металу до 2-го вприску (верх)</v>
          </cell>
        </row>
        <row r="570">
          <cell r="B570" t="str">
            <v>7LBA10CT018XQ11</v>
          </cell>
          <cell r="C570">
            <v>0</v>
          </cell>
          <cell r="D570" t="str">
            <v>T металу до 2-го вприску (низ)</v>
          </cell>
        </row>
        <row r="571">
          <cell r="B571" t="str">
            <v>7LBA10CT019XQ11</v>
          </cell>
          <cell r="C571">
            <v>0</v>
          </cell>
          <cell r="D571" t="str">
            <v>T металу після 2-го вприску (верх)</v>
          </cell>
        </row>
        <row r="572">
          <cell r="B572" t="str">
            <v>7LBA10CT020XQ11</v>
          </cell>
          <cell r="C572">
            <v>0</v>
          </cell>
          <cell r="D572" t="str">
            <v>T металу після 2-го вприску (низ)</v>
          </cell>
        </row>
        <row r="573">
          <cell r="B573" t="str">
            <v>7HAH12CT009XQ11</v>
          </cell>
          <cell r="C573">
            <v>0</v>
          </cell>
          <cell r="D573" t="str">
            <v>T фронт.наст.пароперегр.справа Б-9</v>
          </cell>
        </row>
        <row r="574">
          <cell r="B574" t="str">
            <v>7HAH12CT010XQ11</v>
          </cell>
          <cell r="C574">
            <v>0</v>
          </cell>
          <cell r="D574" t="str">
            <v>T фронт.наст.пароперегр.справа Б-10</v>
          </cell>
        </row>
        <row r="575">
          <cell r="B575" t="str">
            <v>7HAH12CT011XQ11</v>
          </cell>
          <cell r="C575">
            <v>0</v>
          </cell>
          <cell r="D575" t="str">
            <v>T фронт.наст.пароперегр.справа Б-11</v>
          </cell>
        </row>
        <row r="576">
          <cell r="B576" t="str">
            <v>7HAH12CT012XQ11</v>
          </cell>
          <cell r="C576">
            <v>0</v>
          </cell>
          <cell r="D576" t="str">
            <v>T фронт.наст.пароперегр.справа Б-12</v>
          </cell>
        </row>
        <row r="577">
          <cell r="B577" t="str">
            <v>7HAH12CT013XQ11</v>
          </cell>
          <cell r="C577">
            <v>0</v>
          </cell>
          <cell r="D577" t="str">
            <v>T фронт.наст.пароперегр.справа Б-13</v>
          </cell>
        </row>
        <row r="578">
          <cell r="B578" t="str">
            <v>7HAH12CT014XQ11</v>
          </cell>
          <cell r="C578">
            <v>0</v>
          </cell>
          <cell r="D578" t="str">
            <v>T фронт.наст.пароперегр.справа Б-14</v>
          </cell>
        </row>
        <row r="579">
          <cell r="B579" t="str">
            <v>7HAH12CT015XQ11</v>
          </cell>
          <cell r="C579">
            <v>0</v>
          </cell>
          <cell r="D579" t="str">
            <v>T фронт.наст.пароперегр.справа Б-15</v>
          </cell>
        </row>
        <row r="580">
          <cell r="B580" t="str">
            <v>7HAH21CT020XQ11</v>
          </cell>
          <cell r="C580">
            <v>0</v>
          </cell>
          <cell r="D580" t="str">
            <v>T пари на виході з поворотних камер А</v>
          </cell>
        </row>
        <row r="581">
          <cell r="B581" t="str">
            <v>7HAH12CT001XQ11</v>
          </cell>
          <cell r="C581">
            <v>0</v>
          </cell>
          <cell r="D581" t="str">
            <v>T фронт.наст.пароперегр.справа Б-1</v>
          </cell>
        </row>
        <row r="582">
          <cell r="B582" t="str">
            <v>7HAH12CT002XQ11</v>
          </cell>
          <cell r="C582">
            <v>0</v>
          </cell>
          <cell r="D582" t="str">
            <v>T фронт.наст.пароперегр.справа Б-2</v>
          </cell>
        </row>
        <row r="583">
          <cell r="B583" t="str">
            <v>7HAH12CT003XQ11</v>
          </cell>
          <cell r="C583">
            <v>0</v>
          </cell>
          <cell r="D583" t="str">
            <v>T фронт.наст.пароперегр.справа Б-3</v>
          </cell>
        </row>
        <row r="584">
          <cell r="B584" t="str">
            <v>7HAH12CT004XQ11</v>
          </cell>
          <cell r="C584">
            <v>0</v>
          </cell>
          <cell r="D584" t="str">
            <v>T фронт.наст.пароперегр.справа Б-4</v>
          </cell>
        </row>
        <row r="585">
          <cell r="B585" t="str">
            <v>7HAH12CT005XQ11</v>
          </cell>
          <cell r="C585">
            <v>0</v>
          </cell>
          <cell r="D585" t="str">
            <v>T фронт.наст.пароперегр.справа Б-5</v>
          </cell>
        </row>
        <row r="586">
          <cell r="B586" t="str">
            <v>7HAH12CT006XQ11</v>
          </cell>
          <cell r="C586">
            <v>0</v>
          </cell>
          <cell r="D586" t="str">
            <v>T фронт.наст.пароперегр.справа Б-6</v>
          </cell>
        </row>
        <row r="587">
          <cell r="B587" t="str">
            <v>7HAH12CT007XQ11</v>
          </cell>
          <cell r="C587">
            <v>0</v>
          </cell>
          <cell r="D587" t="str">
            <v>T фронт.наст.пароперегр.справа Б-7</v>
          </cell>
        </row>
        <row r="588">
          <cell r="B588" t="str">
            <v>7HAH12CT008XQ11</v>
          </cell>
          <cell r="C588">
            <v>0</v>
          </cell>
          <cell r="D588" t="str">
            <v>T фронт.наст.пароперегр.справа Б-8</v>
          </cell>
        </row>
        <row r="589">
          <cell r="B589" t="str">
            <v>7HAH11CT008XQ11</v>
          </cell>
          <cell r="C589">
            <v>0</v>
          </cell>
          <cell r="D589" t="str">
            <v>T фронт.наст.пароперегр.зліва А-8</v>
          </cell>
        </row>
        <row r="590">
          <cell r="B590" t="str">
            <v>7HAH11CT009XQ11</v>
          </cell>
          <cell r="C590">
            <v>0</v>
          </cell>
          <cell r="D590" t="str">
            <v>T фронт.наст.пароперегр.зліва А-9</v>
          </cell>
        </row>
        <row r="591">
          <cell r="B591" t="str">
            <v>7HAH11CT010XQ11</v>
          </cell>
          <cell r="C591">
            <v>0</v>
          </cell>
          <cell r="D591" t="str">
            <v>T фронт.наст.пароперегр.зліва А-10</v>
          </cell>
        </row>
        <row r="592">
          <cell r="B592" t="str">
            <v>7HAH11CT011XQ11</v>
          </cell>
          <cell r="C592">
            <v>0</v>
          </cell>
          <cell r="D592" t="str">
            <v>T фронт.наст.пароперегр.зліва А-11</v>
          </cell>
        </row>
        <row r="593">
          <cell r="B593" t="str">
            <v>7HAH11CT012XQ11</v>
          </cell>
          <cell r="C593">
            <v>0</v>
          </cell>
          <cell r="D593" t="str">
            <v>T фронт.наст.пароперегр.зліва А-12</v>
          </cell>
        </row>
        <row r="594">
          <cell r="B594" t="str">
            <v>7HAH11CT013XQ11</v>
          </cell>
          <cell r="C594">
            <v>0</v>
          </cell>
          <cell r="D594" t="str">
            <v>T фронт.наст.пароперегр.зліва А-13</v>
          </cell>
        </row>
        <row r="595">
          <cell r="B595" t="str">
            <v>7HAH11CT014XQ11</v>
          </cell>
          <cell r="C595">
            <v>0</v>
          </cell>
          <cell r="D595" t="str">
            <v>T фронт.наст.пароперегр.зліва А-14</v>
          </cell>
        </row>
        <row r="596">
          <cell r="B596" t="str">
            <v>7HAH11CT015XQ11</v>
          </cell>
          <cell r="C596">
            <v>0</v>
          </cell>
          <cell r="D596" t="str">
            <v>T фронт.наст.пароперегр.зліва А-15</v>
          </cell>
        </row>
        <row r="597">
          <cell r="B597" t="str">
            <v>7HAH11CT001XQ11</v>
          </cell>
          <cell r="C597">
            <v>0</v>
          </cell>
          <cell r="D597" t="str">
            <v>T фронт.наст.пароперегр.зліва А-1</v>
          </cell>
        </row>
        <row r="598">
          <cell r="B598" t="str">
            <v>7HAH11CT002XQ11</v>
          </cell>
          <cell r="C598">
            <v>0</v>
          </cell>
          <cell r="D598" t="str">
            <v>T фронт.наст.пароперегр.зліва А-2</v>
          </cell>
        </row>
        <row r="599">
          <cell r="B599" t="str">
            <v>7HAH11CT003XQ11</v>
          </cell>
          <cell r="C599">
            <v>0</v>
          </cell>
          <cell r="D599" t="str">
            <v>T фронт.наст.пароперегр.зліва А-3</v>
          </cell>
        </row>
        <row r="600">
          <cell r="B600" t="str">
            <v>7HAH11CT004XQ11</v>
          </cell>
          <cell r="C600">
            <v>0</v>
          </cell>
          <cell r="D600" t="str">
            <v>T фронт.наст.пароперегр.зліва А-4</v>
          </cell>
        </row>
        <row r="601">
          <cell r="B601" t="str">
            <v>7HAH11CT005XQ11</v>
          </cell>
          <cell r="C601">
            <v>0</v>
          </cell>
          <cell r="D601" t="str">
            <v>T фронт.наст.пароперегр.зліва А-5</v>
          </cell>
        </row>
        <row r="602">
          <cell r="B602" t="str">
            <v>7HAH11CT006XQ11</v>
          </cell>
          <cell r="C602">
            <v>0</v>
          </cell>
          <cell r="D602" t="str">
            <v>T фронт.наст.пароперегр.зліва А-6</v>
          </cell>
        </row>
        <row r="603">
          <cell r="B603" t="str">
            <v>7HAH11CT007XQ11</v>
          </cell>
          <cell r="C603">
            <v>0</v>
          </cell>
          <cell r="D603" t="str">
            <v>T фронт.наст.пароперегр.зліва А-7</v>
          </cell>
        </row>
        <row r="604">
          <cell r="B604" t="str">
            <v>7LAE10CT002XQ11</v>
          </cell>
          <cell r="C604">
            <v>0</v>
          </cell>
          <cell r="D604" t="str">
            <v>T мет підвідн водопр 2-го вприску А</v>
          </cell>
        </row>
        <row r="605">
          <cell r="B605" t="str">
            <v>7HAH30CT001XQ11</v>
          </cell>
          <cell r="C605">
            <v>0</v>
          </cell>
          <cell r="D605" t="str">
            <v>T кол.1-2 ст. ширм зліва А-1</v>
          </cell>
        </row>
        <row r="606">
          <cell r="B606" t="str">
            <v>7HAH30CT002XQ11</v>
          </cell>
          <cell r="C606">
            <v>0</v>
          </cell>
          <cell r="D606" t="str">
            <v>T кол.1-2 ст. ширм зліва А-2</v>
          </cell>
        </row>
        <row r="607">
          <cell r="B607" t="str">
            <v>7HAH30CT003XQ11</v>
          </cell>
          <cell r="C607">
            <v>0</v>
          </cell>
          <cell r="D607" t="str">
            <v>T кол.1-2 ст. ширм зліва А-3</v>
          </cell>
        </row>
        <row r="608">
          <cell r="B608" t="str">
            <v>7HAH30CT004XQ11</v>
          </cell>
          <cell r="C608">
            <v>0</v>
          </cell>
          <cell r="D608" t="str">
            <v>T кол.1-2 ст. ширм зліва А-4</v>
          </cell>
        </row>
        <row r="609">
          <cell r="B609" t="str">
            <v>7HAH30CT005XQ11</v>
          </cell>
          <cell r="C609">
            <v>0</v>
          </cell>
          <cell r="D609" t="str">
            <v>T кол.1-2 ст. ширм зліва А-5</v>
          </cell>
        </row>
        <row r="610">
          <cell r="B610" t="str">
            <v>7HAH30CT006XQ11</v>
          </cell>
          <cell r="C610">
            <v>0</v>
          </cell>
          <cell r="D610" t="str">
            <v>T кол.1-2 ст. ширм зліва А-6</v>
          </cell>
        </row>
        <row r="611">
          <cell r="B611" t="str">
            <v>7HAH30CT007XQ11</v>
          </cell>
          <cell r="C611">
            <v>0</v>
          </cell>
          <cell r="D611" t="str">
            <v>T кол.1-2 ст. ширм зліва А-7</v>
          </cell>
        </row>
        <row r="612">
          <cell r="B612" t="str">
            <v>7LAE10CT001XQ11</v>
          </cell>
          <cell r="C612">
            <v>0</v>
          </cell>
          <cell r="D612" t="str">
            <v>T мет підвідн водопр 1-го вприску А</v>
          </cell>
        </row>
        <row r="613">
          <cell r="B613" t="str">
            <v>7HAH22CT001XQ11</v>
          </cell>
          <cell r="C613">
            <v>0</v>
          </cell>
          <cell r="D613" t="str">
            <v>T мет.вих.хол.ширм 1ст. зліва Б1</v>
          </cell>
        </row>
        <row r="614">
          <cell r="B614" t="str">
            <v>7HAH22CT002XQ11</v>
          </cell>
          <cell r="C614">
            <v>0</v>
          </cell>
          <cell r="D614" t="str">
            <v>T мет.вих.хол.ширм 1ст. зліва Б2</v>
          </cell>
        </row>
        <row r="615">
          <cell r="B615" t="str">
            <v>7HAH22CT003XQ11</v>
          </cell>
          <cell r="C615">
            <v>0</v>
          </cell>
          <cell r="D615" t="str">
            <v>T мет.вих.хол.ширм 1ст. зліва Б3</v>
          </cell>
        </row>
        <row r="616">
          <cell r="B616" t="str">
            <v>7HAH22CT004XQ11</v>
          </cell>
          <cell r="C616">
            <v>0</v>
          </cell>
          <cell r="D616" t="str">
            <v>T мет.вих.хол.ширм 1ст. зліва Б4</v>
          </cell>
        </row>
        <row r="617">
          <cell r="B617" t="str">
            <v>7HAH22CT005XQ11</v>
          </cell>
          <cell r="C617">
            <v>0</v>
          </cell>
          <cell r="D617" t="str">
            <v>T мет.вих.хол.ширм 1ст. зліва Б5</v>
          </cell>
        </row>
        <row r="618">
          <cell r="B618" t="str">
            <v>7HAH22CT006XQ11</v>
          </cell>
          <cell r="C618">
            <v>0</v>
          </cell>
          <cell r="D618" t="str">
            <v>T мет.вих.хол.ширм 1ст. зліва Б6</v>
          </cell>
        </row>
        <row r="619">
          <cell r="B619" t="str">
            <v>7HAH22CT007XQ11</v>
          </cell>
          <cell r="C619">
            <v>0</v>
          </cell>
          <cell r="D619" t="str">
            <v>T мет.вих.хол.ширм 1ст. зліва Б7</v>
          </cell>
        </row>
        <row r="620">
          <cell r="B620" t="str">
            <v>7HAH22CT008XQ11</v>
          </cell>
          <cell r="C620">
            <v>0</v>
          </cell>
          <cell r="D620" t="str">
            <v>T мет.вих.хол.ширм 1ст. зліва Б8</v>
          </cell>
        </row>
        <row r="621">
          <cell r="B621" t="str">
            <v>7HAH22CT009XQ11</v>
          </cell>
          <cell r="C621">
            <v>0</v>
          </cell>
          <cell r="D621" t="str">
            <v>T мет.вих.хол.ширм 1ст. зліва Б9</v>
          </cell>
        </row>
        <row r="622">
          <cell r="B622" t="str">
            <v>7HAH22CT010XQ11</v>
          </cell>
          <cell r="C622">
            <v>0</v>
          </cell>
          <cell r="D622" t="str">
            <v>T мет.вих.хол.ширм 1ст. зліва Б10</v>
          </cell>
        </row>
        <row r="623">
          <cell r="B623" t="str">
            <v>7HAH22CT011XQ11</v>
          </cell>
          <cell r="C623">
            <v>0</v>
          </cell>
          <cell r="D623" t="str">
            <v>T мет.вих.хол.ширм 1ст. зліва Б11</v>
          </cell>
        </row>
        <row r="624">
          <cell r="B624" t="str">
            <v>7HAH22CT012XQ11</v>
          </cell>
          <cell r="C624">
            <v>0</v>
          </cell>
          <cell r="D624" t="str">
            <v>T мет.вих.хол.ширм 1ст. зліва Б12</v>
          </cell>
        </row>
        <row r="625">
          <cell r="B625" t="str">
            <v>7HAH22CT013XQ11</v>
          </cell>
          <cell r="C625">
            <v>0</v>
          </cell>
          <cell r="D625" t="str">
            <v>T мет.вих.хол.ширм 1ст. зліва Б13</v>
          </cell>
        </row>
        <row r="626">
          <cell r="B626" t="str">
            <v>7HAH22CT014XQ11</v>
          </cell>
          <cell r="C626">
            <v>0</v>
          </cell>
          <cell r="D626" t="str">
            <v>T мет.вих.хол.ширм 1ст. зліва Б14</v>
          </cell>
        </row>
        <row r="627">
          <cell r="B627" t="str">
            <v>7HAH22CT015XQ11</v>
          </cell>
          <cell r="C627">
            <v>0</v>
          </cell>
          <cell r="D627" t="str">
            <v>T мет.вих.хол.ширм 1ст. зліва Б15</v>
          </cell>
        </row>
        <row r="628">
          <cell r="B628" t="str">
            <v>7HAH22CT016XQ11</v>
          </cell>
          <cell r="C628">
            <v>0</v>
          </cell>
          <cell r="D628" t="str">
            <v>T мет.вих.хол.ширм 1ст. зліва Б16</v>
          </cell>
        </row>
        <row r="629">
          <cell r="B629" t="str">
            <v>7HAH22CT017XQ11</v>
          </cell>
          <cell r="C629">
            <v>0</v>
          </cell>
          <cell r="D629" t="str">
            <v>T мет.вих.хол.ширм 1ст. зліва Б17</v>
          </cell>
        </row>
        <row r="630">
          <cell r="B630" t="str">
            <v>7HAH22CT018XQ11</v>
          </cell>
          <cell r="C630">
            <v>0</v>
          </cell>
          <cell r="D630" t="str">
            <v>T мет.вих.хол.ширм 1ст. зліва Б18</v>
          </cell>
        </row>
        <row r="631">
          <cell r="B631" t="str">
            <v>7HAH24CT001XQ11</v>
          </cell>
          <cell r="C631">
            <v>0</v>
          </cell>
          <cell r="D631" t="str">
            <v>T мет.вих.гар.ширм 1ст. зліва Б1</v>
          </cell>
        </row>
        <row r="632">
          <cell r="B632" t="str">
            <v>7HAH24CT002XQ11</v>
          </cell>
          <cell r="C632">
            <v>0</v>
          </cell>
          <cell r="D632" t="str">
            <v>T мет.вих.гар.ширм 1ст. зліва Б2</v>
          </cell>
        </row>
        <row r="633">
          <cell r="B633" t="str">
            <v>7HAH24CT003XQ11</v>
          </cell>
          <cell r="C633">
            <v>0</v>
          </cell>
          <cell r="D633" t="str">
            <v>T мет.вих.гар.ширм 1ст. зліва Б3</v>
          </cell>
        </row>
        <row r="634">
          <cell r="B634" t="str">
            <v>7HAH24CT004XQ11</v>
          </cell>
          <cell r="C634">
            <v>0</v>
          </cell>
          <cell r="D634" t="str">
            <v>T мет.вих.гар.ширм 1ст. зліва Б4</v>
          </cell>
        </row>
        <row r="635">
          <cell r="B635" t="str">
            <v>7HAH24CT005XQ11</v>
          </cell>
          <cell r="C635">
            <v>0</v>
          </cell>
          <cell r="D635" t="str">
            <v>T мет.вих.гар.ширм 1ст. зліва Б5</v>
          </cell>
        </row>
        <row r="636">
          <cell r="B636" t="str">
            <v>7HAH24CT006XQ11</v>
          </cell>
          <cell r="C636">
            <v>0</v>
          </cell>
          <cell r="D636" t="str">
            <v>T мет.вих.гар.ширм 1ст. зліва Б6</v>
          </cell>
        </row>
        <row r="637">
          <cell r="B637" t="str">
            <v>7HAH24CT007XQ11</v>
          </cell>
          <cell r="C637">
            <v>0</v>
          </cell>
          <cell r="D637" t="str">
            <v>T мет.вих.гар.ширм 1ст. зліва Б7</v>
          </cell>
        </row>
        <row r="638">
          <cell r="B638" t="str">
            <v>7HAH24CT008XQ11</v>
          </cell>
          <cell r="C638">
            <v>0</v>
          </cell>
          <cell r="D638" t="str">
            <v>T мет.вих.гар.ширм 1ст. зліва Б8</v>
          </cell>
        </row>
        <row r="639">
          <cell r="B639" t="str">
            <v>7HAH24CT009XQ11</v>
          </cell>
          <cell r="C639">
            <v>0</v>
          </cell>
          <cell r="D639" t="str">
            <v>T мет.вих.гар.ширм 1ст. зліва Б9</v>
          </cell>
        </row>
        <row r="640">
          <cell r="B640" t="str">
            <v>7HAH24CT010XQ11</v>
          </cell>
          <cell r="C640">
            <v>0</v>
          </cell>
          <cell r="D640" t="str">
            <v>T мет.вих.гар.ширм 1ст. зліва Б10</v>
          </cell>
        </row>
        <row r="641">
          <cell r="B641" t="str">
            <v>7HAH24CT011XQ11</v>
          </cell>
          <cell r="C641">
            <v>0</v>
          </cell>
          <cell r="D641" t="str">
            <v>T мет.вих.гар.ширм 1ст. зліва Б11</v>
          </cell>
        </row>
        <row r="642">
          <cell r="B642" t="str">
            <v>7HAH24CT012XQ11</v>
          </cell>
          <cell r="C642">
            <v>0</v>
          </cell>
          <cell r="D642" t="str">
            <v>T мет.вих.гар.ширм 1ст. зліва Б12</v>
          </cell>
        </row>
        <row r="643">
          <cell r="B643" t="str">
            <v>7HAH24CT013XQ11</v>
          </cell>
          <cell r="C643">
            <v>0</v>
          </cell>
          <cell r="D643" t="str">
            <v>T мет.вих.гар.ширм 1ст. зліва Б13</v>
          </cell>
        </row>
        <row r="644">
          <cell r="B644" t="str">
            <v>7HAH24CT014XQ11</v>
          </cell>
          <cell r="C644">
            <v>0</v>
          </cell>
          <cell r="D644" t="str">
            <v>T мет.вих.гар.ширм 1ст. зліва Б14</v>
          </cell>
        </row>
        <row r="645">
          <cell r="B645" t="str">
            <v>7HAH32CT001XQ11</v>
          </cell>
          <cell r="C645">
            <v>0</v>
          </cell>
          <cell r="D645" t="str">
            <v>T мет.вих.хол.ширм 2ст. зліва Б1</v>
          </cell>
        </row>
        <row r="646">
          <cell r="B646" t="str">
            <v>7HAH32CT002XQ11</v>
          </cell>
          <cell r="C646">
            <v>0</v>
          </cell>
          <cell r="D646" t="str">
            <v>T мет.вих.хол.ширм 2ст. зліва Б2</v>
          </cell>
        </row>
        <row r="647">
          <cell r="B647" t="str">
            <v>7HAH32CT003XQ11</v>
          </cell>
          <cell r="C647">
            <v>0</v>
          </cell>
          <cell r="D647" t="str">
            <v>T мет.вих.хол.ширм 2ст. зліва Б3</v>
          </cell>
        </row>
        <row r="648">
          <cell r="B648" t="str">
            <v>7HAH32CT004XQ11</v>
          </cell>
          <cell r="C648">
            <v>0</v>
          </cell>
          <cell r="D648" t="str">
            <v>T мет.вих.хол.ширм 2ст. зліва Б4</v>
          </cell>
        </row>
        <row r="649">
          <cell r="B649" t="str">
            <v>7HAH32CT005XQ11</v>
          </cell>
          <cell r="C649">
            <v>0</v>
          </cell>
          <cell r="D649" t="str">
            <v>T мет.вих.хол.ширм 2ст. зліва Б5</v>
          </cell>
        </row>
        <row r="650">
          <cell r="B650" t="str">
            <v>7HAH32CT006XQ11</v>
          </cell>
          <cell r="C650">
            <v>0</v>
          </cell>
          <cell r="D650" t="str">
            <v>T мет.вих.хол.ширм 2ст. зліва Б6</v>
          </cell>
        </row>
        <row r="651">
          <cell r="B651" t="str">
            <v>7HAH32CT007XQ11</v>
          </cell>
          <cell r="C651">
            <v>0</v>
          </cell>
          <cell r="D651" t="str">
            <v>T мет.вих.хол.ширм 2ст. зліва Б7</v>
          </cell>
        </row>
        <row r="652">
          <cell r="B652" t="str">
            <v>7HAH32CT008XQ11</v>
          </cell>
          <cell r="C652">
            <v>0</v>
          </cell>
          <cell r="D652" t="str">
            <v>T мет.вих.хол.ширм 2ст. зліва Б8</v>
          </cell>
        </row>
        <row r="653">
          <cell r="B653" t="str">
            <v>7HAH32CT009XQ11</v>
          </cell>
          <cell r="C653">
            <v>0</v>
          </cell>
          <cell r="D653" t="str">
            <v>T мет.вих.хол.ширм 2ст. зліва Б9</v>
          </cell>
        </row>
        <row r="654">
          <cell r="B654" t="str">
            <v>7HAH32CT010XQ11</v>
          </cell>
          <cell r="C654">
            <v>0</v>
          </cell>
          <cell r="D654" t="str">
            <v>T мет.вих.хол.ширм 2ст. зліва Б10</v>
          </cell>
        </row>
        <row r="655">
          <cell r="B655" t="str">
            <v>7HAH32CT011XQ11</v>
          </cell>
          <cell r="C655">
            <v>0</v>
          </cell>
          <cell r="D655" t="str">
            <v>T мет.вих.хол.ширм 2ст. зліва Б11</v>
          </cell>
        </row>
        <row r="656">
          <cell r="B656" t="str">
            <v>7HAH32CT012XQ11</v>
          </cell>
          <cell r="C656">
            <v>0</v>
          </cell>
          <cell r="D656" t="str">
            <v>T мет.вих.хол.ширм 2ст. зліва Б12</v>
          </cell>
        </row>
        <row r="657">
          <cell r="B657" t="str">
            <v>7HAH32CT013XQ11</v>
          </cell>
          <cell r="C657">
            <v>0</v>
          </cell>
          <cell r="D657" t="str">
            <v>T мет.вих.хол.ширм 2ст. зліва Б13</v>
          </cell>
        </row>
        <row r="658">
          <cell r="B658" t="str">
            <v>7HAH32CT014XQ11</v>
          </cell>
          <cell r="C658">
            <v>0</v>
          </cell>
          <cell r="D658" t="str">
            <v>T мет.вих.хол.ширм 2ст. зліва Б14</v>
          </cell>
        </row>
        <row r="659">
          <cell r="B659" t="str">
            <v>7HAH34CT001XQ11</v>
          </cell>
          <cell r="C659">
            <v>0</v>
          </cell>
          <cell r="D659" t="str">
            <v>T мет.вих.гар.ширм 2ст. зліва Б1</v>
          </cell>
        </row>
        <row r="660">
          <cell r="B660" t="str">
            <v>7HAH34CT002XQ11</v>
          </cell>
          <cell r="C660">
            <v>0</v>
          </cell>
          <cell r="D660" t="str">
            <v>T мет.вих.гар.ширм 2ст. зліва Б2</v>
          </cell>
        </row>
        <row r="661">
          <cell r="B661" t="str">
            <v>7HAH34CT003XQ11</v>
          </cell>
          <cell r="C661">
            <v>0</v>
          </cell>
          <cell r="D661" t="str">
            <v>T мет.вих.гар.ширм 2ст. зліва Б3</v>
          </cell>
        </row>
        <row r="662">
          <cell r="B662" t="str">
            <v>7HAH34CT004XQ11</v>
          </cell>
          <cell r="C662">
            <v>0</v>
          </cell>
          <cell r="D662" t="str">
            <v>T мет.вих.гар.ширм 2ст. зліва Б4</v>
          </cell>
        </row>
        <row r="663">
          <cell r="B663" t="str">
            <v>7HAH34CT005XQ11</v>
          </cell>
          <cell r="C663">
            <v>0</v>
          </cell>
          <cell r="D663" t="str">
            <v>T мет.вих.гар.ширм 2ст. зліва Б5</v>
          </cell>
        </row>
        <row r="664">
          <cell r="B664" t="str">
            <v>7HAH34CT006XQ11</v>
          </cell>
          <cell r="C664">
            <v>0</v>
          </cell>
          <cell r="D664" t="str">
            <v>T мет.вих.гар.ширм 2ст. зліва Б6</v>
          </cell>
        </row>
        <row r="665">
          <cell r="B665" t="str">
            <v>7HAH34CT007XQ11</v>
          </cell>
          <cell r="C665">
            <v>0</v>
          </cell>
          <cell r="D665" t="str">
            <v>T мет.вих.гар.ширм 2ст. зліва Б7</v>
          </cell>
        </row>
        <row r="666">
          <cell r="B666" t="str">
            <v>7HAH34CT008XQ11</v>
          </cell>
          <cell r="C666">
            <v>0</v>
          </cell>
          <cell r="D666" t="str">
            <v>T мет.вих.гар.ширм 2ст. зліва Б8</v>
          </cell>
        </row>
        <row r="667">
          <cell r="B667" t="str">
            <v>7HAH34CT009XQ11</v>
          </cell>
          <cell r="C667">
            <v>0</v>
          </cell>
          <cell r="D667" t="str">
            <v>T мет.вих.гар.ширм 2ст. зліва Б9</v>
          </cell>
        </row>
        <row r="668">
          <cell r="B668" t="str">
            <v>7HAH34CT010XQ11</v>
          </cell>
          <cell r="C668">
            <v>0</v>
          </cell>
          <cell r="D668" t="str">
            <v>T мет.вих.гар.ширм 2ст. зліва Б10</v>
          </cell>
        </row>
        <row r="669">
          <cell r="B669" t="str">
            <v>7HAH34CT011XQ11</v>
          </cell>
          <cell r="C669">
            <v>0</v>
          </cell>
          <cell r="D669" t="str">
            <v>T мет.вих.гар.ширм 2ст. зліва Б11</v>
          </cell>
        </row>
        <row r="670">
          <cell r="B670" t="str">
            <v>7HAH34CT012XQ11</v>
          </cell>
          <cell r="C670">
            <v>0</v>
          </cell>
          <cell r="D670" t="str">
            <v>T мет.вих.гар.ширм 2ст. зліва Б12</v>
          </cell>
        </row>
        <row r="671">
          <cell r="B671" t="str">
            <v>7HAH34CT013XQ11</v>
          </cell>
          <cell r="C671">
            <v>0</v>
          </cell>
          <cell r="D671" t="str">
            <v>T мет.вих.гар.ширм 2ст. зліва Б13</v>
          </cell>
        </row>
        <row r="672">
          <cell r="B672" t="str">
            <v>7HAH34CT014XQ11</v>
          </cell>
          <cell r="C672">
            <v>0</v>
          </cell>
          <cell r="D672" t="str">
            <v>T мет.вих.гар.ширм 2ст. зліва Б14</v>
          </cell>
        </row>
        <row r="673">
          <cell r="B673" t="str">
            <v>7HAH34CT015XQ11</v>
          </cell>
          <cell r="C673">
            <v>0</v>
          </cell>
          <cell r="D673" t="str">
            <v>T мет.вих.гар.ширм 2ст. зліва Б15</v>
          </cell>
        </row>
        <row r="674">
          <cell r="B674" t="str">
            <v>7HAH34CT016XQ11</v>
          </cell>
          <cell r="C674">
            <v>0</v>
          </cell>
          <cell r="D674" t="str">
            <v>T мет.вих.гар.ширм 2ст. зліва Б16</v>
          </cell>
        </row>
        <row r="675">
          <cell r="B675" t="str">
            <v>7HAH34CT017XQ11</v>
          </cell>
          <cell r="C675">
            <v>0</v>
          </cell>
          <cell r="D675" t="str">
            <v>T мет.вих.гар.ширм 2ст. зліва Б17</v>
          </cell>
        </row>
        <row r="676">
          <cell r="B676" t="str">
            <v>7HAH34CT018XQ11</v>
          </cell>
          <cell r="C676">
            <v>0</v>
          </cell>
          <cell r="D676" t="str">
            <v>T мет.вих.гар.ширм 2ст. зліва Б18</v>
          </cell>
        </row>
        <row r="677">
          <cell r="B677" t="str">
            <v>7HAK10CT011XQ11</v>
          </cell>
          <cell r="C677">
            <v>0</v>
          </cell>
          <cell r="D677" t="str">
            <v xml:space="preserve">T металу до ав впр Н-А (верх) </v>
          </cell>
        </row>
        <row r="678">
          <cell r="B678" t="str">
            <v>7HAK10CT012XQ11</v>
          </cell>
          <cell r="C678">
            <v>0</v>
          </cell>
          <cell r="D678" t="str">
            <v>T металу до ав впр Н-А (низ)</v>
          </cell>
        </row>
        <row r="679">
          <cell r="B679" t="str">
            <v>7HAK10CT013XQ11</v>
          </cell>
          <cell r="C679">
            <v>0</v>
          </cell>
          <cell r="D679" t="str">
            <v>T металу після ав впр Н-А (верх)</v>
          </cell>
        </row>
        <row r="680">
          <cell r="B680" t="str">
            <v>7HAK10CT014XQ11</v>
          </cell>
          <cell r="C680">
            <v>0</v>
          </cell>
          <cell r="D680" t="str">
            <v>T металу після ав впр Н-А (низ)</v>
          </cell>
        </row>
        <row r="681">
          <cell r="B681" t="str">
            <v>7HAK20CT011XQ11</v>
          </cell>
          <cell r="C681">
            <v>0</v>
          </cell>
          <cell r="D681" t="str">
            <v xml:space="preserve">T металу до ав впр Н-Б (верх) </v>
          </cell>
        </row>
        <row r="682">
          <cell r="B682" t="str">
            <v>7HAK20CT012XQ11</v>
          </cell>
          <cell r="C682">
            <v>0</v>
          </cell>
          <cell r="D682" t="str">
            <v>T металу до ав впр Н-Б (низ)</v>
          </cell>
        </row>
        <row r="683">
          <cell r="B683" t="str">
            <v>7HAK20CT013XQ11</v>
          </cell>
          <cell r="C683">
            <v>0</v>
          </cell>
          <cell r="D683" t="str">
            <v>T металу після ав впр Н-Б (верх)</v>
          </cell>
        </row>
        <row r="684">
          <cell r="B684" t="str">
            <v>7HAK20CT014XQ11</v>
          </cell>
          <cell r="C684">
            <v>0</v>
          </cell>
          <cell r="D684" t="str">
            <v>T металу після ав впр Н-Б (низ)</v>
          </cell>
        </row>
        <row r="685">
          <cell r="B685" t="str">
            <v>7LBA20CT013XQ11</v>
          </cell>
          <cell r="C685">
            <v>0</v>
          </cell>
          <cell r="D685" t="str">
            <v>T металу до 1-го вприску (верх)</v>
          </cell>
        </row>
        <row r="686">
          <cell r="B686" t="str">
            <v>7LBA20CT014XQ11</v>
          </cell>
          <cell r="C686">
            <v>0</v>
          </cell>
          <cell r="D686" t="str">
            <v>T металу до 1-го вприску (низ)</v>
          </cell>
        </row>
        <row r="687">
          <cell r="B687" t="str">
            <v>7LBA20CT015XQ11</v>
          </cell>
          <cell r="C687">
            <v>0</v>
          </cell>
          <cell r="D687" t="str">
            <v>T металу після  1-го вприску (верх)</v>
          </cell>
        </row>
        <row r="688">
          <cell r="B688" t="str">
            <v>7LBA20CT016XQ11</v>
          </cell>
          <cell r="C688">
            <v>0</v>
          </cell>
          <cell r="D688" t="str">
            <v>T металу після  1-го вприску (низ)</v>
          </cell>
        </row>
        <row r="689">
          <cell r="B689" t="str">
            <v>7LBA20CT017XQ11</v>
          </cell>
          <cell r="C689">
            <v>0</v>
          </cell>
          <cell r="D689" t="str">
            <v>T металу до 2-го вприску (верх)</v>
          </cell>
        </row>
        <row r="690">
          <cell r="B690" t="str">
            <v>7LBA20CT018XQ11</v>
          </cell>
          <cell r="C690">
            <v>0</v>
          </cell>
          <cell r="D690" t="str">
            <v>T металу до 2-го вприску (низ)</v>
          </cell>
        </row>
        <row r="691">
          <cell r="B691" t="str">
            <v>7LBA20CT019XQ11</v>
          </cell>
          <cell r="C691">
            <v>0</v>
          </cell>
          <cell r="D691" t="str">
            <v>T металу після 2-го вприску (верх)</v>
          </cell>
        </row>
        <row r="692">
          <cell r="B692" t="str">
            <v>7LBA20CT020XQ11</v>
          </cell>
          <cell r="C692">
            <v>0</v>
          </cell>
          <cell r="D692" t="str">
            <v>T металу після 2-го вприску (низ)</v>
          </cell>
        </row>
        <row r="693">
          <cell r="B693" t="str">
            <v>7LAE20CT001XQ11</v>
          </cell>
          <cell r="C693">
            <v>0</v>
          </cell>
          <cell r="D693" t="str">
            <v>T мет підвідн водопр 1-го вприску Б</v>
          </cell>
        </row>
        <row r="694">
          <cell r="B694" t="str">
            <v>7LAE20CT002XQ11</v>
          </cell>
          <cell r="C694">
            <v>0</v>
          </cell>
          <cell r="D694" t="str">
            <v>T мет підвід. водопр. 2 впр.н Б</v>
          </cell>
        </row>
        <row r="695">
          <cell r="B695" t="str">
            <v>7HAH22CT020XQ11</v>
          </cell>
          <cell r="C695">
            <v>0</v>
          </cell>
          <cell r="D695" t="str">
            <v>T пари на виході з поворотних камер Б</v>
          </cell>
        </row>
        <row r="696">
          <cell r="B696" t="str">
            <v>7HBB10CT017XQ11</v>
          </cell>
          <cell r="C696">
            <v>0</v>
          </cell>
          <cell r="D696" t="str">
            <v>T тіла барабану Б-5</v>
          </cell>
        </row>
        <row r="697">
          <cell r="B697" t="str">
            <v>7HBB10CT018XQ11</v>
          </cell>
          <cell r="C697">
            <v>0</v>
          </cell>
          <cell r="D697" t="str">
            <v>T тіла барабану Б-6</v>
          </cell>
        </row>
        <row r="698">
          <cell r="B698" t="str">
            <v>7HBB10CT019XQ11</v>
          </cell>
          <cell r="C698">
            <v>0</v>
          </cell>
          <cell r="D698" t="str">
            <v>T тіла барабану Б-7</v>
          </cell>
        </row>
        <row r="699">
          <cell r="B699" t="str">
            <v>7HBB10CT020XQ11</v>
          </cell>
          <cell r="C699">
            <v>0</v>
          </cell>
          <cell r="D699" t="str">
            <v>T тіла барабану Б-8</v>
          </cell>
        </row>
        <row r="700">
          <cell r="B700" t="str">
            <v>7HBB10CT021XQ11</v>
          </cell>
          <cell r="C700">
            <v>0</v>
          </cell>
          <cell r="D700" t="str">
            <v>T тіла барабану Б-9</v>
          </cell>
        </row>
        <row r="701">
          <cell r="B701" t="str">
            <v>7HBB10CT022XQ11</v>
          </cell>
          <cell r="C701">
            <v>0</v>
          </cell>
          <cell r="D701" t="str">
            <v>T тіла барабану Б-10</v>
          </cell>
        </row>
        <row r="702">
          <cell r="B702" t="str">
            <v>7HBB10CT023XQ11</v>
          </cell>
          <cell r="C702">
            <v>0</v>
          </cell>
          <cell r="D702" t="str">
            <v>T тіла барабану Б-11</v>
          </cell>
        </row>
        <row r="703">
          <cell r="B703" t="str">
            <v>7HBB10CT024XQ11</v>
          </cell>
          <cell r="C703">
            <v>0</v>
          </cell>
          <cell r="D703" t="str">
            <v>T тіла барабану Б-12</v>
          </cell>
        </row>
        <row r="704">
          <cell r="B704" t="str">
            <v>7HBB10CT009XQ11</v>
          </cell>
          <cell r="C704">
            <v>0</v>
          </cell>
          <cell r="D704" t="str">
            <v>T тіла барабану А-9</v>
          </cell>
        </row>
        <row r="705">
          <cell r="B705" t="str">
            <v>7HBB10CT010XQ11</v>
          </cell>
          <cell r="C705">
            <v>0</v>
          </cell>
          <cell r="D705" t="str">
            <v>T тіла барабану А-10</v>
          </cell>
        </row>
        <row r="706">
          <cell r="B706" t="str">
            <v>7HBB10CT011XQ11</v>
          </cell>
          <cell r="C706">
            <v>0</v>
          </cell>
          <cell r="D706" t="str">
            <v>T тіла барабану А-11</v>
          </cell>
        </row>
        <row r="707">
          <cell r="B707" t="str">
            <v>7HBB10CT012XQ11</v>
          </cell>
          <cell r="C707">
            <v>0</v>
          </cell>
          <cell r="D707" t="str">
            <v>T тіла барабану А-12</v>
          </cell>
        </row>
        <row r="708">
          <cell r="B708" t="str">
            <v>7HBB10CT013XQ11</v>
          </cell>
          <cell r="C708">
            <v>0</v>
          </cell>
          <cell r="D708" t="str">
            <v>T тіла барабану Б-1</v>
          </cell>
        </row>
        <row r="709">
          <cell r="B709" t="str">
            <v>7HBB10CT014XQ11</v>
          </cell>
          <cell r="C709">
            <v>0</v>
          </cell>
          <cell r="D709" t="str">
            <v>T тіла барабану Б-2</v>
          </cell>
        </row>
        <row r="710">
          <cell r="B710" t="str">
            <v>7HBB10CT015XQ11</v>
          </cell>
          <cell r="C710">
            <v>0</v>
          </cell>
          <cell r="D710" t="str">
            <v>T тіла барабану Б-3</v>
          </cell>
        </row>
        <row r="711">
          <cell r="B711" t="str">
            <v>7HBB10CT016XQ11</v>
          </cell>
          <cell r="C711">
            <v>0</v>
          </cell>
          <cell r="D711" t="str">
            <v>T тіла барабану Б-4</v>
          </cell>
        </row>
        <row r="712">
          <cell r="B712" t="str">
            <v>7HBB10CT001XQ11</v>
          </cell>
          <cell r="C712">
            <v>0</v>
          </cell>
          <cell r="D712" t="str">
            <v>T тіла барабану А-1</v>
          </cell>
        </row>
        <row r="713">
          <cell r="B713" t="str">
            <v>7HBB10CT002XQ11</v>
          </cell>
          <cell r="C713">
            <v>0</v>
          </cell>
          <cell r="D713" t="str">
            <v>T тіла барабану А-2</v>
          </cell>
        </row>
        <row r="714">
          <cell r="B714" t="str">
            <v>7HBB10CT003XQ11</v>
          </cell>
          <cell r="C714">
            <v>0</v>
          </cell>
          <cell r="D714" t="str">
            <v>T тіла барабану А-3</v>
          </cell>
        </row>
        <row r="715">
          <cell r="B715" t="str">
            <v>7HBB10CT004XQ11</v>
          </cell>
          <cell r="C715">
            <v>0</v>
          </cell>
          <cell r="D715" t="str">
            <v>T тіла барабану А-4</v>
          </cell>
        </row>
        <row r="716">
          <cell r="B716" t="str">
            <v>7HBB10CT005XQ11</v>
          </cell>
          <cell r="C716">
            <v>0</v>
          </cell>
          <cell r="D716" t="str">
            <v>T тіла барабану А-5</v>
          </cell>
        </row>
        <row r="717">
          <cell r="B717" t="str">
            <v>7HBB10CT006XQ11</v>
          </cell>
          <cell r="C717">
            <v>0</v>
          </cell>
          <cell r="D717" t="str">
            <v>T тіла барабану А-6</v>
          </cell>
        </row>
        <row r="718">
          <cell r="B718" t="str">
            <v>7HBB10CT007XQ11</v>
          </cell>
          <cell r="C718">
            <v>0</v>
          </cell>
          <cell r="D718" t="str">
            <v>T тіла барабану А-7</v>
          </cell>
        </row>
        <row r="719">
          <cell r="B719" t="str">
            <v>7HBB10CT008XQ11</v>
          </cell>
          <cell r="C719">
            <v>0</v>
          </cell>
          <cell r="D719" t="str">
            <v>T тіла барабану А-8</v>
          </cell>
        </row>
        <row r="720">
          <cell r="B720" t="str">
            <v>7HAH30CT008XQ11</v>
          </cell>
          <cell r="C720">
            <v>0</v>
          </cell>
          <cell r="D720" t="str">
            <v>T кол.1-2 ст. ширм справа Б-1</v>
          </cell>
        </row>
        <row r="721">
          <cell r="B721" t="str">
            <v>7HAH30CT009XQ11</v>
          </cell>
          <cell r="C721">
            <v>0</v>
          </cell>
          <cell r="D721" t="str">
            <v>T кол.1-2 ст. ширм справа Б-2</v>
          </cell>
        </row>
        <row r="722">
          <cell r="B722" t="str">
            <v>7HAH30CT010XQ11</v>
          </cell>
          <cell r="C722">
            <v>0</v>
          </cell>
          <cell r="D722" t="str">
            <v>T кол.1-2 ст. ширм справа Б-3</v>
          </cell>
        </row>
        <row r="723">
          <cell r="B723" t="str">
            <v>7HAH30CT011XQ11</v>
          </cell>
          <cell r="C723">
            <v>0</v>
          </cell>
          <cell r="D723" t="str">
            <v>T кол.1-2 ст. ширм справа Б-4</v>
          </cell>
        </row>
        <row r="724">
          <cell r="B724" t="str">
            <v>7HAH30CT012XQ11</v>
          </cell>
          <cell r="C724">
            <v>0</v>
          </cell>
          <cell r="D724" t="str">
            <v>T кол.1-2 ст. ширм справа Б-5</v>
          </cell>
        </row>
        <row r="725">
          <cell r="B725" t="str">
            <v>7HAH30CT013XQ11</v>
          </cell>
          <cell r="C725">
            <v>0</v>
          </cell>
          <cell r="D725" t="str">
            <v>T кол.1-2 ст. ширм справа Б-6</v>
          </cell>
        </row>
        <row r="726">
          <cell r="B726" t="str">
            <v>7HAH30CT014XQ11</v>
          </cell>
          <cell r="C726">
            <v>0</v>
          </cell>
          <cell r="D726" t="str">
            <v>T кол.1-2 ст. ширм справа Б-7</v>
          </cell>
        </row>
        <row r="727">
          <cell r="B727" t="str">
            <v>7MAG10CP001XQ01</v>
          </cell>
          <cell r="C727">
            <v>0</v>
          </cell>
          <cell r="D727" t="str">
            <v>Вакуум в конд-рі д 1</v>
          </cell>
        </row>
        <row r="728">
          <cell r="B728" t="str">
            <v>7MAV10CP001XQ01</v>
          </cell>
          <cell r="C728">
            <v>0</v>
          </cell>
          <cell r="D728" t="str">
            <v>P оливи змащування підш турб д 1</v>
          </cell>
        </row>
        <row r="729">
          <cell r="B729" t="str">
            <v>7LAA10CL001XQ01</v>
          </cell>
          <cell r="C729">
            <v>0</v>
          </cell>
          <cell r="D729" t="str">
            <v>L в ДВТ д 1</v>
          </cell>
        </row>
        <row r="730">
          <cell r="B730" t="str">
            <v>7MKF10CF001XQ01</v>
          </cell>
          <cell r="C730">
            <v>0</v>
          </cell>
          <cell r="D730" t="str">
            <v>F дист охолодж ген-ра д 1</v>
          </cell>
        </row>
        <row r="731">
          <cell r="B731" t="str">
            <v>7MAD10CY001XQ01</v>
          </cell>
          <cell r="C731">
            <v>0</v>
          </cell>
          <cell r="D731" t="str">
            <v>Осьовий зсув д 1</v>
          </cell>
        </row>
        <row r="732">
          <cell r="B732" t="str">
            <v>7MKW16CP001XQ01</v>
          </cell>
          <cell r="C732">
            <v>0</v>
          </cell>
          <cell r="D732" t="str">
            <v>P оливи АВР АМП д 1</v>
          </cell>
        </row>
        <row r="733">
          <cell r="B733" t="str">
            <v>7LBQ80CP001XQ01</v>
          </cell>
          <cell r="C733">
            <v>0</v>
          </cell>
          <cell r="D733" t="str">
            <v>P пари в ПВТ-8</v>
          </cell>
        </row>
        <row r="734">
          <cell r="B734" t="str">
            <v>7LAD60CL002XQ01</v>
          </cell>
          <cell r="C734">
            <v>0</v>
          </cell>
          <cell r="D734" t="str">
            <v>L в ПВТ-6 д 2</v>
          </cell>
        </row>
        <row r="735">
          <cell r="B735" t="str">
            <v>7LAD70CL002XQ01</v>
          </cell>
          <cell r="C735">
            <v>0</v>
          </cell>
          <cell r="D735" t="str">
            <v>L в ПВТ-7 д 2</v>
          </cell>
        </row>
        <row r="736">
          <cell r="B736" t="str">
            <v>7LAD80CL002XQ01</v>
          </cell>
          <cell r="C736">
            <v>0</v>
          </cell>
          <cell r="D736" t="str">
            <v>L в ПВТ-8 д 2</v>
          </cell>
        </row>
        <row r="737">
          <cell r="B737" t="str">
            <v>7MKW22CP002XQ01</v>
          </cell>
          <cell r="C737">
            <v>0</v>
          </cell>
          <cell r="D737" t="str">
            <v>DP олива-водень стор турбіни</v>
          </cell>
        </row>
        <row r="738">
          <cell r="B738" t="str">
            <v>7LBC10CP001XQ01</v>
          </cell>
          <cell r="C738">
            <v>0</v>
          </cell>
          <cell r="D738" t="str">
            <v>P пари скиду в ХПП</v>
          </cell>
        </row>
        <row r="739">
          <cell r="B739" t="str">
            <v>7LAB10CP001XQ01</v>
          </cell>
          <cell r="C739">
            <v>0</v>
          </cell>
          <cell r="D739" t="str">
            <v>P води після ЖЕН</v>
          </cell>
        </row>
        <row r="740">
          <cell r="B740" t="str">
            <v>7LBQ70CP001XQ01</v>
          </cell>
          <cell r="C740">
            <v>0</v>
          </cell>
          <cell r="D740" t="str">
            <v>P пари в ПВТ-7</v>
          </cell>
        </row>
        <row r="741">
          <cell r="B741" t="str">
            <v>7LAA10CP001XQ01</v>
          </cell>
          <cell r="C741">
            <v>0</v>
          </cell>
          <cell r="D741" t="str">
            <v>P в ДВТ д 1</v>
          </cell>
        </row>
        <row r="742">
          <cell r="B742" t="str">
            <v>7LAV12CP001XQ01</v>
          </cell>
          <cell r="C742">
            <v>0</v>
          </cell>
          <cell r="D742" t="str">
            <v>P оливи робочого м/н ЖЕН-7Б</v>
          </cell>
        </row>
        <row r="743">
          <cell r="B743" t="str">
            <v>7LAV11CP002XQ01</v>
          </cell>
          <cell r="C743">
            <v>0</v>
          </cell>
          <cell r="D743" t="str">
            <v>P оливи в кінц масл лін ЖЕН-7А</v>
          </cell>
        </row>
        <row r="744">
          <cell r="B744" t="str">
            <v>7LAC11CP002XQ01</v>
          </cell>
          <cell r="C744">
            <v>0</v>
          </cell>
          <cell r="D744" t="str">
            <v>P жив води ЖЕН-7А захист</v>
          </cell>
        </row>
        <row r="745">
          <cell r="B745" t="str">
            <v>7LAC12CP002XQ01</v>
          </cell>
          <cell r="C745">
            <v>0</v>
          </cell>
          <cell r="D745" t="str">
            <v>P жив води ЖЕН-7Б захист</v>
          </cell>
        </row>
        <row r="746">
          <cell r="B746" t="str">
            <v>7LAC11CP001XQ01</v>
          </cell>
          <cell r="C746">
            <v>0</v>
          </cell>
          <cell r="D746" t="str">
            <v>P в розв камері ЖЕН-7А</v>
          </cell>
        </row>
        <row r="747">
          <cell r="B747" t="str">
            <v>7LAC11CF001XQ01</v>
          </cell>
          <cell r="C747">
            <v>0</v>
          </cell>
          <cell r="D747" t="str">
            <v>F води через ЖЕН-7А</v>
          </cell>
        </row>
        <row r="748">
          <cell r="B748" t="str">
            <v>7MKA10CE001XQ01</v>
          </cell>
          <cell r="C748">
            <v>0</v>
          </cell>
          <cell r="D748" t="str">
            <v>Активна потужність блоку</v>
          </cell>
        </row>
        <row r="749">
          <cell r="B749" t="str">
            <v>7LAA10CP002XQ01</v>
          </cell>
          <cell r="C749">
            <v>0</v>
          </cell>
          <cell r="D749" t="str">
            <v>P в ДВТ д 2</v>
          </cell>
        </row>
        <row r="750">
          <cell r="B750" t="str">
            <v>7MKW16CP004XQ01</v>
          </cell>
          <cell r="C750">
            <v>0</v>
          </cell>
          <cell r="D750" t="str">
            <v>P оливи після регул тиску</v>
          </cell>
        </row>
        <row r="751">
          <cell r="B751" t="str">
            <v>7MKW22CP001XQ01</v>
          </cell>
          <cell r="C751">
            <v>0</v>
          </cell>
          <cell r="D751" t="str">
            <v>P оливи на ущ стор турб</v>
          </cell>
        </row>
        <row r="752">
          <cell r="B752" t="str">
            <v>7MKW23CP001XQ01</v>
          </cell>
          <cell r="C752">
            <v>0</v>
          </cell>
          <cell r="D752" t="str">
            <v>P оливи на ущ стор збудн</v>
          </cell>
        </row>
        <row r="753">
          <cell r="B753" t="str">
            <v>7MKW10CP001XQ01</v>
          </cell>
          <cell r="C753">
            <v>0</v>
          </cell>
          <cell r="D753" t="str">
            <v>DP на фільтрах</v>
          </cell>
        </row>
        <row r="754">
          <cell r="B754" t="str">
            <v>7LBA30CG101XQ01</v>
          </cell>
          <cell r="C754">
            <v>0</v>
          </cell>
          <cell r="D754" t="str">
            <v>ДП З-ка скид гостр пари в конд-р 1</v>
          </cell>
        </row>
        <row r="755">
          <cell r="B755" t="str">
            <v>7LBA40CG101XQ01</v>
          </cell>
          <cell r="C755">
            <v>0</v>
          </cell>
          <cell r="D755" t="str">
            <v>ДП З-ка скид гостр пари в конд-р 2</v>
          </cell>
        </row>
        <row r="756">
          <cell r="B756" t="str">
            <v>7LBA50CG101XQ01</v>
          </cell>
          <cell r="C756">
            <v>0</v>
          </cell>
          <cell r="D756" t="str">
            <v>ДП З-ка скид гостр пари в ХПП 1</v>
          </cell>
        </row>
        <row r="757">
          <cell r="B757" t="str">
            <v>7LBA60CG101XQ01</v>
          </cell>
          <cell r="C757">
            <v>0</v>
          </cell>
          <cell r="D757" t="str">
            <v>ДП З-ка скид гостр пари в ХПП 2</v>
          </cell>
        </row>
        <row r="758">
          <cell r="B758" t="str">
            <v>7LBA10CT009XQ11</v>
          </cell>
          <cell r="C758">
            <v>0</v>
          </cell>
          <cell r="D758" t="str">
            <v>T гостр пари до ГПЗ н А</v>
          </cell>
        </row>
        <row r="759">
          <cell r="B759" t="str">
            <v>7LBA10CT010XQ11</v>
          </cell>
          <cell r="C759">
            <v>0</v>
          </cell>
          <cell r="D759" t="str">
            <v>T гостр пари за ГПЗ н А</v>
          </cell>
        </row>
        <row r="760">
          <cell r="B760" t="str">
            <v>7LBA10CT008XQ11</v>
          </cell>
          <cell r="C760">
            <v>0</v>
          </cell>
          <cell r="D760" t="str">
            <v>T гостр пари до ГПЗ н А</v>
          </cell>
        </row>
        <row r="761">
          <cell r="B761" t="str">
            <v>7LBA20CT008XQ11</v>
          </cell>
          <cell r="C761">
            <v>0</v>
          </cell>
          <cell r="D761" t="str">
            <v>T гостр пари до ГПЗ н Б</v>
          </cell>
        </row>
        <row r="762">
          <cell r="B762" t="str">
            <v>7LBC10CT001XQ11</v>
          </cell>
          <cell r="C762">
            <v>0</v>
          </cell>
          <cell r="D762" t="str">
            <v>T пари в ХПП стор А</v>
          </cell>
        </row>
        <row r="763">
          <cell r="B763" t="str">
            <v>7LBC20CT001XQ11</v>
          </cell>
          <cell r="C763">
            <v>0</v>
          </cell>
          <cell r="D763" t="str">
            <v>T пари в ХПП стор Б</v>
          </cell>
        </row>
        <row r="764">
          <cell r="B764" t="str">
            <v>7D004P1B1L5XQ21</v>
          </cell>
          <cell r="C764">
            <v>0</v>
          </cell>
          <cell r="D764" t="str">
            <v>T модуля 1-1-5 7CRA40</v>
          </cell>
        </row>
        <row r="765">
          <cell r="B765" t="str">
            <v>7LBW10CT001XQ11</v>
          </cell>
          <cell r="C765">
            <v>0</v>
          </cell>
          <cell r="D765" t="str">
            <v>T пара в кол-рі ущ-ня</v>
          </cell>
        </row>
        <row r="766">
          <cell r="B766" t="str">
            <v>7MAG10CT002XQ11</v>
          </cell>
          <cell r="C766">
            <v>0</v>
          </cell>
          <cell r="D766" t="str">
            <v>T пари ГПП скид в кон-р ст А</v>
          </cell>
        </row>
        <row r="767">
          <cell r="B767" t="str">
            <v>7LAB10CT001XQ11</v>
          </cell>
          <cell r="C767">
            <v>0</v>
          </cell>
          <cell r="D767" t="str">
            <v>T жив води</v>
          </cell>
        </row>
        <row r="768">
          <cell r="B768" t="str">
            <v>7D004P1B1L6XQ21</v>
          </cell>
          <cell r="C768">
            <v>0</v>
          </cell>
          <cell r="D768" t="str">
            <v>T модуля 1-1-6 7CRA40</v>
          </cell>
        </row>
        <row r="769">
          <cell r="B769" t="str">
            <v>7CVA50CT001XQ21</v>
          </cell>
          <cell r="C769">
            <v>0</v>
          </cell>
          <cell r="D769" t="str">
            <v>Т холодних спаїв шафи 7CVA050</v>
          </cell>
        </row>
        <row r="770">
          <cell r="B770" t="str">
            <v>7CVA51CT001XQ21</v>
          </cell>
          <cell r="C770">
            <v>0</v>
          </cell>
          <cell r="D770" t="str">
            <v>Т холодних спаїв шафи 7CVA051</v>
          </cell>
        </row>
        <row r="771">
          <cell r="B771" t="str">
            <v>7CVA49CT001XQ21</v>
          </cell>
          <cell r="C771">
            <v>0</v>
          </cell>
          <cell r="D771" t="str">
            <v>Т холодних спаїв шафи 7CVA049</v>
          </cell>
        </row>
        <row r="772">
          <cell r="B772" t="str">
            <v>7MAG20CT002XQ11</v>
          </cell>
          <cell r="C772">
            <v>0</v>
          </cell>
          <cell r="D772" t="str">
            <v>T пари ГПП скид у кон-р ст Б</v>
          </cell>
        </row>
        <row r="773">
          <cell r="B773" t="str">
            <v>7MAG10CT003XQ11</v>
          </cell>
          <cell r="C773">
            <v>0</v>
          </cell>
          <cell r="D773" t="str">
            <v>T пари скиду в кон-р ст А</v>
          </cell>
        </row>
        <row r="774">
          <cell r="B774" t="str">
            <v>7MAG20CT003XQ11</v>
          </cell>
          <cell r="C774">
            <v>0</v>
          </cell>
          <cell r="D774" t="str">
            <v>T пари скиду в кон-р ст Б</v>
          </cell>
        </row>
        <row r="775">
          <cell r="B775" t="str">
            <v>7LBA20CT009XQ11</v>
          </cell>
          <cell r="C775">
            <v>0</v>
          </cell>
          <cell r="D775" t="str">
            <v>T гостр пари до ГПЗ н Б</v>
          </cell>
        </row>
        <row r="776">
          <cell r="B776" t="str">
            <v>7LBA20CT010XQ11</v>
          </cell>
          <cell r="C776">
            <v>0</v>
          </cell>
          <cell r="D776" t="str">
            <v>T гостр пари за ГПЗ н Б</v>
          </cell>
        </row>
        <row r="777">
          <cell r="B777" t="str">
            <v>7D004P1B2L4XQ21</v>
          </cell>
          <cell r="C777">
            <v>0</v>
          </cell>
          <cell r="D777" t="str">
            <v>T модуля 1-2-4 7CRA40</v>
          </cell>
        </row>
        <row r="778">
          <cell r="B778" t="str">
            <v>7LBQ80CG101XQ01</v>
          </cell>
          <cell r="C778">
            <v>0</v>
          </cell>
          <cell r="D778" t="str">
            <v>ДП З-ка 1-й відбір на ПВТ-8</v>
          </cell>
        </row>
        <row r="779">
          <cell r="B779" t="str">
            <v>7LBQ70CG101XQ01</v>
          </cell>
          <cell r="C779">
            <v>0</v>
          </cell>
          <cell r="D779" t="str">
            <v>ДП З-ка 2-й відбір на ПВТ-7</v>
          </cell>
        </row>
        <row r="780">
          <cell r="B780" t="str">
            <v>7LBQ60CG101XQ01</v>
          </cell>
          <cell r="C780">
            <v>0</v>
          </cell>
          <cell r="D780" t="str">
            <v>ДП З-ка 3-й відбір на ПВТ-6</v>
          </cell>
        </row>
        <row r="781">
          <cell r="B781" t="str">
            <v>7LAV11CP001XQ01</v>
          </cell>
          <cell r="C781">
            <v>0</v>
          </cell>
          <cell r="D781" t="str">
            <v>P оливи робочого м/н ЖЕН-7А</v>
          </cell>
        </row>
        <row r="782">
          <cell r="B782" t="str">
            <v>7LAV12CP002XQ01</v>
          </cell>
          <cell r="C782">
            <v>0</v>
          </cell>
          <cell r="D782" t="str">
            <v>P оливи в кінц масл лін ЖЕН-7Б</v>
          </cell>
        </row>
        <row r="783">
          <cell r="B783" t="str">
            <v>7LAC11CP003XQ01</v>
          </cell>
          <cell r="C783">
            <v>0</v>
          </cell>
          <cell r="D783" t="str">
            <v>P жив води ЖЕН-7А захист</v>
          </cell>
        </row>
        <row r="784">
          <cell r="B784" t="str">
            <v>7LAC12CP003XQ01</v>
          </cell>
          <cell r="C784">
            <v>0</v>
          </cell>
          <cell r="D784" t="str">
            <v>P жив води ЖЕН-7Б захист</v>
          </cell>
        </row>
        <row r="785">
          <cell r="B785" t="str">
            <v>7LAC12CP001XQ01</v>
          </cell>
          <cell r="C785">
            <v>0</v>
          </cell>
          <cell r="D785" t="str">
            <v>P в розвантаж камері ЖЕН-7Б</v>
          </cell>
        </row>
        <row r="786">
          <cell r="B786" t="str">
            <v>7LAC12CF001XQ01</v>
          </cell>
          <cell r="C786">
            <v>0</v>
          </cell>
          <cell r="D786" t="str">
            <v>F води через ЖЕН-7Б</v>
          </cell>
        </row>
        <row r="787">
          <cell r="B787" t="str">
            <v>7MKA10CP001XQ01</v>
          </cell>
          <cell r="C787">
            <v>0</v>
          </cell>
          <cell r="D787" t="str">
            <v>P дист АВР НООС</v>
          </cell>
        </row>
        <row r="788">
          <cell r="B788" t="str">
            <v>7LAD60CL003XQ01</v>
          </cell>
          <cell r="C788">
            <v>0</v>
          </cell>
          <cell r="D788" t="str">
            <v>L в ПВТ-6 д 3</v>
          </cell>
        </row>
        <row r="789">
          <cell r="B789" t="str">
            <v>7LAD70CL003XQ01</v>
          </cell>
          <cell r="C789">
            <v>0</v>
          </cell>
          <cell r="D789" t="str">
            <v>L в ПВТ-7 д 3</v>
          </cell>
        </row>
        <row r="790">
          <cell r="B790" t="str">
            <v>7LAD80CL003XQ01</v>
          </cell>
          <cell r="C790">
            <v>0</v>
          </cell>
          <cell r="D790" t="str">
            <v>L в ПВТ-8 д 3</v>
          </cell>
        </row>
        <row r="791">
          <cell r="B791" t="str">
            <v>7MKW23CP002XQ01</v>
          </cell>
          <cell r="C791">
            <v>0</v>
          </cell>
          <cell r="D791" t="str">
            <v>DP олива-водень стор збудж</v>
          </cell>
        </row>
        <row r="792">
          <cell r="B792" t="str">
            <v>7LBC10CP002XQ01</v>
          </cell>
          <cell r="C792">
            <v>0</v>
          </cell>
          <cell r="D792" t="str">
            <v>P пари ХПП перем за турбіною</v>
          </cell>
        </row>
        <row r="793">
          <cell r="B793" t="str">
            <v xml:space="preserve">7LAB10CP002XQ01 </v>
          </cell>
          <cell r="C793">
            <v>0</v>
          </cell>
          <cell r="D793" t="str">
            <v xml:space="preserve">P води після ЖЕН-7А і 7Б </v>
          </cell>
        </row>
        <row r="794">
          <cell r="B794" t="str">
            <v>7LBQ60CP001XQ01</v>
          </cell>
          <cell r="C794">
            <v>0</v>
          </cell>
          <cell r="D794" t="str">
            <v>P пари в ПВТ-6</v>
          </cell>
        </row>
        <row r="795">
          <cell r="B795" t="str">
            <v>7MAG10CP002XQ01</v>
          </cell>
          <cell r="C795">
            <v>0</v>
          </cell>
          <cell r="D795" t="str">
            <v>Вакуум в конд-рі д 2</v>
          </cell>
        </row>
        <row r="796">
          <cell r="B796" t="str">
            <v>7MAV10CP002XQ01</v>
          </cell>
          <cell r="C796">
            <v>0</v>
          </cell>
          <cell r="D796" t="str">
            <v>P оливи змащування підш турб д 2</v>
          </cell>
        </row>
        <row r="797">
          <cell r="B797" t="str">
            <v>7LAA10CL002XQ01</v>
          </cell>
          <cell r="C797">
            <v>0</v>
          </cell>
          <cell r="D797" t="str">
            <v>L в ДВТ д 2</v>
          </cell>
        </row>
        <row r="798">
          <cell r="B798" t="str">
            <v>7MKF10CF002XQ01</v>
          </cell>
          <cell r="C798">
            <v>0</v>
          </cell>
          <cell r="D798" t="str">
            <v>F дист охолодж ген-ра д 2</v>
          </cell>
        </row>
        <row r="799">
          <cell r="B799" t="str">
            <v>7MAD10CY002XQ01</v>
          </cell>
          <cell r="C799">
            <v>0</v>
          </cell>
          <cell r="D799" t="str">
            <v>Осьовий зсув д 2</v>
          </cell>
        </row>
        <row r="800">
          <cell r="B800" t="str">
            <v>7MKW16CP002XQ01</v>
          </cell>
          <cell r="C800">
            <v>0</v>
          </cell>
          <cell r="D800" t="str">
            <v>P оливи АВР АМП д 2</v>
          </cell>
        </row>
        <row r="801">
          <cell r="B801" t="str">
            <v>7MAA10CP001XQ01</v>
          </cell>
          <cell r="C801">
            <v>0</v>
          </cell>
          <cell r="D801" t="str">
            <v>P пари в регул ступ ЦВТ</v>
          </cell>
        </row>
        <row r="802">
          <cell r="B802" t="str">
            <v>7MAD11CY001XQ01</v>
          </cell>
          <cell r="C802">
            <v>0</v>
          </cell>
          <cell r="D802" t="str">
            <v>ВШВ підш 1 ЦВСТ</v>
          </cell>
        </row>
        <row r="803">
          <cell r="B803" t="str">
            <v>7MAD11CY002XQ01</v>
          </cell>
          <cell r="C803">
            <v>0</v>
          </cell>
          <cell r="D803" t="str">
            <v>ВШП підш 1 ЦВСТ</v>
          </cell>
        </row>
        <row r="804">
          <cell r="B804" t="str">
            <v>7MAD11CY003XQ01</v>
          </cell>
          <cell r="C804">
            <v>0</v>
          </cell>
          <cell r="D804" t="str">
            <v>ВШО підш 1 ЦВСТ</v>
          </cell>
        </row>
        <row r="805">
          <cell r="B805" t="str">
            <v>7MAG10CP003XQ01</v>
          </cell>
          <cell r="C805">
            <v>0</v>
          </cell>
          <cell r="D805" t="str">
            <v>Вакуум в конд-рі д 3</v>
          </cell>
        </row>
        <row r="806">
          <cell r="B806" t="str">
            <v>7MAV10CP003XQ01</v>
          </cell>
          <cell r="C806">
            <v>0</v>
          </cell>
          <cell r="D806" t="str">
            <v>P оливи змащування підш турб д 3</v>
          </cell>
        </row>
        <row r="807">
          <cell r="B807" t="str">
            <v>7LAA10CL003XQ01</v>
          </cell>
          <cell r="C807">
            <v>0</v>
          </cell>
          <cell r="D807" t="str">
            <v>L в ДВТ д 3</v>
          </cell>
        </row>
        <row r="808">
          <cell r="B808" t="str">
            <v>7MKF10CF003XQ01</v>
          </cell>
          <cell r="C808">
            <v>0</v>
          </cell>
          <cell r="D808" t="str">
            <v>F дист охолодж ген-ра д 3</v>
          </cell>
        </row>
        <row r="809">
          <cell r="B809" t="str">
            <v>7MAD10CY003XQ01</v>
          </cell>
          <cell r="C809">
            <v>0</v>
          </cell>
          <cell r="D809" t="str">
            <v>Осьовий зсув д 3</v>
          </cell>
        </row>
        <row r="810">
          <cell r="B810" t="str">
            <v>7MAD12CY001XQ01</v>
          </cell>
          <cell r="C810">
            <v>0</v>
          </cell>
          <cell r="D810" t="str">
            <v>ВШВ підш 2 ЦВСТ</v>
          </cell>
        </row>
        <row r="811">
          <cell r="B811" t="str">
            <v>7MAD12CY002XQ01</v>
          </cell>
          <cell r="C811">
            <v>0</v>
          </cell>
          <cell r="D811" t="str">
            <v>ВШП підш 2 ЦВСТ</v>
          </cell>
        </row>
        <row r="812">
          <cell r="B812" t="str">
            <v>7MAD12CY003XQ01</v>
          </cell>
          <cell r="C812">
            <v>0</v>
          </cell>
          <cell r="D812" t="str">
            <v>ВШО підш 2 ЦВСТ</v>
          </cell>
        </row>
        <row r="813">
          <cell r="B813" t="str">
            <v>7PCM10CP001XQ01</v>
          </cell>
          <cell r="C813">
            <v>0</v>
          </cell>
          <cell r="D813" t="str">
            <v>P води на ГО ген-ра АВР НГО</v>
          </cell>
        </row>
        <row r="814">
          <cell r="B814" t="str">
            <v>7MAV10CP004XQ01</v>
          </cell>
          <cell r="C814">
            <v>0</v>
          </cell>
          <cell r="D814" t="str">
            <v>P оливи змащування підш (контроль)</v>
          </cell>
        </row>
        <row r="815">
          <cell r="B815" t="str">
            <v>7MAD13CY001XQ01</v>
          </cell>
          <cell r="C815">
            <v>0</v>
          </cell>
          <cell r="D815" t="str">
            <v>ВШВ підш 3 ЦНТ</v>
          </cell>
        </row>
        <row r="816">
          <cell r="B816" t="str">
            <v>7MAD13CY002XQ01</v>
          </cell>
          <cell r="C816">
            <v>0</v>
          </cell>
          <cell r="D816" t="str">
            <v>ВШП підш 3 ЦНТ</v>
          </cell>
        </row>
        <row r="817">
          <cell r="B817" t="str">
            <v>7MAD13CY003XQ01</v>
          </cell>
          <cell r="C817">
            <v>0</v>
          </cell>
          <cell r="D817" t="str">
            <v>ВШО підш 3 ЦНТ</v>
          </cell>
        </row>
        <row r="818">
          <cell r="B818" t="str">
            <v>7MAD10CY004XQ01</v>
          </cell>
          <cell r="C818">
            <v>0</v>
          </cell>
          <cell r="D818" t="str">
            <v>Оберти турбіни к 1</v>
          </cell>
        </row>
        <row r="819">
          <cell r="B819" t="str">
            <v>7MAD10CY005XQ01</v>
          </cell>
          <cell r="C819">
            <v>0</v>
          </cell>
          <cell r="D819" t="str">
            <v>Теплове розширення корпусу</v>
          </cell>
        </row>
        <row r="820">
          <cell r="B820" t="str">
            <v>7MAD10CY006XQ01</v>
          </cell>
          <cell r="C820">
            <v>0</v>
          </cell>
          <cell r="D820" t="str">
            <v>ВРР ЦВСТ</v>
          </cell>
        </row>
        <row r="821">
          <cell r="B821" t="str">
            <v>7MAD10CY007XQ01</v>
          </cell>
          <cell r="C821">
            <v>0</v>
          </cell>
          <cell r="D821" t="str">
            <v>ВРР ЦНТ</v>
          </cell>
        </row>
        <row r="822">
          <cell r="B822" t="str">
            <v>7MAV10CT001XQ21</v>
          </cell>
          <cell r="C822">
            <v>0</v>
          </cell>
          <cell r="D822" t="str">
            <v>T оливи злив оп підш №1</v>
          </cell>
        </row>
        <row r="823">
          <cell r="B823" t="str">
            <v>7MAV10CT002XQ21</v>
          </cell>
          <cell r="C823">
            <v>0</v>
          </cell>
          <cell r="D823" t="str">
            <v>T оливи злив оп підш №2</v>
          </cell>
        </row>
        <row r="824">
          <cell r="B824" t="str">
            <v>7MAV10CT003XQ21</v>
          </cell>
          <cell r="C824">
            <v>0</v>
          </cell>
          <cell r="D824" t="str">
            <v>T оливи злив оп підш №3</v>
          </cell>
        </row>
        <row r="825">
          <cell r="B825" t="str">
            <v>7MAV10CT004XQ21</v>
          </cell>
          <cell r="C825">
            <v>0</v>
          </cell>
          <cell r="D825" t="str">
            <v>T оливи злив оп підш №4</v>
          </cell>
        </row>
        <row r="826">
          <cell r="B826" t="str">
            <v>7MAV10CT005XQ21</v>
          </cell>
          <cell r="C826">
            <v>0</v>
          </cell>
          <cell r="D826" t="str">
            <v>T оливи злив оп підш №5</v>
          </cell>
        </row>
        <row r="827">
          <cell r="B827" t="str">
            <v>7MAV10CT006XQ21</v>
          </cell>
          <cell r="C827">
            <v>0</v>
          </cell>
          <cell r="D827" t="str">
            <v>T оливи злив оп підш №6</v>
          </cell>
        </row>
        <row r="828">
          <cell r="B828" t="str">
            <v>7MAV10CT009XQ21</v>
          </cell>
          <cell r="C828">
            <v>0</v>
          </cell>
          <cell r="D828" t="str">
            <v xml:space="preserve">T оливи злив з ущ ст турб </v>
          </cell>
        </row>
        <row r="829">
          <cell r="B829" t="str">
            <v>7MAV10CT010XQ21</v>
          </cell>
          <cell r="C829">
            <v>0</v>
          </cell>
          <cell r="D829" t="str">
            <v>T оливи злив з ущ (ст зб)</v>
          </cell>
        </row>
        <row r="830">
          <cell r="B830" t="str">
            <v>7MAV10CT011XQ21</v>
          </cell>
          <cell r="C830">
            <v>0</v>
          </cell>
          <cell r="D830" t="str">
            <v>T оливи злив уп підш ст регул</v>
          </cell>
        </row>
        <row r="831">
          <cell r="B831" t="str">
            <v>7MAV10CT012XQ21</v>
          </cell>
          <cell r="C831">
            <v>0</v>
          </cell>
          <cell r="D831" t="str">
            <v>T оливи злив уп підш ст ген-ра</v>
          </cell>
        </row>
        <row r="832">
          <cell r="B832" t="str">
            <v>7MKW22CT001XQ21</v>
          </cell>
          <cell r="C832">
            <v>0</v>
          </cell>
          <cell r="D832" t="str">
            <v xml:space="preserve">T оливи на ущ підш ст турб </v>
          </cell>
        </row>
        <row r="833">
          <cell r="B833" t="str">
            <v>7MKW23CT001XQ21</v>
          </cell>
          <cell r="C833">
            <v>0</v>
          </cell>
          <cell r="D833" t="str">
            <v>T оливи на ущ підш ст вивод</v>
          </cell>
        </row>
        <row r="834">
          <cell r="B834" t="str">
            <v>7MAG10CT005XQ21</v>
          </cell>
          <cell r="C834">
            <v>0</v>
          </cell>
          <cell r="D834" t="str">
            <v>Т пари в ресівері</v>
          </cell>
        </row>
        <row r="835">
          <cell r="B835" t="str">
            <v>7MKD30CT002XQ21</v>
          </cell>
          <cell r="C835">
            <v>0</v>
          </cell>
          <cell r="D835" t="str">
            <v>T бабіту кол 2 уп підш ст рег</v>
          </cell>
        </row>
        <row r="836">
          <cell r="B836" t="str">
            <v>7MKD30CT003XQ21</v>
          </cell>
          <cell r="C836">
            <v>0</v>
          </cell>
          <cell r="D836" t="str">
            <v>T бабіту кол 3 уп підш ст рег</v>
          </cell>
        </row>
        <row r="837">
          <cell r="B837" t="str">
            <v>7MKD30CT004XQ21</v>
          </cell>
          <cell r="C837">
            <v>0</v>
          </cell>
          <cell r="D837" t="str">
            <v>T бабіту кол 4 уп підш ст рег</v>
          </cell>
        </row>
        <row r="838">
          <cell r="B838" t="str">
            <v>7MKD30CT005XQ21</v>
          </cell>
          <cell r="C838">
            <v>0</v>
          </cell>
          <cell r="D838" t="str">
            <v>T бабіту кол 5 уп підш ст рег</v>
          </cell>
        </row>
        <row r="839">
          <cell r="B839" t="str">
            <v>7MKD30CT006XQ21</v>
          </cell>
          <cell r="C839">
            <v>0</v>
          </cell>
          <cell r="D839" t="str">
            <v>T бабіту кол 6 уп підш ст рег</v>
          </cell>
        </row>
        <row r="840">
          <cell r="B840" t="str">
            <v>7MKD30CT007XQ21</v>
          </cell>
          <cell r="C840">
            <v>0</v>
          </cell>
          <cell r="D840" t="str">
            <v>T бабіту кол 7 уп підш ст рег</v>
          </cell>
        </row>
        <row r="841">
          <cell r="B841" t="str">
            <v>7MKD30CT008XQ21</v>
          </cell>
          <cell r="C841">
            <v>0</v>
          </cell>
          <cell r="D841" t="str">
            <v>T бабіту кол 8 уп підш ст рег</v>
          </cell>
        </row>
        <row r="842">
          <cell r="B842" t="str">
            <v>7MKD30CT009XQ21</v>
          </cell>
          <cell r="C842">
            <v>0</v>
          </cell>
          <cell r="D842" t="str">
            <v>T бабіту кол 9 уп підш ст ген</v>
          </cell>
        </row>
        <row r="843">
          <cell r="B843" t="str">
            <v>7MKD30CT010XQ21</v>
          </cell>
          <cell r="C843">
            <v>0</v>
          </cell>
          <cell r="D843" t="str">
            <v>T бабіту кол 10 уп підш ст ген</v>
          </cell>
        </row>
        <row r="844">
          <cell r="B844" t="str">
            <v>7MKD30CT011XQ21</v>
          </cell>
          <cell r="C844">
            <v>0</v>
          </cell>
          <cell r="D844" t="str">
            <v>T бабіту кол 11 уп підш ст ген</v>
          </cell>
        </row>
        <row r="845">
          <cell r="B845" t="str">
            <v>7MKD30CT012XQ21</v>
          </cell>
          <cell r="C845">
            <v>0</v>
          </cell>
          <cell r="D845" t="str">
            <v>T бабіту кол 12 уп підш ст ген</v>
          </cell>
        </row>
        <row r="846">
          <cell r="B846" t="str">
            <v>7MKD30CT013XQ21</v>
          </cell>
          <cell r="C846">
            <v>0</v>
          </cell>
          <cell r="D846" t="str">
            <v>T бабіту кол 13 уп підш ст ген</v>
          </cell>
        </row>
        <row r="847">
          <cell r="B847" t="str">
            <v>7MKD30CT014XQ21</v>
          </cell>
          <cell r="C847">
            <v>0</v>
          </cell>
          <cell r="D847" t="str">
            <v>T бабіту кол 14 уп підш ст ген</v>
          </cell>
        </row>
        <row r="848">
          <cell r="B848" t="str">
            <v>7MKD30CT015XQ21</v>
          </cell>
          <cell r="C848">
            <v>0</v>
          </cell>
          <cell r="D848" t="str">
            <v>T бабіту кол 15 уп підш ст ген</v>
          </cell>
        </row>
        <row r="849">
          <cell r="B849" t="str">
            <v>7MKD30CT016XQ21</v>
          </cell>
          <cell r="C849">
            <v>0</v>
          </cell>
          <cell r="D849" t="str">
            <v>T бабіту кол 16 уп підш ст ген</v>
          </cell>
        </row>
        <row r="850">
          <cell r="B850" t="str">
            <v>7MKD30CT017XQ21</v>
          </cell>
          <cell r="C850">
            <v>0</v>
          </cell>
          <cell r="D850" t="str">
            <v>T бабіту кол 17 уп підш ст ген</v>
          </cell>
        </row>
        <row r="851">
          <cell r="B851" t="str">
            <v>7MKD10CT069XQ21</v>
          </cell>
          <cell r="C851">
            <v>0</v>
          </cell>
          <cell r="D851" t="str">
            <v>Т бабіту вклад ущ ст турбіни</v>
          </cell>
        </row>
        <row r="852">
          <cell r="B852" t="str">
            <v>7MKD10CT070XQ21</v>
          </cell>
          <cell r="C852">
            <v>0</v>
          </cell>
          <cell r="D852" t="str">
            <v>Т бабіту вклад ущ ст турбіни</v>
          </cell>
        </row>
        <row r="853">
          <cell r="B853" t="str">
            <v>7MKD10CT173XQ21</v>
          </cell>
          <cell r="C853">
            <v>0</v>
          </cell>
          <cell r="D853" t="str">
            <v>Т бабіту вклад підш ген-ра</v>
          </cell>
        </row>
        <row r="854">
          <cell r="B854" t="str">
            <v>7MKD10CT174XQ21</v>
          </cell>
          <cell r="C854">
            <v>0</v>
          </cell>
          <cell r="D854" t="str">
            <v>Т бабіту вклад підш ген-ра</v>
          </cell>
        </row>
        <row r="855">
          <cell r="B855" t="str">
            <v>7MAD11CT001XQ21</v>
          </cell>
          <cell r="C855">
            <v>0</v>
          </cell>
          <cell r="D855" t="str">
            <v>T оп підш №1</v>
          </cell>
        </row>
        <row r="856">
          <cell r="B856" t="str">
            <v>7MAD12CT001XQ21</v>
          </cell>
          <cell r="C856">
            <v>0</v>
          </cell>
          <cell r="D856" t="str">
            <v>T оп підш №2</v>
          </cell>
        </row>
        <row r="857">
          <cell r="B857" t="str">
            <v>7MAD13CT001XQ21</v>
          </cell>
          <cell r="C857">
            <v>0</v>
          </cell>
          <cell r="D857" t="str">
            <v>T оп підш №3</v>
          </cell>
        </row>
        <row r="858">
          <cell r="B858" t="str">
            <v>7MAD14CT001XQ21</v>
          </cell>
          <cell r="C858">
            <v>0</v>
          </cell>
          <cell r="D858" t="str">
            <v>T оп підш №4</v>
          </cell>
        </row>
        <row r="859">
          <cell r="B859" t="str">
            <v>7MAD15CT001XQ21</v>
          </cell>
          <cell r="C859">
            <v>0</v>
          </cell>
          <cell r="D859" t="str">
            <v>T оп підш №5</v>
          </cell>
        </row>
        <row r="860">
          <cell r="B860" t="str">
            <v>7MAD16CT001XQ21</v>
          </cell>
          <cell r="C860">
            <v>0</v>
          </cell>
          <cell r="D860" t="str">
            <v>T оп підш №6</v>
          </cell>
        </row>
        <row r="861">
          <cell r="B861" t="str">
            <v>7MAD16CY001XQ01</v>
          </cell>
          <cell r="C861">
            <v>0</v>
          </cell>
          <cell r="D861" t="str">
            <v>ВШВ підш 6 ген-ра</v>
          </cell>
        </row>
        <row r="862">
          <cell r="B862" t="str">
            <v>7MAD16CY002XQ01</v>
          </cell>
          <cell r="C862">
            <v>0</v>
          </cell>
          <cell r="D862" t="str">
            <v>ВШП підш 6 ген-ра</v>
          </cell>
        </row>
        <row r="863">
          <cell r="B863" t="str">
            <v>7MAD16CY003XQ01</v>
          </cell>
          <cell r="C863">
            <v>0</v>
          </cell>
          <cell r="D863" t="str">
            <v>ВШО підш 6 ген-ра</v>
          </cell>
        </row>
        <row r="864">
          <cell r="B864" t="str">
            <v>7MAD10CY008XQ01</v>
          </cell>
          <cell r="C864">
            <v>0</v>
          </cell>
          <cell r="D864" t="str">
            <v>Оберти турбіни к 2</v>
          </cell>
        </row>
        <row r="865">
          <cell r="B865" t="str">
            <v>7LAC11CE001XQ01</v>
          </cell>
          <cell r="C865">
            <v>0</v>
          </cell>
          <cell r="D865" t="str">
            <v>Струм ел/дв ЖЕН-7А</v>
          </cell>
        </row>
        <row r="866">
          <cell r="B866" t="str">
            <v>7LAC12CE001XQ01</v>
          </cell>
          <cell r="C866">
            <v>0</v>
          </cell>
          <cell r="D866" t="str">
            <v>Струм ел/дв ЖЕН-7Б</v>
          </cell>
        </row>
        <row r="867">
          <cell r="B867" t="str">
            <v>7MAD15CY001XQ01</v>
          </cell>
          <cell r="C867">
            <v>0</v>
          </cell>
          <cell r="D867" t="str">
            <v>ВШВ підш 5 ген-ра</v>
          </cell>
        </row>
        <row r="868">
          <cell r="B868" t="str">
            <v>7MAD15CY002XQ01</v>
          </cell>
          <cell r="C868">
            <v>0</v>
          </cell>
          <cell r="D868" t="str">
            <v>ВШП підш 5 ген-ра</v>
          </cell>
        </row>
        <row r="869">
          <cell r="B869" t="str">
            <v>7MAD15CY003XQ01</v>
          </cell>
          <cell r="C869">
            <v>0</v>
          </cell>
          <cell r="D869" t="str">
            <v>ВШО підш 5 ген-ра</v>
          </cell>
        </row>
        <row r="870">
          <cell r="B870" t="str">
            <v>7MAV11CE001XQ01</v>
          </cell>
          <cell r="C870">
            <v>0</v>
          </cell>
          <cell r="D870" t="str">
            <v>Струм ел/дв ПЕМН</v>
          </cell>
        </row>
        <row r="871">
          <cell r="B871" t="str">
            <v>7MAV12CE001XQ01</v>
          </cell>
          <cell r="C871">
            <v>0</v>
          </cell>
          <cell r="D871" t="str">
            <v>Струм ел/дв РЕМН</v>
          </cell>
        </row>
        <row r="872">
          <cell r="B872" t="str">
            <v>7MAV13CE001XQ01</v>
          </cell>
          <cell r="C872">
            <v>0</v>
          </cell>
          <cell r="D872" t="str">
            <v>Струм ел/дв АЕМН</v>
          </cell>
        </row>
        <row r="873">
          <cell r="B873" t="str">
            <v>7MKW02CE001XQ01</v>
          </cell>
          <cell r="C873">
            <v>0</v>
          </cell>
          <cell r="D873" t="str">
            <v>Струм ел/дв РЕМН АМП</v>
          </cell>
        </row>
        <row r="874">
          <cell r="B874" t="str">
            <v>7MKW03CE001XQ01</v>
          </cell>
          <cell r="C874">
            <v>0</v>
          </cell>
          <cell r="D874" t="str">
            <v>Струм ел/дв АЕМН АМП</v>
          </cell>
        </row>
        <row r="875">
          <cell r="B875" t="str">
            <v>7MAD14CY001XQ01</v>
          </cell>
          <cell r="C875">
            <v>0</v>
          </cell>
          <cell r="D875" t="str">
            <v>ВШВ підш 4 ЦНТ</v>
          </cell>
        </row>
        <row r="876">
          <cell r="B876" t="str">
            <v>7MAD14CY002XQ01</v>
          </cell>
          <cell r="C876">
            <v>0</v>
          </cell>
          <cell r="D876" t="str">
            <v>ВШП підш 4 ЦНТ</v>
          </cell>
        </row>
        <row r="877">
          <cell r="B877" t="str">
            <v>7MAD14CY003XQ01</v>
          </cell>
          <cell r="C877">
            <v>0</v>
          </cell>
          <cell r="D877" t="str">
            <v>ВШО підш 4 ЦНТ</v>
          </cell>
        </row>
        <row r="878">
          <cell r="B878" t="str">
            <v>7PAC11CE001XQ01</v>
          </cell>
          <cell r="C878">
            <v>0</v>
          </cell>
          <cell r="D878" t="str">
            <v>Струм ел/дв НГО-7А</v>
          </cell>
        </row>
        <row r="879">
          <cell r="B879" t="str">
            <v>7PAC12CE001XQ01</v>
          </cell>
          <cell r="C879">
            <v>0</v>
          </cell>
          <cell r="D879" t="str">
            <v>Струм ел/дв НГО-7Б</v>
          </cell>
        </row>
        <row r="880">
          <cell r="B880" t="str">
            <v>7MKA11CE001XQ01</v>
          </cell>
          <cell r="C880">
            <v>0</v>
          </cell>
          <cell r="D880" t="str">
            <v>Струм ел/дв НООС-7А</v>
          </cell>
        </row>
        <row r="881">
          <cell r="B881" t="str">
            <v>7MKA12CE001XQ01</v>
          </cell>
          <cell r="C881">
            <v>0</v>
          </cell>
          <cell r="D881" t="str">
            <v>Струм ел/дв НООС-7Б</v>
          </cell>
        </row>
        <row r="882">
          <cell r="B882" t="str">
            <v>7LAD60CL001XQ01</v>
          </cell>
          <cell r="C882">
            <v>0</v>
          </cell>
          <cell r="D882" t="str">
            <v>L в ПВТ-6, д.1</v>
          </cell>
        </row>
        <row r="883">
          <cell r="B883" t="str">
            <v>7LBW10CP001XQ01</v>
          </cell>
          <cell r="C883">
            <v>0</v>
          </cell>
          <cell r="D883" t="str">
            <v>P пари на лабіринтове ущільн</v>
          </cell>
        </row>
        <row r="884">
          <cell r="B884" t="str">
            <v>7MAG10CL001XQ01</v>
          </cell>
          <cell r="C884">
            <v>0</v>
          </cell>
          <cell r="D884" t="str">
            <v>L в конденсаторі, д.1</v>
          </cell>
        </row>
        <row r="885">
          <cell r="B885" t="str">
            <v>7LAB10CP002XQ01</v>
          </cell>
          <cell r="C885">
            <v>0</v>
          </cell>
          <cell r="D885" t="str">
            <v>P живильної води перед котлом</v>
          </cell>
        </row>
        <row r="886">
          <cell r="B886" t="str">
            <v>7LAB10CP003XQ01</v>
          </cell>
          <cell r="C886">
            <v>0</v>
          </cell>
          <cell r="D886" t="str">
            <v>P живильної води на вприски</v>
          </cell>
        </row>
        <row r="887">
          <cell r="B887" t="str">
            <v>7LCH60CG001XQ01</v>
          </cell>
          <cell r="C887">
            <v>0</v>
          </cell>
          <cell r="D887" t="str">
            <v>ДП РК L ПВТ-6</v>
          </cell>
        </row>
        <row r="888">
          <cell r="B888" t="str">
            <v>7LBW10CG001XQ01</v>
          </cell>
          <cell r="C888">
            <v>0</v>
          </cell>
          <cell r="D888" t="str">
            <v>ДП РК Р пари на ущільн турбіни (РЕЗЕРВ)</v>
          </cell>
        </row>
        <row r="889">
          <cell r="B889" t="str">
            <v>7LCA10CG001XQ01</v>
          </cell>
          <cell r="C889">
            <v>0</v>
          </cell>
          <cell r="D889" t="str">
            <v>ДП РК L в конденсаторі</v>
          </cell>
        </row>
        <row r="890">
          <cell r="B890" t="str">
            <v>7LAD70CL001XQ01</v>
          </cell>
          <cell r="C890">
            <v>0</v>
          </cell>
          <cell r="D890" t="str">
            <v>L в ПВТ-7, д.1</v>
          </cell>
        </row>
        <row r="891">
          <cell r="B891" t="str">
            <v>7PAH10CP001XQ01</v>
          </cell>
          <cell r="C891">
            <v>0</v>
          </cell>
          <cell r="D891" t="str">
            <v>DP на фільтрі кулькової оч н.А</v>
          </cell>
        </row>
        <row r="892">
          <cell r="B892" t="str">
            <v>7PAH20CP001XQ01</v>
          </cell>
          <cell r="C892">
            <v>0</v>
          </cell>
          <cell r="D892" t="str">
            <v>DP на фільтрі кулькової оч н.Б</v>
          </cell>
        </row>
        <row r="893">
          <cell r="B893" t="str">
            <v>7LCH70CG001XQ01</v>
          </cell>
          <cell r="C893">
            <v>0</v>
          </cell>
          <cell r="D893" t="str">
            <v>ДП РК L ПВТ-7</v>
          </cell>
        </row>
        <row r="894">
          <cell r="B894" t="str">
            <v>7PAH10CG001XQ01</v>
          </cell>
          <cell r="C894">
            <v>0</v>
          </cell>
          <cell r="D894" t="str">
            <v>ДП РК промивки ФКО кон-ра н.А</v>
          </cell>
        </row>
        <row r="895">
          <cell r="B895" t="str">
            <v>7PAH20CG001XQ01</v>
          </cell>
          <cell r="C895">
            <v>0</v>
          </cell>
          <cell r="D895" t="str">
            <v>ДП РК промивки ФКО кон-ра н.Б</v>
          </cell>
        </row>
        <row r="896">
          <cell r="B896" t="str">
            <v>7LAD80CL001XQ01</v>
          </cell>
          <cell r="C896">
            <v>0</v>
          </cell>
          <cell r="D896" t="str">
            <v>L в ПВТ-8, д.1</v>
          </cell>
        </row>
        <row r="897">
          <cell r="B897" t="str">
            <v>7LCA20CF001XQ01</v>
          </cell>
          <cell r="C897">
            <v>0</v>
          </cell>
          <cell r="D897" t="str">
            <v>F конденсату</v>
          </cell>
        </row>
        <row r="898">
          <cell r="B898" t="str">
            <v>7PAC10CP001XQ01</v>
          </cell>
          <cell r="C898">
            <v>0</v>
          </cell>
          <cell r="D898" t="str">
            <v>P цирк.води на вх.в конд.-A</v>
          </cell>
        </row>
        <row r="899">
          <cell r="B899" t="str">
            <v>7PAC10CP002XQ01</v>
          </cell>
          <cell r="C899">
            <v>0</v>
          </cell>
          <cell r="D899" t="str">
            <v>P цирк.води на вх.в конд.-Б</v>
          </cell>
        </row>
        <row r="900">
          <cell r="B900" t="str">
            <v>7LCH80CG001XQ01</v>
          </cell>
          <cell r="C900">
            <v>0</v>
          </cell>
          <cell r="D900" t="str">
            <v>ДП РК L ПВТ-8</v>
          </cell>
        </row>
        <row r="901">
          <cell r="B901" t="str">
            <v>7LCA11CP001XQ01</v>
          </cell>
          <cell r="C901">
            <v>0</v>
          </cell>
          <cell r="D901" t="str">
            <v>P конденсату на напорі КН-7А</v>
          </cell>
        </row>
        <row r="902">
          <cell r="B902" t="str">
            <v>7LCA12CP001XQ01</v>
          </cell>
          <cell r="C902">
            <v>0</v>
          </cell>
          <cell r="D902" t="str">
            <v>P конденсату на напорі КН-7Б</v>
          </cell>
        </row>
        <row r="903">
          <cell r="B903" t="str">
            <v>7LCA10CP001XQ01</v>
          </cell>
          <cell r="C903">
            <v>0</v>
          </cell>
          <cell r="D903" t="str">
            <v>P конденсату</v>
          </cell>
        </row>
        <row r="904">
          <cell r="B904" t="str">
            <v>7LBB10CP003XQ01</v>
          </cell>
          <cell r="C904">
            <v>0</v>
          </cell>
          <cell r="D904" t="str">
            <v>P пари перед ЦСТ</v>
          </cell>
        </row>
        <row r="905">
          <cell r="B905" t="str">
            <v>7LBF10CP001XQ01</v>
          </cell>
          <cell r="C905">
            <v>0</v>
          </cell>
          <cell r="D905" t="str">
            <v>P пари перед РОУ</v>
          </cell>
        </row>
        <row r="906">
          <cell r="B906" t="str">
            <v>7LBA12CP004XQ01</v>
          </cell>
          <cell r="C906">
            <v>0</v>
          </cell>
          <cell r="D906" t="str">
            <v>P пари перед ГПЗ</v>
          </cell>
        </row>
        <row r="907">
          <cell r="B907" t="str">
            <v>7LAA10CG001XQ01</v>
          </cell>
          <cell r="C907">
            <v>0</v>
          </cell>
          <cell r="D907" t="str">
            <v>ДП РК тиску в ДВТ</v>
          </cell>
        </row>
        <row r="908">
          <cell r="B908" t="str">
            <v>7NAA20CG001XQ01</v>
          </cell>
          <cell r="C908">
            <v>0</v>
          </cell>
          <cell r="D908" t="str">
            <v>ДП РК Т на виході з ПБ</v>
          </cell>
        </row>
        <row r="909">
          <cell r="B909" t="str">
            <v>7NAA10CG001XQ01</v>
          </cell>
          <cell r="C909">
            <v>0</v>
          </cell>
          <cell r="D909" t="str">
            <v>ДП РК Т на виході з ОБ</v>
          </cell>
        </row>
        <row r="910">
          <cell r="B910" t="str">
            <v>7LCB11CE001XQ01</v>
          </cell>
          <cell r="C910">
            <v>0</v>
          </cell>
          <cell r="D910" t="str">
            <v>Струм ел/дв КН-7А</v>
          </cell>
        </row>
        <row r="911">
          <cell r="B911" t="str">
            <v>7LCB12CE001XQ01</v>
          </cell>
          <cell r="C911">
            <v>0</v>
          </cell>
          <cell r="D911" t="str">
            <v>Струм ел/дв КН-7Б</v>
          </cell>
        </row>
        <row r="912">
          <cell r="B912" t="str">
            <v>7LAV11CE001XQ01</v>
          </cell>
          <cell r="C912">
            <v>0</v>
          </cell>
          <cell r="D912" t="str">
            <v>Струм ел/дв МН ЖЕН-7А1</v>
          </cell>
        </row>
        <row r="913">
          <cell r="B913" t="str">
            <v>7LAV11CE002XQ01</v>
          </cell>
          <cell r="C913">
            <v>0</v>
          </cell>
          <cell r="D913" t="str">
            <v>Струм ел/дв МН ЖЕН-7А2</v>
          </cell>
        </row>
        <row r="914">
          <cell r="B914" t="str">
            <v>7LAV12CE001XQ01</v>
          </cell>
          <cell r="C914">
            <v>0</v>
          </cell>
          <cell r="D914" t="str">
            <v>Струм ел/дв МН ЖЕН-7Б1</v>
          </cell>
        </row>
        <row r="915">
          <cell r="B915" t="str">
            <v>7LAV12CE002XQ01</v>
          </cell>
          <cell r="C915">
            <v>0</v>
          </cell>
          <cell r="D915" t="str">
            <v>Струм ел/дв МН ЖЕН-7Б2</v>
          </cell>
        </row>
        <row r="916">
          <cell r="B916" t="str">
            <v>7LCC40CL001XQ01</v>
          </cell>
          <cell r="C916">
            <v>0</v>
          </cell>
          <cell r="D916" t="str">
            <v>L в ПНТ-4</v>
          </cell>
        </row>
        <row r="917">
          <cell r="B917" t="str">
            <v>7LCJ40CP001XQ01</v>
          </cell>
          <cell r="C917">
            <v>0</v>
          </cell>
          <cell r="D917" t="str">
            <v>P води на напорі ЗН-7Б</v>
          </cell>
        </row>
        <row r="918">
          <cell r="B918" t="str">
            <v xml:space="preserve">7NDC11CP001Q01 </v>
          </cell>
          <cell r="C918">
            <v>0</v>
          </cell>
          <cell r="D918" t="str">
            <v xml:space="preserve">Тиск на напорі НТМ №1 </v>
          </cell>
        </row>
        <row r="919">
          <cell r="B919" t="str">
            <v xml:space="preserve">7NDC12CP001Q01 </v>
          </cell>
          <cell r="C919">
            <v>0</v>
          </cell>
          <cell r="D919" t="str">
            <v xml:space="preserve">Тиск на напорі НТМ №2 </v>
          </cell>
        </row>
        <row r="920">
          <cell r="B920" t="str">
            <v>7LCJ40CG001XQ01</v>
          </cell>
          <cell r="C920">
            <v>0</v>
          </cell>
          <cell r="D920" t="str">
            <v>ДП РК L ПНТ-4</v>
          </cell>
        </row>
        <row r="921">
          <cell r="B921" t="str">
            <v>7LCC30CL001XQ01</v>
          </cell>
          <cell r="C921">
            <v>0</v>
          </cell>
          <cell r="D921" t="str">
            <v>L в ПНТ-3</v>
          </cell>
        </row>
        <row r="922">
          <cell r="B922" t="str">
            <v>7NDB10CF001XQ01</v>
          </cell>
          <cell r="C922">
            <v>0</v>
          </cell>
          <cell r="D922" t="str">
            <v>F мережн води на вх в бойлерну</v>
          </cell>
        </row>
        <row r="923">
          <cell r="B923" t="str">
            <v>7NDB10CP001XQ01</v>
          </cell>
          <cell r="C923">
            <v>0</v>
          </cell>
          <cell r="D923" t="str">
            <v>P мережн води на вх в бойлерну</v>
          </cell>
        </row>
        <row r="924">
          <cell r="B924" t="str">
            <v>7NDA10CP001XQ01</v>
          </cell>
          <cell r="C924">
            <v>0</v>
          </cell>
          <cell r="D924" t="str">
            <v>P мережн води на вих з бойлерн</v>
          </cell>
        </row>
        <row r="925">
          <cell r="B925" t="str">
            <v>7LCJ30CG001XQ01</v>
          </cell>
          <cell r="C925">
            <v>0</v>
          </cell>
          <cell r="D925" t="str">
            <v>ДП РК L ПНТ-3</v>
          </cell>
        </row>
        <row r="926">
          <cell r="B926" t="str">
            <v>7NDB10CG001XQ01</v>
          </cell>
          <cell r="C926">
            <v>0</v>
          </cell>
          <cell r="D926" t="str">
            <v>ДП РК тиску мережної води</v>
          </cell>
        </row>
        <row r="927">
          <cell r="B927" t="str">
            <v>7NAD50CL001XQ01</v>
          </cell>
          <cell r="C927">
            <v>0</v>
          </cell>
          <cell r="D927" t="str">
            <v>L в ПБ</v>
          </cell>
        </row>
        <row r="928">
          <cell r="B928" t="str">
            <v>7NAD60CL001XQ01</v>
          </cell>
          <cell r="C928">
            <v>0</v>
          </cell>
          <cell r="D928" t="str">
            <v>L в ОБ</v>
          </cell>
        </row>
        <row r="929">
          <cell r="B929" t="str">
            <v>7LCC20CL001XQ01</v>
          </cell>
          <cell r="C929">
            <v>0</v>
          </cell>
          <cell r="D929" t="str">
            <v>L в ПНТ-2</v>
          </cell>
        </row>
        <row r="930">
          <cell r="B930" t="str">
            <v>7NAA50CP001XQ01</v>
          </cell>
          <cell r="C930">
            <v>0</v>
          </cell>
          <cell r="D930" t="str">
            <v>P пари в 5-му відборі на ПБ</v>
          </cell>
        </row>
        <row r="931">
          <cell r="B931" t="str">
            <v>7NAA60CP001XQ01</v>
          </cell>
          <cell r="C931">
            <v>0</v>
          </cell>
          <cell r="D931" t="str">
            <v>P пари в 6-му відборі на ОБ</v>
          </cell>
        </row>
        <row r="932">
          <cell r="B932" t="str">
            <v>7NAB20CG001XQ01</v>
          </cell>
          <cell r="C932">
            <v>0</v>
          </cell>
          <cell r="D932" t="str">
            <v>ДП РК L в ПБ</v>
          </cell>
        </row>
        <row r="933">
          <cell r="B933" t="str">
            <v>7NAB10CG001XQ01</v>
          </cell>
          <cell r="C933">
            <v>0</v>
          </cell>
          <cell r="D933" t="str">
            <v>ДП РК L в ОБ</v>
          </cell>
        </row>
        <row r="934">
          <cell r="B934" t="str">
            <v>7LCC10CL001XQ01</v>
          </cell>
          <cell r="C934">
            <v>0</v>
          </cell>
          <cell r="D934" t="str">
            <v>L в ПНТ-1</v>
          </cell>
        </row>
        <row r="935">
          <cell r="B935" t="str">
            <v>7LCJ10CP001XQ01</v>
          </cell>
          <cell r="C935">
            <v>0</v>
          </cell>
          <cell r="D935" t="str">
            <v>P води на напорі ЗН-7А</v>
          </cell>
        </row>
        <row r="936">
          <cell r="B936" t="str">
            <v>7MAG10CL002XQ01</v>
          </cell>
          <cell r="C936">
            <v>0</v>
          </cell>
          <cell r="D936" t="str">
            <v>L в конденсаторі, д.2</v>
          </cell>
        </row>
        <row r="937">
          <cell r="B937" t="str">
            <v>7LCJ10CG001XQ01</v>
          </cell>
          <cell r="C937">
            <v>0</v>
          </cell>
          <cell r="D937" t="str">
            <v>ДП РК L ПНТ-1</v>
          </cell>
        </row>
        <row r="938">
          <cell r="B938" t="str">
            <v>7LCP10CG001XQ01</v>
          </cell>
          <cell r="C938">
            <v>0</v>
          </cell>
          <cell r="D938" t="str">
            <v>ДП РК L в ДВТ</v>
          </cell>
        </row>
        <row r="939">
          <cell r="B939" t="str">
            <v>7MKF11CT001XQ21</v>
          </cell>
          <cell r="C939">
            <v>0</v>
          </cell>
          <cell r="D939" t="str">
            <v>T дистиляту на вх в ТО СООС–А</v>
          </cell>
        </row>
        <row r="940">
          <cell r="B940" t="str">
            <v>7MKF11CT002XQ21</v>
          </cell>
          <cell r="C940">
            <v>0</v>
          </cell>
          <cell r="D940" t="str">
            <v>T дистиляту на вих з ТО СООС–А</v>
          </cell>
        </row>
        <row r="941">
          <cell r="B941" t="str">
            <v>7MKF12CT001XQ21</v>
          </cell>
          <cell r="C941">
            <v>0</v>
          </cell>
          <cell r="D941" t="str">
            <v>T дистиляту на вх в ТО СООС–Б</v>
          </cell>
        </row>
        <row r="942">
          <cell r="B942" t="str">
            <v>7MKF12CT002XQ21</v>
          </cell>
          <cell r="C942">
            <v>0</v>
          </cell>
          <cell r="D942" t="str">
            <v>T дистиляту на вих з ТО СООС–Б</v>
          </cell>
        </row>
        <row r="943">
          <cell r="B943" t="str">
            <v>7PCM11CT001XQ21</v>
          </cell>
          <cell r="C943">
            <v>0</v>
          </cell>
          <cell r="D943" t="str">
            <v>T охол води на вх в ТО СООС–А</v>
          </cell>
        </row>
        <row r="944">
          <cell r="B944" t="str">
            <v>7PCM11CT002XQ21</v>
          </cell>
          <cell r="C944">
            <v>0</v>
          </cell>
          <cell r="D944" t="str">
            <v>T охол води на вих з ТО СООС–А</v>
          </cell>
        </row>
        <row r="945">
          <cell r="B945" t="str">
            <v>7PCM12CT001XQ21</v>
          </cell>
          <cell r="C945">
            <v>0</v>
          </cell>
          <cell r="D945" t="str">
            <v>T охол води на вх в ТО СООС–Б</v>
          </cell>
        </row>
        <row r="946">
          <cell r="B946" t="str">
            <v>7PCM12CT002XQ21</v>
          </cell>
          <cell r="C946">
            <v>0</v>
          </cell>
          <cell r="D946" t="str">
            <v>T охол води на вих з ТО СООС–Б</v>
          </cell>
        </row>
        <row r="947">
          <cell r="B947" t="str">
            <v>7MKF30CT001XQ21</v>
          </cell>
          <cell r="C947">
            <v>0</v>
          </cell>
          <cell r="D947" t="str">
            <v>T дистиляту на вих з ТО ВПТГ</v>
          </cell>
        </row>
        <row r="948">
          <cell r="B948" t="str">
            <v>7PAC10CT001XQ21</v>
          </cell>
          <cell r="C948">
            <v>0</v>
          </cell>
          <cell r="D948" t="str">
            <v>T циркуляційної води на вході</v>
          </cell>
        </row>
        <row r="949">
          <cell r="B949" t="str">
            <v>7PAC20CT001XQ21</v>
          </cell>
          <cell r="C949">
            <v>0</v>
          </cell>
          <cell r="D949" t="str">
            <v>T зливу циркуляційної води спр</v>
          </cell>
        </row>
        <row r="950">
          <cell r="B950" t="str">
            <v>7PAC20CT002XQ21</v>
          </cell>
          <cell r="C950">
            <v>0</v>
          </cell>
          <cell r="D950" t="str">
            <v>T зливу циркуляційної води зл</v>
          </cell>
        </row>
        <row r="951">
          <cell r="B951" t="str">
            <v>7MAG10CT001XQ21</v>
          </cell>
          <cell r="C951">
            <v>0</v>
          </cell>
          <cell r="D951" t="str">
            <v>T мет у вихл.патр.ст.ген(А)</v>
          </cell>
        </row>
        <row r="952">
          <cell r="B952" t="str">
            <v>7MAG20CT001XQ21</v>
          </cell>
          <cell r="C952">
            <v>0</v>
          </cell>
          <cell r="D952" t="str">
            <v>T мет у вихл.патр.ст.ген(Б)</v>
          </cell>
        </row>
        <row r="953">
          <cell r="B953" t="str">
            <v>7MAG10CT011XQ21</v>
          </cell>
          <cell r="C953">
            <v>0</v>
          </cell>
          <cell r="D953" t="str">
            <v>T мет у вихл.патр.ст.ЦВТ(А)</v>
          </cell>
        </row>
        <row r="954">
          <cell r="B954" t="str">
            <v>7MAG20CT011XQ21</v>
          </cell>
          <cell r="C954">
            <v>0</v>
          </cell>
          <cell r="D954" t="str">
            <v>T мет у вихл.патр.ст.ЦВТ(Б)</v>
          </cell>
        </row>
        <row r="955">
          <cell r="B955" t="str">
            <v>7MAG10CT004XQ21</v>
          </cell>
          <cell r="C955">
            <v>0</v>
          </cell>
          <cell r="D955" t="str">
            <v>T відпрац пари (передня секц)</v>
          </cell>
        </row>
        <row r="956">
          <cell r="B956" t="str">
            <v>7MAG20CT004XQ21</v>
          </cell>
          <cell r="C956">
            <v>0</v>
          </cell>
          <cell r="D956" t="str">
            <v>T відпрац пари (задня секц)</v>
          </cell>
        </row>
        <row r="957">
          <cell r="B957" t="str">
            <v>7LCA10CT001XQ21</v>
          </cell>
          <cell r="C957">
            <v>0</v>
          </cell>
          <cell r="D957" t="str">
            <v>T конденсату перед КН</v>
          </cell>
        </row>
        <row r="958">
          <cell r="B958" t="str">
            <v>7MAG10CT006XQ21</v>
          </cell>
          <cell r="C958">
            <v>0</v>
          </cell>
          <cell r="D958" t="str">
            <v>T в конденсаторі</v>
          </cell>
        </row>
        <row r="959">
          <cell r="B959" t="str">
            <v>7NDA10CT004XQ21</v>
          </cell>
          <cell r="C959">
            <v>0</v>
          </cell>
          <cell r="D959" t="str">
            <v>T прямої мережної води</v>
          </cell>
        </row>
        <row r="960">
          <cell r="B960" t="str">
            <v>7NDB10CT001XQ21</v>
          </cell>
          <cell r="C960">
            <v>0</v>
          </cell>
          <cell r="D960" t="str">
            <v>T зворотної мережної води</v>
          </cell>
        </row>
        <row r="961">
          <cell r="B961" t="str">
            <v>7NDB10CT002XQ21</v>
          </cell>
          <cell r="C961">
            <v>0</v>
          </cell>
          <cell r="D961" t="str">
            <v>T води після основного бойлера</v>
          </cell>
        </row>
        <row r="962">
          <cell r="B962" t="str">
            <v>7NDB10CT003XQ21</v>
          </cell>
          <cell r="C962">
            <v>0</v>
          </cell>
          <cell r="D962" t="str">
            <v>T води після пікового бойлера</v>
          </cell>
        </row>
        <row r="963">
          <cell r="B963" t="str">
            <v>7LAC11CT001XQ21</v>
          </cell>
          <cell r="C963">
            <v>0</v>
          </cell>
          <cell r="D963" t="str">
            <v>T заліза стат.е/д ЖЕН-7А ф.U</v>
          </cell>
        </row>
        <row r="964">
          <cell r="B964" t="str">
            <v>7LAC11CT002XQ21</v>
          </cell>
          <cell r="C964">
            <v>0</v>
          </cell>
          <cell r="D964" t="str">
            <v>T заліза стат.е/д ЖЕН-7А ф.V</v>
          </cell>
        </row>
        <row r="965">
          <cell r="B965" t="str">
            <v>7LAC11CT003XQ21</v>
          </cell>
          <cell r="C965">
            <v>0</v>
          </cell>
          <cell r="D965" t="str">
            <v>T заліза стат.е/д ЖЕН-7А ф.W</v>
          </cell>
        </row>
        <row r="966">
          <cell r="B966" t="str">
            <v>7LAC11CT004XQ21</v>
          </cell>
          <cell r="C966">
            <v>0</v>
          </cell>
          <cell r="D966" t="str">
            <v>T міді стат.е/д ЖЕН-7А ф.U п1</v>
          </cell>
        </row>
        <row r="967">
          <cell r="B967" t="str">
            <v>7LAC11CT006XQ21</v>
          </cell>
          <cell r="C967">
            <v>0</v>
          </cell>
          <cell r="D967" t="str">
            <v>T міді стат.е/д ЖЕН-7А фV п15</v>
          </cell>
        </row>
        <row r="968">
          <cell r="B968" t="str">
            <v>7LAC11CT008XQ21</v>
          </cell>
          <cell r="C968">
            <v>0</v>
          </cell>
          <cell r="D968" t="str">
            <v>T міді стат.е/д ЖЕН-7А фW п29</v>
          </cell>
        </row>
        <row r="969">
          <cell r="B969" t="str">
            <v>7LAC11CT010XQ21</v>
          </cell>
          <cell r="C969">
            <v>0</v>
          </cell>
          <cell r="D969" t="str">
            <v>T хол.пов.е/д ЖЕН-7А (в.ст.)</v>
          </cell>
        </row>
        <row r="970">
          <cell r="B970" t="str">
            <v>7LAC11CT011XQ21</v>
          </cell>
          <cell r="C970">
            <v>0</v>
          </cell>
          <cell r="D970" t="str">
            <v>T хол.пов.е/д ЖЕН-7А (ст.н.)</v>
          </cell>
        </row>
        <row r="971">
          <cell r="B971" t="str">
            <v>7LAC11CT012XQ21</v>
          </cell>
          <cell r="C971">
            <v>0</v>
          </cell>
          <cell r="D971" t="str">
            <v>T гарячого повітря е/д ЖЕН-7А</v>
          </cell>
        </row>
        <row r="972">
          <cell r="B972" t="str">
            <v>7LAC11CT013XQ21</v>
          </cell>
          <cell r="C972">
            <v>0</v>
          </cell>
          <cell r="D972" t="str">
            <v>T баб підш е/д ЖЕН-7А (в.ст.)</v>
          </cell>
        </row>
        <row r="973">
          <cell r="B973" t="str">
            <v>7LAC11CT014XQ21</v>
          </cell>
          <cell r="C973">
            <v>0</v>
          </cell>
          <cell r="D973" t="str">
            <v>T баб підш.е/д ЖЕН-7А (ст.н.)</v>
          </cell>
        </row>
        <row r="974">
          <cell r="B974" t="str">
            <v>7LAC11CT015XQ21</v>
          </cell>
          <cell r="C974">
            <v>0</v>
          </cell>
          <cell r="D974" t="str">
            <v>T баб підш.пом ЖЕН-7А (ст.е/д)</v>
          </cell>
        </row>
        <row r="975">
          <cell r="B975" t="str">
            <v>7LAC11CT016XQ21</v>
          </cell>
          <cell r="C975">
            <v>0</v>
          </cell>
          <cell r="D975" t="str">
            <v>T баб підш.пом ЖЕН-7А (в.ст.)</v>
          </cell>
        </row>
        <row r="976">
          <cell r="B976" t="str">
            <v>7LAV11CT001XQ21</v>
          </cell>
          <cell r="C976">
            <v>0</v>
          </cell>
          <cell r="D976" t="str">
            <v>T масла на змащення ЖЕН-7А</v>
          </cell>
        </row>
        <row r="977">
          <cell r="B977" t="str">
            <v>7LAC11CT005XQ21</v>
          </cell>
          <cell r="C977">
            <v>0</v>
          </cell>
          <cell r="D977" t="str">
            <v>T міді стат.е/д ЖЕН-7А ф.U п2</v>
          </cell>
        </row>
        <row r="978">
          <cell r="B978" t="str">
            <v>7LAC11CT007XQ21</v>
          </cell>
          <cell r="C978">
            <v>0</v>
          </cell>
          <cell r="D978" t="str">
            <v>T міді стат.е/д ЖЕН-7А фV п16</v>
          </cell>
        </row>
        <row r="979">
          <cell r="B979" t="str">
            <v>7LAC11CT009XQ21</v>
          </cell>
          <cell r="C979">
            <v>0</v>
          </cell>
          <cell r="D979" t="str">
            <v>T міді стат.е/д ЖЕН-7А фW п30</v>
          </cell>
        </row>
        <row r="980">
          <cell r="B980" t="str">
            <v>7LAV11CT002XQ21</v>
          </cell>
          <cell r="C980">
            <v>0</v>
          </cell>
          <cell r="D980" t="str">
            <v>T масла зл.підш.ЖЕН-7А(в.ст.)</v>
          </cell>
        </row>
        <row r="981">
          <cell r="B981" t="str">
            <v>7LAV11CT003XQ21</v>
          </cell>
          <cell r="C981">
            <v>0</v>
          </cell>
          <cell r="D981" t="str">
            <v>T масла зл.підш.ЖЕН-7А(ст.н.)</v>
          </cell>
        </row>
        <row r="982">
          <cell r="B982" t="str">
            <v>7LAC11CT017XQ21</v>
          </cell>
          <cell r="C982">
            <v>0</v>
          </cell>
          <cell r="D982" t="str">
            <v>T холодної води е/д ЖЕН-7А</v>
          </cell>
        </row>
        <row r="983">
          <cell r="B983" t="str">
            <v>7LAC11CT018XQ21</v>
          </cell>
          <cell r="C983">
            <v>0</v>
          </cell>
          <cell r="D983" t="str">
            <v>T гарячої води е/д ЖЕН-7А</v>
          </cell>
        </row>
        <row r="984">
          <cell r="B984" t="str">
            <v>7LAC12CT005XQ21</v>
          </cell>
          <cell r="C984">
            <v>0</v>
          </cell>
          <cell r="D984" t="str">
            <v>T міді стат.е/д ЖЕН-7Б фU п.2</v>
          </cell>
        </row>
        <row r="985">
          <cell r="B985" t="str">
            <v>7LAC12CT007XQ21</v>
          </cell>
          <cell r="C985">
            <v>0</v>
          </cell>
          <cell r="D985" t="str">
            <v>T міді стат.е/д ЖЕН-7Б фV п16</v>
          </cell>
        </row>
        <row r="986">
          <cell r="B986" t="str">
            <v>7LAC12CT009XQ21</v>
          </cell>
          <cell r="C986">
            <v>0</v>
          </cell>
          <cell r="D986" t="str">
            <v>T міді стат.е/д ЖЕН-7Б фW п30</v>
          </cell>
        </row>
        <row r="987">
          <cell r="B987" t="str">
            <v>7LAV12CT002XQ21</v>
          </cell>
          <cell r="C987">
            <v>0</v>
          </cell>
          <cell r="D987" t="str">
            <v>T масла зл.підш.ЖЕН-7Б(в.ст.)</v>
          </cell>
        </row>
        <row r="988">
          <cell r="B988" t="str">
            <v>7LAV12CT003XQ21</v>
          </cell>
          <cell r="C988">
            <v>0</v>
          </cell>
          <cell r="D988" t="str">
            <v>T масла зл.підш.ЖЕН-7Б(ст.н.)</v>
          </cell>
        </row>
        <row r="989">
          <cell r="B989" t="str">
            <v>7LAC12CT017XQ21</v>
          </cell>
          <cell r="C989">
            <v>0</v>
          </cell>
          <cell r="D989" t="str">
            <v>T холодної води е/д ЖЕН-7Б</v>
          </cell>
        </row>
        <row r="990">
          <cell r="B990" t="str">
            <v>7LAC12CT018XQ21</v>
          </cell>
          <cell r="C990">
            <v>0</v>
          </cell>
          <cell r="D990" t="str">
            <v>T гарячої води е/д ЖЕН-7Б</v>
          </cell>
        </row>
        <row r="991">
          <cell r="B991" t="str">
            <v>7LAC12CT012XQ21</v>
          </cell>
          <cell r="C991">
            <v>0</v>
          </cell>
          <cell r="D991" t="str">
            <v>T гарячого повітря е/д ЖЕН-7Б</v>
          </cell>
        </row>
        <row r="992">
          <cell r="B992" t="str">
            <v>7LAC12CT013XQ21</v>
          </cell>
          <cell r="C992">
            <v>0</v>
          </cell>
          <cell r="D992" t="str">
            <v>T баб підш.е/д ЖЕН-7Б (в.ст.)</v>
          </cell>
        </row>
        <row r="993">
          <cell r="B993" t="str">
            <v>7LAC12CT014XQ21</v>
          </cell>
          <cell r="C993">
            <v>0</v>
          </cell>
          <cell r="D993" t="str">
            <v>T баб підш.е/д ЖЕН-7Б (ст.ГМ)</v>
          </cell>
        </row>
        <row r="994">
          <cell r="B994" t="str">
            <v>7LAC12CT015XQ21</v>
          </cell>
          <cell r="C994">
            <v>0</v>
          </cell>
          <cell r="D994" t="str">
            <v>T баб підш.пом ЖЕН-7Б (ст.е/д)</v>
          </cell>
        </row>
        <row r="995">
          <cell r="B995" t="str">
            <v>7LAC12CT016XQ21</v>
          </cell>
          <cell r="C995">
            <v>0</v>
          </cell>
          <cell r="D995" t="str">
            <v>T баб підш.пом ЖЕН-7Б (в.ст.)</v>
          </cell>
        </row>
        <row r="996">
          <cell r="B996" t="str">
            <v>7LAV12CT001XQ21</v>
          </cell>
          <cell r="C996">
            <v>0</v>
          </cell>
          <cell r="D996" t="str">
            <v>T масла на змащення ЖЕН-7Б</v>
          </cell>
        </row>
        <row r="997">
          <cell r="B997" t="str">
            <v>7LAC12CT001XQ21</v>
          </cell>
          <cell r="C997">
            <v>0</v>
          </cell>
          <cell r="D997" t="str">
            <v>T заліза стат.е/д ЖЕН-7Б ф.U</v>
          </cell>
        </row>
        <row r="998">
          <cell r="B998" t="str">
            <v>7LAC12CT002XQ21</v>
          </cell>
          <cell r="C998">
            <v>0</v>
          </cell>
          <cell r="D998" t="str">
            <v>T заліза стат.е/д ЖЕН-7Б ф.V</v>
          </cell>
        </row>
        <row r="999">
          <cell r="B999" t="str">
            <v>7LAC12CT003XQ21</v>
          </cell>
          <cell r="C999">
            <v>0</v>
          </cell>
          <cell r="D999" t="str">
            <v>T заліза стат.е/д ЖЕН-7Б ф.W</v>
          </cell>
        </row>
        <row r="1000">
          <cell r="B1000" t="str">
            <v>7LAC12CT004XQ21</v>
          </cell>
          <cell r="C1000">
            <v>0</v>
          </cell>
          <cell r="D1000" t="str">
            <v>T міді стат.е/д ЖЕН-7Б фU п.1</v>
          </cell>
        </row>
        <row r="1001">
          <cell r="B1001" t="str">
            <v>7LAC12CT006XQ21</v>
          </cell>
          <cell r="C1001">
            <v>0</v>
          </cell>
          <cell r="D1001" t="str">
            <v>T міді стат.е/д ЖЕН-7Б фV п15</v>
          </cell>
        </row>
        <row r="1002">
          <cell r="B1002" t="str">
            <v>7LAC12CT008XQ21</v>
          </cell>
          <cell r="C1002">
            <v>0</v>
          </cell>
          <cell r="D1002" t="str">
            <v>T міді стат.е/д ЖЕН-7Б фW п29</v>
          </cell>
        </row>
        <row r="1003">
          <cell r="B1003" t="str">
            <v>7LAC12CT010XQ21</v>
          </cell>
          <cell r="C1003">
            <v>0</v>
          </cell>
          <cell r="D1003" t="str">
            <v>T хол.пов е/д ЖЕН-7Б (в.ст.)</v>
          </cell>
        </row>
        <row r="1004">
          <cell r="B1004" t="str">
            <v>7LAC12CT011XQ21</v>
          </cell>
          <cell r="C1004">
            <v>0</v>
          </cell>
          <cell r="D1004" t="str">
            <v>T хол.пов е/д ЖЕН-7Б (ст.н.)</v>
          </cell>
        </row>
        <row r="1005">
          <cell r="B1005" t="str">
            <v>7LBA11CT003XQ21</v>
          </cell>
          <cell r="C1005">
            <v>0</v>
          </cell>
          <cell r="D1005" t="str">
            <v>T за РУ-А  (д.1)</v>
          </cell>
        </row>
        <row r="1006">
          <cell r="B1006" t="str">
            <v>7LBA11CT004XQ21</v>
          </cell>
          <cell r="C1006">
            <v>0</v>
          </cell>
          <cell r="D1006" t="str">
            <v>T за РУ-А  (д.2)</v>
          </cell>
        </row>
        <row r="1007">
          <cell r="B1007" t="str">
            <v>7LBA12CT003XQ21</v>
          </cell>
          <cell r="C1007">
            <v>0</v>
          </cell>
          <cell r="D1007" t="str">
            <v>T за РУ-Б  (д.1)</v>
          </cell>
        </row>
        <row r="1008">
          <cell r="B1008" t="str">
            <v>7LBA12CT004XQ21</v>
          </cell>
          <cell r="C1008">
            <v>0</v>
          </cell>
          <cell r="D1008" t="str">
            <v>T за РУ-Б  (д.2)</v>
          </cell>
        </row>
        <row r="1009">
          <cell r="B1009" t="str">
            <v>7LBA60CT001XQ21</v>
          </cell>
          <cell r="C1009">
            <v>0</v>
          </cell>
          <cell r="D1009" t="str">
            <v>Т пари за РОУ скид в ХПП</v>
          </cell>
        </row>
        <row r="1010">
          <cell r="B1010" t="str">
            <v>7LCH60CT001XQ21</v>
          </cell>
          <cell r="C1010">
            <v>0</v>
          </cell>
          <cell r="D1010" t="str">
            <v>T дренажів ПВТ-6</v>
          </cell>
        </row>
        <row r="1011">
          <cell r="B1011" t="str">
            <v>7LCH70CT001XQ21</v>
          </cell>
          <cell r="C1011">
            <v>0</v>
          </cell>
          <cell r="D1011" t="str">
            <v>T дренажів ПВТ-7</v>
          </cell>
        </row>
        <row r="1012">
          <cell r="B1012" t="str">
            <v>7LCH80CT001XQ21</v>
          </cell>
          <cell r="C1012">
            <v>0</v>
          </cell>
          <cell r="D1012" t="str">
            <v>T дренажів ПВТ-8</v>
          </cell>
        </row>
        <row r="1013">
          <cell r="B1013" t="str">
            <v>7LCJ10CT001XQ21</v>
          </cell>
          <cell r="C1013">
            <v>0</v>
          </cell>
          <cell r="D1013" t="str">
            <v>T дренажів ПНТ1</v>
          </cell>
        </row>
        <row r="1014">
          <cell r="B1014" t="str">
            <v>7LCJ20CT001XQ21</v>
          </cell>
          <cell r="C1014">
            <v>0</v>
          </cell>
          <cell r="D1014" t="str">
            <v>T дренажів ПНТ2</v>
          </cell>
        </row>
        <row r="1015">
          <cell r="B1015" t="str">
            <v>7LCJ30CT001XQ21</v>
          </cell>
          <cell r="C1015">
            <v>0</v>
          </cell>
          <cell r="D1015" t="str">
            <v>T дренажів ПНТ3</v>
          </cell>
        </row>
        <row r="1016">
          <cell r="B1016" t="str">
            <v>7LCJ40CT001XQ21</v>
          </cell>
          <cell r="C1016">
            <v>0</v>
          </cell>
          <cell r="D1016" t="str">
            <v>T дренажів ПНТ4</v>
          </cell>
        </row>
        <row r="1017">
          <cell r="B1017" t="str">
            <v>7MKG20CQ001XQ01</v>
          </cell>
          <cell r="C1017">
            <v>0</v>
          </cell>
          <cell r="D1017" t="str">
            <v>Витікання водню, підш 6</v>
          </cell>
        </row>
        <row r="1018">
          <cell r="B1018" t="str">
            <v>7MKG20CQ002XQ01</v>
          </cell>
          <cell r="C1018">
            <v>0</v>
          </cell>
          <cell r="D1018" t="str">
            <v>Витікання водню, підш 5</v>
          </cell>
        </row>
        <row r="1019">
          <cell r="B1019" t="str">
            <v>7MKG20CQ003XQ01</v>
          </cell>
          <cell r="C1019">
            <v>0</v>
          </cell>
          <cell r="D1019" t="str">
            <v>Витік водню, канал 3 (зірка)</v>
          </cell>
        </row>
        <row r="1020">
          <cell r="B1020" t="str">
            <v>7MKG20CQ004XQ01</v>
          </cell>
          <cell r="C1020">
            <v>0</v>
          </cell>
          <cell r="D1020" t="str">
            <v>Витік водню, канал 4 (шинопров)</v>
          </cell>
        </row>
        <row r="1021">
          <cell r="B1021" t="str">
            <v>7MKG10CQ001XQ01</v>
          </cell>
          <cell r="C1021">
            <v>0</v>
          </cell>
          <cell r="D1021" t="str">
            <v>Чистота водню</v>
          </cell>
        </row>
        <row r="1022">
          <cell r="B1022" t="str">
            <v>7MKG00CP001XQ01</v>
          </cell>
          <cell r="C1022">
            <v>0</v>
          </cell>
          <cell r="D1022" t="str">
            <v xml:space="preserve">Тиск водню вхід в генератор </v>
          </cell>
        </row>
        <row r="1023">
          <cell r="B1023" t="str">
            <v>7MKG10CP001XQ01</v>
          </cell>
          <cell r="C1023">
            <v>0</v>
          </cell>
          <cell r="D1023" t="str">
            <v>P водню в генераторі</v>
          </cell>
        </row>
        <row r="1024">
          <cell r="B1024" t="str">
            <v>7MKG10CP002XQ01</v>
          </cell>
          <cell r="C1024">
            <v>0</v>
          </cell>
          <cell r="D1024" t="str">
            <v>P водню в генераторі</v>
          </cell>
        </row>
        <row r="1025">
          <cell r="B1025" t="str">
            <v>7PAB10CP001XQ01</v>
          </cell>
          <cell r="C1025">
            <v>0</v>
          </cell>
          <cell r="D1025" t="str">
            <v>P води на оливоохолоджувачі</v>
          </cell>
        </row>
        <row r="1026">
          <cell r="B1026" t="str">
            <v xml:space="preserve">7MAX20CP001Q01 </v>
          </cell>
          <cell r="C1026">
            <v>0</v>
          </cell>
          <cell r="D1026" t="str">
            <v xml:space="preserve">Тиск оливи за імпелером </v>
          </cell>
        </row>
        <row r="1027">
          <cell r="B1027" t="str">
            <v>7MAX10CP001XQ01</v>
          </cell>
          <cell r="C1027">
            <v>0</v>
          </cell>
          <cell r="D1027" t="str">
            <v>P оливи на регулювання</v>
          </cell>
        </row>
        <row r="1028">
          <cell r="B1028" t="str">
            <v>7MAN10CP001XQ01</v>
          </cell>
          <cell r="C1028">
            <v>0</v>
          </cell>
          <cell r="D1028" t="str">
            <v>P пари в приймачі к-ра зліва</v>
          </cell>
        </row>
        <row r="1029">
          <cell r="B1029" t="str">
            <v>7MAN20CP001XQ01</v>
          </cell>
          <cell r="C1029">
            <v>0</v>
          </cell>
          <cell r="D1029" t="str">
            <v>P пари в приймачі к-ра справа</v>
          </cell>
        </row>
        <row r="1030">
          <cell r="B1030" t="str">
            <v>7PAB21CP001XQ01</v>
          </cell>
          <cell r="C1030">
            <v>0</v>
          </cell>
          <cell r="D1030" t="str">
            <v>Зрив сифона Ц-5А (злив. циркв)</v>
          </cell>
        </row>
        <row r="1031">
          <cell r="B1031" t="str">
            <v>7PAB22CP001XQ01</v>
          </cell>
          <cell r="C1031">
            <v>0</v>
          </cell>
          <cell r="D1031" t="str">
            <v>Зрив сифона Ц-6А (злив. циркв)</v>
          </cell>
        </row>
        <row r="1032">
          <cell r="B1032" t="str">
            <v xml:space="preserve">7MKF20CF001XQ01 </v>
          </cell>
          <cell r="C1032">
            <v>0</v>
          </cell>
          <cell r="D1032" t="str">
            <v xml:space="preserve">Витрата дистиляту на ВУТГ </v>
          </cell>
        </row>
        <row r="1033">
          <cell r="B1033" t="str">
            <v xml:space="preserve">7UCA01CP001XQ01 </v>
          </cell>
          <cell r="C1033">
            <v>0</v>
          </cell>
          <cell r="D1033" t="str">
            <v xml:space="preserve">Атмосферний тиск </v>
          </cell>
        </row>
        <row r="1034">
          <cell r="B1034" t="str">
            <v>7LCP11CE001XQ01</v>
          </cell>
          <cell r="C1034">
            <v>0</v>
          </cell>
          <cell r="D1034" t="str">
            <v>Струм ел/дв НБЗК-7А</v>
          </cell>
        </row>
        <row r="1035">
          <cell r="B1035" t="str">
            <v>7LCP12CE001XQ01</v>
          </cell>
          <cell r="C1035">
            <v>0</v>
          </cell>
          <cell r="D1035" t="str">
            <v>Струм ел/дв НБЗК-7Б</v>
          </cell>
        </row>
        <row r="1036">
          <cell r="B1036" t="str">
            <v>7PAC20CG101XQ01</v>
          </cell>
          <cell r="C1036">
            <v>0</v>
          </cell>
          <cell r="D1036" t="str">
            <v xml:space="preserve">ДП З-ка зливна циркводоводу </v>
          </cell>
        </row>
        <row r="1037">
          <cell r="B1037" t="str">
            <v>7PAC20CG102XQ01</v>
          </cell>
          <cell r="C1037">
            <v>0</v>
          </cell>
          <cell r="D1037" t="str">
            <v xml:space="preserve">ДП З-ка зливна циркводоводу </v>
          </cell>
        </row>
        <row r="1038">
          <cell r="B1038" t="str">
            <v>7PAC10CG101XQ01</v>
          </cell>
          <cell r="C1038">
            <v>0</v>
          </cell>
          <cell r="D1038" t="str">
            <v>ДП З-ка напірна циркводоводу</v>
          </cell>
        </row>
        <row r="1039">
          <cell r="B1039" t="str">
            <v>7PAC10CG102XQ01</v>
          </cell>
          <cell r="C1039">
            <v>0</v>
          </cell>
          <cell r="D1039" t="str">
            <v>ДП З-ка напірна циркводоводу</v>
          </cell>
        </row>
        <row r="1040">
          <cell r="B1040" t="str">
            <v>7MAC15CT001XQ11</v>
          </cell>
          <cell r="C1040">
            <v>0</v>
          </cell>
          <cell r="D1040" t="str">
            <v>T металу пароперепускної труби №3 верх</v>
          </cell>
        </row>
        <row r="1041">
          <cell r="B1041" t="str">
            <v>7MAC15CT002XQ11</v>
          </cell>
          <cell r="C1041">
            <v>0</v>
          </cell>
          <cell r="D1041" t="str">
            <v>T металу пароперепускної труби №3 низ</v>
          </cell>
        </row>
        <row r="1042">
          <cell r="B1042" t="str">
            <v>7MAC15CT003XQ11</v>
          </cell>
          <cell r="C1042">
            <v>0</v>
          </cell>
          <cell r="D1042" t="str">
            <v>T металу пароперепускної труби №2 верх</v>
          </cell>
        </row>
        <row r="1043">
          <cell r="B1043" t="str">
            <v>7MAC15CT004XQ11</v>
          </cell>
          <cell r="C1043">
            <v>0</v>
          </cell>
          <cell r="D1043" t="str">
            <v>T металу пароперепускної труби №2 низ</v>
          </cell>
        </row>
        <row r="1044">
          <cell r="B1044" t="str">
            <v>7MAC15CT005XQ11</v>
          </cell>
          <cell r="C1044">
            <v>0</v>
          </cell>
          <cell r="D1044" t="str">
            <v>T металу пароперепускної труби №1 верх</v>
          </cell>
        </row>
        <row r="1045">
          <cell r="B1045" t="str">
            <v>7MAC15CT006XQ11</v>
          </cell>
          <cell r="C1045">
            <v>0</v>
          </cell>
          <cell r="D1045" t="str">
            <v>T металу пароперепускної труби №1 низ</v>
          </cell>
        </row>
        <row r="1046">
          <cell r="B1046" t="str">
            <v>7MAC15CT007XQ11</v>
          </cell>
          <cell r="C1046">
            <v>0</v>
          </cell>
          <cell r="D1046" t="str">
            <v>T металу пароперепускної труби №4 верх</v>
          </cell>
        </row>
        <row r="1047">
          <cell r="B1047" t="str">
            <v>7MAC15CT008XQ11</v>
          </cell>
          <cell r="C1047">
            <v>0</v>
          </cell>
          <cell r="D1047" t="str">
            <v>T металу паро перепускної труби №4 низ</v>
          </cell>
        </row>
        <row r="1048">
          <cell r="B1048" t="str">
            <v>7D006P1B5L1XQ21</v>
          </cell>
          <cell r="C1048">
            <v>0</v>
          </cell>
          <cell r="D1048" t="str">
            <v>T модуля 1-5-1 CRA60</v>
          </cell>
        </row>
        <row r="1049">
          <cell r="B1049" t="str">
            <v>7MAC20CT001XQ11</v>
          </cell>
          <cell r="C1049">
            <v>0</v>
          </cell>
          <cell r="D1049" t="str">
            <v>T мет паропроводів до ГПП ст Б</v>
          </cell>
        </row>
        <row r="1050">
          <cell r="B1050" t="str">
            <v>7MAC20CT002XQ11</v>
          </cell>
          <cell r="C1050">
            <v>0</v>
          </cell>
          <cell r="D1050" t="str">
            <v>T мет паропереп тр ГПП ст Б (в)</v>
          </cell>
        </row>
        <row r="1051">
          <cell r="B1051" t="str">
            <v>7MAC20CT003XQ11</v>
          </cell>
          <cell r="C1051">
            <v>0</v>
          </cell>
          <cell r="D1051" t="str">
            <v>T мет паропереп тр ГПП ст Б (н)</v>
          </cell>
        </row>
        <row r="1052">
          <cell r="B1052" t="str">
            <v>7MAC20CT004XQ11</v>
          </cell>
          <cell r="C1052">
            <v>0</v>
          </cell>
          <cell r="D1052" t="str">
            <v>T мет корпусу клап ГПП ст Б</v>
          </cell>
        </row>
        <row r="1053">
          <cell r="B1053" t="str">
            <v>7MAC10CT001XQ11</v>
          </cell>
          <cell r="C1053">
            <v>0</v>
          </cell>
          <cell r="D1053" t="str">
            <v>T мет паропроводів до ГПП ст А</v>
          </cell>
        </row>
        <row r="1054">
          <cell r="B1054" t="str">
            <v>7MAC10CT002XQ11</v>
          </cell>
          <cell r="C1054">
            <v>0</v>
          </cell>
          <cell r="D1054" t="str">
            <v>T мет паропереп тр ГПП ст А (в)</v>
          </cell>
        </row>
        <row r="1055">
          <cell r="B1055" t="str">
            <v>7MAC10CT003XQ11</v>
          </cell>
          <cell r="C1055">
            <v>0</v>
          </cell>
          <cell r="D1055" t="str">
            <v>T мет паропереп тр ГПП ст А (н)</v>
          </cell>
        </row>
        <row r="1056">
          <cell r="B1056" t="str">
            <v>7MAC10CT004XQ11</v>
          </cell>
          <cell r="C1056">
            <v>0</v>
          </cell>
          <cell r="D1056" t="str">
            <v>T мет корпусу клап ГПП ст А</v>
          </cell>
        </row>
        <row r="1057">
          <cell r="B1057" t="str">
            <v>7LBQ60CT001XQ11</v>
          </cell>
          <cell r="C1057">
            <v>0</v>
          </cell>
          <cell r="D1057" t="str">
            <v>T пари у відборі №3</v>
          </cell>
        </row>
        <row r="1058">
          <cell r="B1058" t="str">
            <v>7LBQ50CT001XQ11</v>
          </cell>
          <cell r="C1058">
            <v>0</v>
          </cell>
          <cell r="D1058" t="str">
            <v>T пари у відборі №4</v>
          </cell>
        </row>
        <row r="1059">
          <cell r="B1059" t="str">
            <v>7LBS60CT001XQ11</v>
          </cell>
          <cell r="C1059">
            <v>0</v>
          </cell>
          <cell r="D1059" t="str">
            <v>T пари у відборі №6</v>
          </cell>
        </row>
        <row r="1060">
          <cell r="B1060" t="str">
            <v>7LBS70CT001XQ11</v>
          </cell>
          <cell r="C1060">
            <v>0</v>
          </cell>
          <cell r="D1060" t="str">
            <v>T пари у відб №7 (лів труб)</v>
          </cell>
        </row>
        <row r="1061">
          <cell r="B1061" t="str">
            <v>7LBS70CT002XQ11</v>
          </cell>
          <cell r="C1061">
            <v>0</v>
          </cell>
          <cell r="D1061" t="str">
            <v>T пари у відб №7 (пр трубопр)</v>
          </cell>
        </row>
        <row r="1062">
          <cell r="B1062" t="str">
            <v>7LBS80CT002XQ11</v>
          </cell>
          <cell r="C1062">
            <v>0</v>
          </cell>
          <cell r="D1062" t="str">
            <v>T пари у відб №8 (пр трубопр)</v>
          </cell>
        </row>
        <row r="1063">
          <cell r="B1063" t="str">
            <v>7LBA10CT110XQ11</v>
          </cell>
          <cell r="C1063">
            <v>0</v>
          </cell>
          <cell r="D1063" t="str">
            <v>T корпусу ГПЗ н.А зліва</v>
          </cell>
        </row>
        <row r="1064">
          <cell r="B1064" t="str">
            <v>7LBA10CT111XQ11</v>
          </cell>
          <cell r="C1064">
            <v>0</v>
          </cell>
          <cell r="D1064" t="str">
            <v>T корпусу ГПЗ н.А справа</v>
          </cell>
        </row>
        <row r="1065">
          <cell r="B1065" t="str">
            <v>7LBA20CT111XQ11</v>
          </cell>
          <cell r="C1065">
            <v>0</v>
          </cell>
          <cell r="D1065" t="str">
            <v>T корпусу ГПЗ н.Б справа</v>
          </cell>
        </row>
        <row r="1066">
          <cell r="B1066" t="str">
            <v>7LBA20CT110XQ11</v>
          </cell>
          <cell r="C1066">
            <v>0</v>
          </cell>
          <cell r="D1066" t="str">
            <v>T корпусу ГПЗ н.Б зліва</v>
          </cell>
        </row>
        <row r="1067">
          <cell r="B1067" t="str">
            <v>7MAV21CT001XQ21</v>
          </cell>
          <cell r="C1067">
            <v>0</v>
          </cell>
          <cell r="D1067" t="str">
            <v>T оливи після МО-А</v>
          </cell>
        </row>
        <row r="1068">
          <cell r="B1068" t="str">
            <v>7MAV22CT001XQ21</v>
          </cell>
          <cell r="C1068">
            <v>0</v>
          </cell>
          <cell r="D1068" t="str">
            <v>T оливи після МО-Б</v>
          </cell>
        </row>
        <row r="1069">
          <cell r="B1069" t="str">
            <v>7MAV23CT001XQ21</v>
          </cell>
          <cell r="C1069">
            <v>0</v>
          </cell>
          <cell r="D1069" t="str">
            <v>T оливи після МО-В</v>
          </cell>
        </row>
        <row r="1070">
          <cell r="B1070" t="str">
            <v>7MKW05CT001XQ21</v>
          </cell>
          <cell r="C1070">
            <v>0</v>
          </cell>
          <cell r="D1070" t="str">
            <v>T оливи ущільн. перед МО</v>
          </cell>
        </row>
        <row r="1071">
          <cell r="B1071" t="str">
            <v>7MAV20CT001XQ21</v>
          </cell>
          <cell r="C1071">
            <v>0</v>
          </cell>
          <cell r="D1071" t="str">
            <v>T оливи перед МО</v>
          </cell>
        </row>
        <row r="1072">
          <cell r="B1072" t="str">
            <v>7MAV20CT002XQ21</v>
          </cell>
          <cell r="C1072">
            <v>0</v>
          </cell>
          <cell r="D1072" t="str">
            <v>T оливи після МО</v>
          </cell>
        </row>
        <row r="1073">
          <cell r="B1073" t="str">
            <v>7MKW09CT001XQ21</v>
          </cell>
          <cell r="C1073">
            <v>0</v>
          </cell>
          <cell r="D1073" t="str">
            <v>T оливи ущільн. після МО</v>
          </cell>
        </row>
        <row r="1074">
          <cell r="B1074" t="str">
            <v>7MKW07CT001XQ21</v>
          </cell>
          <cell r="C1074">
            <v>0</v>
          </cell>
          <cell r="D1074" t="str">
            <v>T охол води вхід МО01</v>
          </cell>
        </row>
        <row r="1075">
          <cell r="B1075" t="str">
            <v>7MKW07CT002XQ21</v>
          </cell>
          <cell r="C1075">
            <v>0</v>
          </cell>
          <cell r="D1075" t="str">
            <v>T охол води вихід МО01</v>
          </cell>
        </row>
        <row r="1076">
          <cell r="B1076" t="str">
            <v>7MKW08CT001XQ21</v>
          </cell>
          <cell r="C1076">
            <v>0</v>
          </cell>
          <cell r="D1076" t="str">
            <v>T охол води вхід МО02</v>
          </cell>
        </row>
        <row r="1077">
          <cell r="B1077" t="str">
            <v>7MKW08CT002XQ21</v>
          </cell>
          <cell r="C1077">
            <v>0</v>
          </cell>
          <cell r="D1077" t="str">
            <v>T охол води вихід МО02</v>
          </cell>
        </row>
        <row r="1078">
          <cell r="B1078" t="str">
            <v>7PAB21CT001XQ21</v>
          </cell>
          <cell r="C1078">
            <v>0</v>
          </cell>
          <cell r="D1078" t="str">
            <v>T води після МО-А</v>
          </cell>
        </row>
        <row r="1079">
          <cell r="B1079" t="str">
            <v>7PAB22CT001XQ21</v>
          </cell>
          <cell r="C1079">
            <v>0</v>
          </cell>
          <cell r="D1079" t="str">
            <v>T води після МО-Б</v>
          </cell>
        </row>
        <row r="1080">
          <cell r="B1080" t="str">
            <v>7PAB23CT001XQ21</v>
          </cell>
          <cell r="C1080">
            <v>0</v>
          </cell>
          <cell r="D1080" t="str">
            <v>T води після МО-В</v>
          </cell>
        </row>
        <row r="1081">
          <cell r="B1081" t="str">
            <v>7CVA56CT001XQ21</v>
          </cell>
          <cell r="C1081">
            <v>0</v>
          </cell>
          <cell r="D1081" t="str">
            <v>Т холодних спаїв шафи 7CVA056</v>
          </cell>
        </row>
        <row r="1082">
          <cell r="B1082" t="str">
            <v>7CVA48CT001XQ21</v>
          </cell>
          <cell r="C1082">
            <v>0</v>
          </cell>
          <cell r="D1082" t="str">
            <v>Т холодних спаїв шафи 7CVA048</v>
          </cell>
        </row>
        <row r="1083">
          <cell r="B1083" t="str">
            <v>7LBA10CT012XQ11</v>
          </cell>
          <cell r="C1083">
            <v>0</v>
          </cell>
          <cell r="D1083" t="str">
            <v>T метал після ГПЗ ст А</v>
          </cell>
        </row>
        <row r="1084">
          <cell r="B1084" t="str">
            <v>7LBA20CT012XQ11</v>
          </cell>
          <cell r="C1084">
            <v>0</v>
          </cell>
          <cell r="D1084" t="str">
            <v>T метал після ГПЗ ст Б</v>
          </cell>
        </row>
        <row r="1085">
          <cell r="B1085" t="str">
            <v>7MAA10CT001XQ11</v>
          </cell>
          <cell r="C1085">
            <v>0</v>
          </cell>
          <cell r="D1085" t="str">
            <v>T стопорний клапан низ зліва</v>
          </cell>
        </row>
        <row r="1086">
          <cell r="B1086" t="str">
            <v>7MAA10CT002XQ11</v>
          </cell>
          <cell r="C1086">
            <v>0</v>
          </cell>
          <cell r="D1086" t="str">
            <v>T стопорний клапан верх зліва</v>
          </cell>
        </row>
        <row r="1087">
          <cell r="B1087" t="str">
            <v>7MAA10CT003XQ11</v>
          </cell>
          <cell r="C1087">
            <v>0</v>
          </cell>
          <cell r="D1087" t="str">
            <v>T стопорний клапан верх справа</v>
          </cell>
        </row>
        <row r="1088">
          <cell r="B1088" t="str">
            <v>7LAB10CT002XQ11</v>
          </cell>
          <cell r="C1088">
            <v>0</v>
          </cell>
          <cell r="D1088" t="str">
            <v>T жив.води після ПВТ</v>
          </cell>
        </row>
        <row r="1089">
          <cell r="B1089" t="str">
            <v>7MAC10CT005XQ11</v>
          </cell>
          <cell r="C1089">
            <v>0</v>
          </cell>
          <cell r="D1089" t="str">
            <v>T мет шпильки №16 ст А</v>
          </cell>
        </row>
        <row r="1090">
          <cell r="B1090" t="str">
            <v>7MAC20CT005XQ11</v>
          </cell>
          <cell r="C1090">
            <v>0</v>
          </cell>
          <cell r="D1090" t="str">
            <v>T мет шпильки №16 ст Б</v>
          </cell>
        </row>
        <row r="1091">
          <cell r="B1091" t="str">
            <v>7MAA10CT015XQ11</v>
          </cell>
          <cell r="C1091">
            <v>0</v>
          </cell>
          <cell r="D1091" t="str">
            <v>T мет шпильки №2 ст А</v>
          </cell>
        </row>
        <row r="1092">
          <cell r="B1092" t="str">
            <v>7MAA20CT015XQ11</v>
          </cell>
          <cell r="C1092">
            <v>0</v>
          </cell>
          <cell r="D1092" t="str">
            <v>T мет шпильки №2 ст Б</v>
          </cell>
        </row>
        <row r="1093">
          <cell r="B1093" t="str">
            <v>7MAC10CT006XQ11</v>
          </cell>
          <cell r="C1093">
            <v>0</v>
          </cell>
          <cell r="D1093" t="str">
            <v>T мет фл в р-ні шпильки 16 ст А</v>
          </cell>
        </row>
        <row r="1094">
          <cell r="B1094" t="str">
            <v>7MAC20CT006XQ11</v>
          </cell>
          <cell r="C1094">
            <v>0</v>
          </cell>
          <cell r="D1094" t="str">
            <v>T мет фл в р-ні шпильки 16 ст Б</v>
          </cell>
        </row>
        <row r="1095">
          <cell r="B1095" t="str">
            <v>7MAA11CT011XQ11</v>
          </cell>
          <cell r="C1095">
            <v>0</v>
          </cell>
          <cell r="D1095" t="str">
            <v>T флан в зоні регул ступ ст Б</v>
          </cell>
        </row>
        <row r="1096">
          <cell r="B1096" t="str">
            <v>7MAA11CT012XQ11</v>
          </cell>
          <cell r="C1096">
            <v>0</v>
          </cell>
          <cell r="D1096" t="str">
            <v>T флан в зоні регул ступ ст А</v>
          </cell>
        </row>
        <row r="1097">
          <cell r="B1097" t="str">
            <v>7MAA11CT019XQ11</v>
          </cell>
          <cell r="C1097">
            <v>0</v>
          </cell>
          <cell r="D1097" t="str">
            <v>T мет рег ступ в середині ЦВТ</v>
          </cell>
        </row>
        <row r="1098">
          <cell r="B1098" t="str">
            <v>7MAA11CT020XQ11</v>
          </cell>
          <cell r="C1098">
            <v>0</v>
          </cell>
          <cell r="D1098" t="str">
            <v>T пари в середині ЦВТ</v>
          </cell>
        </row>
        <row r="1099">
          <cell r="B1099" t="str">
            <v>7MAA10CT016XQ11</v>
          </cell>
          <cell r="C1099">
            <v>0</v>
          </cell>
          <cell r="D1099" t="str">
            <v>T пари вихл. част.ЦНТ сторон.А</v>
          </cell>
        </row>
        <row r="1100">
          <cell r="B1100" t="str">
            <v>7MAA20CT016XQ11</v>
          </cell>
          <cell r="C1100">
            <v>0</v>
          </cell>
          <cell r="D1100" t="str">
            <v>T пари вихл. част.ЦНТ сторон.Б</v>
          </cell>
        </row>
        <row r="1101">
          <cell r="B1101" t="str">
            <v>7MAA10CT007XQ11</v>
          </cell>
          <cell r="C1101">
            <v>0</v>
          </cell>
          <cell r="D1101" t="str">
            <v>T ЦВТ у зоні регулюючої ступені верх</v>
          </cell>
        </row>
        <row r="1102">
          <cell r="B1102" t="str">
            <v>7MAA10CT008XQ11</v>
          </cell>
          <cell r="C1102">
            <v>0</v>
          </cell>
          <cell r="D1102" t="str">
            <v>T ЦВТ у зоні регулюючої ступені низ</v>
          </cell>
        </row>
        <row r="1103">
          <cell r="B1103" t="str">
            <v>7MAA10CT009XQ11</v>
          </cell>
          <cell r="C1103">
            <v>0</v>
          </cell>
          <cell r="D1103" t="str">
            <v>T ЦВТ у зоні ХПП верх</v>
          </cell>
        </row>
        <row r="1104">
          <cell r="B1104" t="str">
            <v>7MAA10CT010XQ11</v>
          </cell>
          <cell r="C1104">
            <v>0</v>
          </cell>
          <cell r="D1104" t="str">
            <v>T ЦВТ у зоні ХПП низ</v>
          </cell>
        </row>
        <row r="1105">
          <cell r="B1105" t="str">
            <v>7MAA10CT011XQ11</v>
          </cell>
          <cell r="C1105">
            <v>0</v>
          </cell>
          <cell r="D1105" t="str">
            <v>T ЦВТ у зоні ГПП верх</v>
          </cell>
        </row>
        <row r="1106">
          <cell r="B1106" t="str">
            <v>7MAA10CT012XQ11</v>
          </cell>
          <cell r="C1106">
            <v>0</v>
          </cell>
          <cell r="D1106" t="str">
            <v>T ЦВТ у зоні ГПП низ</v>
          </cell>
        </row>
        <row r="1107">
          <cell r="B1107" t="str">
            <v>7MAA10CT013XQ11</v>
          </cell>
          <cell r="C1107">
            <v>0</v>
          </cell>
          <cell r="D1107" t="str">
            <v>T ЦВТ у зоні 3-4 відборів верх</v>
          </cell>
        </row>
        <row r="1108">
          <cell r="B1108" t="str">
            <v>7MAA10CT014XQ11</v>
          </cell>
          <cell r="C1108">
            <v>0</v>
          </cell>
          <cell r="D1108" t="str">
            <v>T ЦВТ у зоні 3-4 відборів низ</v>
          </cell>
        </row>
        <row r="1109">
          <cell r="B1109" t="str">
            <v>7MKA10CT001XQ21</v>
          </cell>
          <cell r="C1109">
            <v>0</v>
          </cell>
          <cell r="D1109" t="str">
            <v>T міді обм.стат генер, паз №1</v>
          </cell>
        </row>
        <row r="1110">
          <cell r="B1110" t="str">
            <v>7MKA10CT002XQ21</v>
          </cell>
          <cell r="C1110">
            <v>0</v>
          </cell>
          <cell r="D1110" t="str">
            <v>T міді обм.стат генер, паз №2</v>
          </cell>
        </row>
        <row r="1111">
          <cell r="B1111" t="str">
            <v>7MKA10CT003XQ21</v>
          </cell>
          <cell r="C1111">
            <v>0</v>
          </cell>
          <cell r="D1111" t="str">
            <v>T міді обм.стат генер, паз №3</v>
          </cell>
        </row>
        <row r="1112">
          <cell r="B1112" t="str">
            <v>7MKA10CT004XQ21</v>
          </cell>
          <cell r="C1112">
            <v>0</v>
          </cell>
          <cell r="D1112" t="str">
            <v>T міді обм.стат генер, паз №4</v>
          </cell>
        </row>
        <row r="1113">
          <cell r="B1113" t="str">
            <v>7MKA10CT005XQ21</v>
          </cell>
          <cell r="C1113">
            <v>0</v>
          </cell>
          <cell r="D1113" t="str">
            <v>T міді обм.стат генер, паз №5</v>
          </cell>
        </row>
        <row r="1114">
          <cell r="B1114" t="str">
            <v>7MKA10CT006XQ21</v>
          </cell>
          <cell r="C1114">
            <v>0</v>
          </cell>
          <cell r="D1114" t="str">
            <v>T міді обм.стат генер, паз №6</v>
          </cell>
        </row>
        <row r="1115">
          <cell r="B1115" t="str">
            <v>7MKA10CT007XQ21</v>
          </cell>
          <cell r="C1115">
            <v>0</v>
          </cell>
          <cell r="D1115" t="str">
            <v>T міді обм.стат генер, паз №7</v>
          </cell>
        </row>
        <row r="1116">
          <cell r="B1116" t="str">
            <v>7MKA10CT008XQ21</v>
          </cell>
          <cell r="C1116">
            <v>0</v>
          </cell>
          <cell r="D1116" t="str">
            <v>T міді обм.стат генер, паз №8</v>
          </cell>
        </row>
        <row r="1117">
          <cell r="B1117" t="str">
            <v>7MKA10CT009XQ21</v>
          </cell>
          <cell r="C1117">
            <v>0</v>
          </cell>
          <cell r="D1117" t="str">
            <v>T міді обм.стат генер, паз №9</v>
          </cell>
        </row>
        <row r="1118">
          <cell r="B1118" t="str">
            <v>7MKA10CT010XQ21</v>
          </cell>
          <cell r="C1118">
            <v>0</v>
          </cell>
          <cell r="D1118" t="str">
            <v>T міді обм.стат генер, паз №10</v>
          </cell>
        </row>
        <row r="1119">
          <cell r="B1119" t="str">
            <v>7MKA10CT011XQ21</v>
          </cell>
          <cell r="C1119">
            <v>0</v>
          </cell>
          <cell r="D1119" t="str">
            <v>T міді обм.стат генер, паз №11</v>
          </cell>
        </row>
        <row r="1120">
          <cell r="B1120" t="str">
            <v>7MKA10CT012XQ21</v>
          </cell>
          <cell r="C1120">
            <v>0</v>
          </cell>
          <cell r="D1120" t="str">
            <v>T міді обм.стат генер, паз №12</v>
          </cell>
        </row>
        <row r="1121">
          <cell r="B1121" t="str">
            <v>7MKA10CT013XQ21</v>
          </cell>
          <cell r="C1121">
            <v>0</v>
          </cell>
          <cell r="D1121" t="str">
            <v>T міді обм.стат генер, паз №13</v>
          </cell>
        </row>
        <row r="1122">
          <cell r="B1122" t="str">
            <v>7MKA10CT014XQ21</v>
          </cell>
          <cell r="C1122">
            <v>0</v>
          </cell>
          <cell r="D1122" t="str">
            <v>T міді обм.стат генер, паз №14</v>
          </cell>
        </row>
        <row r="1123">
          <cell r="B1123" t="str">
            <v>7MKA10CT015XQ21</v>
          </cell>
          <cell r="C1123">
            <v>0</v>
          </cell>
          <cell r="D1123" t="str">
            <v>T міді обм.стат генер, паз №15</v>
          </cell>
        </row>
        <row r="1124">
          <cell r="B1124" t="str">
            <v>7MKA10CT016XQ21</v>
          </cell>
          <cell r="C1124">
            <v>0</v>
          </cell>
          <cell r="D1124" t="str">
            <v>T міді обм.стат генер, паз №16</v>
          </cell>
        </row>
        <row r="1125">
          <cell r="B1125" t="str">
            <v>7MKA10CT017XQ21</v>
          </cell>
          <cell r="C1125">
            <v>0</v>
          </cell>
          <cell r="D1125" t="str">
            <v>T міді обм.стат генер, паз №17</v>
          </cell>
        </row>
        <row r="1126">
          <cell r="B1126" t="str">
            <v>7MKA10CT018XQ21</v>
          </cell>
          <cell r="C1126">
            <v>0</v>
          </cell>
          <cell r="D1126" t="str">
            <v>T міді обм.стат генер, паз №18</v>
          </cell>
        </row>
        <row r="1127">
          <cell r="B1127" t="str">
            <v>7MKA10CT019XQ21</v>
          </cell>
          <cell r="C1127">
            <v>0</v>
          </cell>
          <cell r="D1127" t="str">
            <v>T міді обм.стат генер, паз №19</v>
          </cell>
        </row>
        <row r="1128">
          <cell r="B1128" t="str">
            <v>7MKA10CT020XQ21</v>
          </cell>
          <cell r="C1128">
            <v>0</v>
          </cell>
          <cell r="D1128" t="str">
            <v>T міді обм.стат генер, паз №20</v>
          </cell>
        </row>
        <row r="1129">
          <cell r="B1129" t="str">
            <v>7MKA10CT021XQ21</v>
          </cell>
          <cell r="C1129">
            <v>0</v>
          </cell>
          <cell r="D1129" t="str">
            <v>T міді обм.стат генер, паз №21</v>
          </cell>
        </row>
        <row r="1130">
          <cell r="B1130" t="str">
            <v>7MKA10CT022XQ21</v>
          </cell>
          <cell r="C1130">
            <v>0</v>
          </cell>
          <cell r="D1130" t="str">
            <v>T міді обм.стат генер, паз №22</v>
          </cell>
        </row>
        <row r="1131">
          <cell r="B1131" t="str">
            <v>7MKA10CT023XQ21</v>
          </cell>
          <cell r="C1131">
            <v>0</v>
          </cell>
          <cell r="D1131" t="str">
            <v>T міді обм.стат генер, паз №23</v>
          </cell>
        </row>
        <row r="1132">
          <cell r="B1132" t="str">
            <v>7MKA10CT024XQ21</v>
          </cell>
          <cell r="C1132">
            <v>0</v>
          </cell>
          <cell r="D1132" t="str">
            <v>T міді обм.стат генер, паз №24</v>
          </cell>
        </row>
        <row r="1133">
          <cell r="B1133" t="str">
            <v>7MKA10CT025XQ21</v>
          </cell>
          <cell r="C1133">
            <v>0</v>
          </cell>
          <cell r="D1133" t="str">
            <v>T міді обм.стат генер, паз №25</v>
          </cell>
        </row>
        <row r="1134">
          <cell r="B1134" t="str">
            <v>7MKA10CT026XQ21</v>
          </cell>
          <cell r="C1134">
            <v>0</v>
          </cell>
          <cell r="D1134" t="str">
            <v>T міді обм.стат генер, паз №26</v>
          </cell>
        </row>
        <row r="1135">
          <cell r="B1135" t="str">
            <v>7MKA10CT027XQ21</v>
          </cell>
          <cell r="C1135">
            <v>0</v>
          </cell>
          <cell r="D1135" t="str">
            <v>T міді обм.стат генер, паз №27</v>
          </cell>
        </row>
        <row r="1136">
          <cell r="B1136" t="str">
            <v>7MKA10CT028XQ21</v>
          </cell>
          <cell r="C1136">
            <v>0</v>
          </cell>
          <cell r="D1136" t="str">
            <v>T міді обм.стат генер, паз №28</v>
          </cell>
        </row>
        <row r="1137">
          <cell r="B1137" t="str">
            <v>7MKA10CT029XQ21</v>
          </cell>
          <cell r="C1137">
            <v>0</v>
          </cell>
          <cell r="D1137" t="str">
            <v>T міді обм.стат генер, паз №29</v>
          </cell>
        </row>
        <row r="1138">
          <cell r="B1138" t="str">
            <v>7MKA10CT030XQ21</v>
          </cell>
          <cell r="C1138">
            <v>0</v>
          </cell>
          <cell r="D1138" t="str">
            <v>T міді обм.стат генер, паз №30</v>
          </cell>
        </row>
        <row r="1139">
          <cell r="B1139" t="str">
            <v>7MKA10CT031XQ21</v>
          </cell>
          <cell r="C1139">
            <v>0</v>
          </cell>
          <cell r="D1139" t="str">
            <v>T міді обм.стат генер, паз №31</v>
          </cell>
        </row>
        <row r="1140">
          <cell r="B1140" t="str">
            <v>7MKA10CT032XQ21</v>
          </cell>
          <cell r="C1140">
            <v>0</v>
          </cell>
          <cell r="D1140" t="str">
            <v>T міді обм.стат генер, паз №32</v>
          </cell>
        </row>
        <row r="1141">
          <cell r="B1141" t="str">
            <v>7MKA10CT033XQ21</v>
          </cell>
          <cell r="C1141">
            <v>0</v>
          </cell>
          <cell r="D1141" t="str">
            <v>T міді обм.стат генер, паз №33</v>
          </cell>
        </row>
        <row r="1142">
          <cell r="B1142" t="str">
            <v>7MKA10CT034XQ21</v>
          </cell>
          <cell r="C1142">
            <v>0</v>
          </cell>
          <cell r="D1142" t="str">
            <v>T міді обм.стат генер, паз №34</v>
          </cell>
        </row>
        <row r="1143">
          <cell r="B1143" t="str">
            <v>7MKA10CT035XQ21</v>
          </cell>
          <cell r="C1143">
            <v>0</v>
          </cell>
          <cell r="D1143" t="str">
            <v>T міді обм.стат генер, паз №35</v>
          </cell>
        </row>
        <row r="1144">
          <cell r="B1144" t="str">
            <v>7MKA10CT036XQ21</v>
          </cell>
          <cell r="C1144">
            <v>0</v>
          </cell>
          <cell r="D1144" t="str">
            <v>T міді обм.стат генер, паз №36</v>
          </cell>
        </row>
        <row r="1145">
          <cell r="B1145" t="str">
            <v>7MKA10CT037XQ21</v>
          </cell>
          <cell r="C1145">
            <v>0</v>
          </cell>
          <cell r="D1145" t="str">
            <v>T міді обм.стат генер, паз №37</v>
          </cell>
        </row>
        <row r="1146">
          <cell r="B1146" t="str">
            <v>7MKA10CT038XQ21</v>
          </cell>
          <cell r="C1146">
            <v>0</v>
          </cell>
          <cell r="D1146" t="str">
            <v>T міді обм.стат генер, паз №38</v>
          </cell>
        </row>
        <row r="1147">
          <cell r="B1147" t="str">
            <v>7MKA10CT039XQ21</v>
          </cell>
          <cell r="C1147">
            <v>0</v>
          </cell>
          <cell r="D1147" t="str">
            <v>T міді обм.стат генер, паз №39</v>
          </cell>
        </row>
        <row r="1148">
          <cell r="B1148" t="str">
            <v>7MKA10CT040XQ21</v>
          </cell>
          <cell r="C1148">
            <v>0</v>
          </cell>
          <cell r="D1148" t="str">
            <v>T міді обм.стат генер, паз №40</v>
          </cell>
        </row>
        <row r="1149">
          <cell r="B1149" t="str">
            <v>7PAB10CT079XQ21</v>
          </cell>
          <cell r="C1149">
            <v>0</v>
          </cell>
          <cell r="D1149" t="str">
            <v>Т води на вході ГО</v>
          </cell>
        </row>
        <row r="1150">
          <cell r="B1150" t="str">
            <v>7PAB10CT179XQ21</v>
          </cell>
          <cell r="C1150">
            <v>0</v>
          </cell>
          <cell r="D1150" t="str">
            <v>Т води на вході ГО</v>
          </cell>
        </row>
        <row r="1151">
          <cell r="B1151" t="str">
            <v>7PAB10CT080XQ21</v>
          </cell>
          <cell r="C1151">
            <v>0</v>
          </cell>
          <cell r="D1151" t="str">
            <v>Т води на зливі ГО</v>
          </cell>
        </row>
        <row r="1152">
          <cell r="B1152" t="str">
            <v>7PAB10CT081XQ21</v>
          </cell>
          <cell r="C1152">
            <v>0</v>
          </cell>
          <cell r="D1152" t="str">
            <v>Т води на зливі ГО</v>
          </cell>
        </row>
        <row r="1153">
          <cell r="B1153" t="str">
            <v>7PAB10CT082XQ21</v>
          </cell>
          <cell r="C1153">
            <v>0</v>
          </cell>
          <cell r="D1153" t="str">
            <v>Т води на зливі ГО</v>
          </cell>
        </row>
        <row r="1154">
          <cell r="B1154" t="str">
            <v>7PAB10CT083XQ21</v>
          </cell>
          <cell r="C1154">
            <v>0</v>
          </cell>
          <cell r="D1154" t="str">
            <v>Т води на зливі ГО</v>
          </cell>
        </row>
        <row r="1155">
          <cell r="B1155" t="str">
            <v>7MKF10CT086XQ21</v>
          </cell>
          <cell r="C1155">
            <v>0</v>
          </cell>
          <cell r="D1155" t="str">
            <v>Т дистиляту на вході обм стат</v>
          </cell>
        </row>
        <row r="1156">
          <cell r="B1156" t="str">
            <v>7MKF10CT087XQ21</v>
          </cell>
          <cell r="C1156">
            <v>0</v>
          </cell>
          <cell r="D1156" t="str">
            <v>Т дистиляту на вході обм стат</v>
          </cell>
        </row>
        <row r="1157">
          <cell r="B1157" t="str">
            <v>7MKF10CT088XQ21</v>
          </cell>
          <cell r="C1157">
            <v>0</v>
          </cell>
          <cell r="D1157" t="str">
            <v>Т дистиляту на зливі обм стат</v>
          </cell>
        </row>
        <row r="1158">
          <cell r="B1158" t="str">
            <v>7MKG10CT076XQ21</v>
          </cell>
          <cell r="C1158">
            <v>0</v>
          </cell>
          <cell r="D1158" t="str">
            <v>Т холодного повітря</v>
          </cell>
        </row>
        <row r="1159">
          <cell r="B1159" t="str">
            <v>7MKG10CT077XQ21</v>
          </cell>
          <cell r="C1159">
            <v>0</v>
          </cell>
          <cell r="D1159" t="str">
            <v>Т гарячого повітря</v>
          </cell>
        </row>
        <row r="1160">
          <cell r="B1160" t="str">
            <v>7MKG10CT056XQ21</v>
          </cell>
          <cell r="C1160">
            <v>0</v>
          </cell>
          <cell r="D1160" t="str">
            <v>Т холодний газ</v>
          </cell>
        </row>
        <row r="1161">
          <cell r="B1161" t="str">
            <v>7MKG10CT156XQ21</v>
          </cell>
          <cell r="C1161">
            <v>0</v>
          </cell>
          <cell r="D1161" t="str">
            <v>Т холодний газ</v>
          </cell>
        </row>
        <row r="1162">
          <cell r="B1162" t="str">
            <v>7MKG10CT057XQ21</v>
          </cell>
          <cell r="C1162">
            <v>0</v>
          </cell>
          <cell r="D1162" t="str">
            <v>Т холодний газ</v>
          </cell>
        </row>
        <row r="1163">
          <cell r="B1163" t="str">
            <v>7MKG10CT157XQ21</v>
          </cell>
          <cell r="C1163">
            <v>0</v>
          </cell>
          <cell r="D1163" t="str">
            <v>Т холодний газ</v>
          </cell>
        </row>
        <row r="1164">
          <cell r="B1164" t="str">
            <v>7MKG10CT058XQ21</v>
          </cell>
          <cell r="C1164">
            <v>0</v>
          </cell>
          <cell r="D1164" t="str">
            <v>Т холодний газ</v>
          </cell>
        </row>
        <row r="1165">
          <cell r="B1165" t="str">
            <v>7MKG10CT158XQ21</v>
          </cell>
          <cell r="C1165">
            <v>0</v>
          </cell>
          <cell r="D1165" t="str">
            <v>Т холодний газ</v>
          </cell>
        </row>
        <row r="1166">
          <cell r="B1166" t="str">
            <v>7MKG10CT059XQ21</v>
          </cell>
          <cell r="C1166">
            <v>0</v>
          </cell>
          <cell r="D1166" t="str">
            <v>Т гарячий газ</v>
          </cell>
        </row>
        <row r="1167">
          <cell r="B1167" t="str">
            <v>7MKG10CT060XQ21</v>
          </cell>
          <cell r="C1167">
            <v>0</v>
          </cell>
          <cell r="D1167" t="str">
            <v>Т гарячий газ</v>
          </cell>
        </row>
        <row r="1168">
          <cell r="B1168" t="str">
            <v>7MKA10CT049XQ21</v>
          </cell>
          <cell r="C1168">
            <v>0</v>
          </cell>
          <cell r="D1168" t="str">
            <v>Т активного заліза, паз №10</v>
          </cell>
        </row>
        <row r="1169">
          <cell r="B1169" t="str">
            <v>7MKA10CT050XQ21</v>
          </cell>
          <cell r="C1169">
            <v>0</v>
          </cell>
          <cell r="D1169" t="str">
            <v>Т активного заліза, паз №24</v>
          </cell>
        </row>
        <row r="1170">
          <cell r="B1170" t="str">
            <v>7MKA10CT051XQ21</v>
          </cell>
          <cell r="C1170">
            <v>0</v>
          </cell>
          <cell r="D1170" t="str">
            <v>Т активного заліза, паз №38</v>
          </cell>
        </row>
        <row r="1171">
          <cell r="B1171" t="str">
            <v>7MKA10CT052XQ21</v>
          </cell>
          <cell r="C1171">
            <v>0</v>
          </cell>
          <cell r="D1171" t="str">
            <v>Т активного заліза, паз №10</v>
          </cell>
        </row>
        <row r="1172">
          <cell r="B1172" t="str">
            <v>7MKA10CT053XQ21</v>
          </cell>
          <cell r="C1172">
            <v>0</v>
          </cell>
          <cell r="D1172" t="str">
            <v>Т активного заліза, паз №24</v>
          </cell>
        </row>
        <row r="1173">
          <cell r="B1173" t="str">
            <v>7MKA10CT054XQ21</v>
          </cell>
          <cell r="C1173">
            <v>0</v>
          </cell>
          <cell r="D1173" t="str">
            <v>Т активного заліза, паз №38</v>
          </cell>
        </row>
        <row r="1174">
          <cell r="B1174" t="str">
            <v>7MKG10CT055XQ21</v>
          </cell>
          <cell r="C1174">
            <v>0</v>
          </cell>
          <cell r="D1174" t="str">
            <v>Т холодний газ</v>
          </cell>
        </row>
        <row r="1175">
          <cell r="B1175" t="str">
            <v>7MKG10CT155XQ21</v>
          </cell>
          <cell r="C1175">
            <v>0</v>
          </cell>
          <cell r="D1175" t="str">
            <v>Т холодний газ</v>
          </cell>
        </row>
        <row r="1176">
          <cell r="B1176" t="str">
            <v>7MKA10CT041XQ21</v>
          </cell>
          <cell r="C1176">
            <v>0</v>
          </cell>
          <cell r="D1176" t="str">
            <v>T міді обм.стат генер, паз №41</v>
          </cell>
        </row>
        <row r="1177">
          <cell r="B1177" t="str">
            <v>7MKA10CT042XQ21</v>
          </cell>
          <cell r="C1177">
            <v>0</v>
          </cell>
          <cell r="D1177" t="str">
            <v>T міді обм.стат генер, паз №42</v>
          </cell>
        </row>
        <row r="1178">
          <cell r="B1178" t="str">
            <v>7MKA10CT043XQ21</v>
          </cell>
          <cell r="C1178">
            <v>0</v>
          </cell>
          <cell r="D1178" t="str">
            <v>Т активного заліза, паз №3</v>
          </cell>
        </row>
        <row r="1179">
          <cell r="B1179" t="str">
            <v>7MKA10CT143XQ21</v>
          </cell>
          <cell r="C1179">
            <v>0</v>
          </cell>
          <cell r="D1179" t="str">
            <v>Т активного заліза, паз №10</v>
          </cell>
        </row>
        <row r="1180">
          <cell r="B1180" t="str">
            <v>7MKA10CT044XQ21</v>
          </cell>
          <cell r="C1180">
            <v>0</v>
          </cell>
          <cell r="D1180" t="str">
            <v>Т активного заліза, паз №17</v>
          </cell>
        </row>
        <row r="1181">
          <cell r="B1181" t="str">
            <v>7MKA10CT144XQ21</v>
          </cell>
          <cell r="C1181">
            <v>0</v>
          </cell>
          <cell r="D1181" t="str">
            <v>Т активного заліза, паз №24</v>
          </cell>
        </row>
        <row r="1182">
          <cell r="B1182" t="str">
            <v>7MKA10CT045XQ21</v>
          </cell>
          <cell r="C1182">
            <v>0</v>
          </cell>
          <cell r="D1182" t="str">
            <v>Т активного заліза, паз №31</v>
          </cell>
        </row>
        <row r="1183">
          <cell r="B1183" t="str">
            <v>7MKA10CT145XQ21</v>
          </cell>
          <cell r="C1183">
            <v>0</v>
          </cell>
          <cell r="D1183" t="str">
            <v>Т активного заліза, паз №32</v>
          </cell>
        </row>
        <row r="1184">
          <cell r="B1184">
            <v>0</v>
          </cell>
          <cell r="C1184">
            <v>0</v>
          </cell>
          <cell r="D1184">
            <v>0</v>
          </cell>
        </row>
        <row r="1185">
          <cell r="B1185">
            <v>0</v>
          </cell>
          <cell r="C1185">
            <v>0</v>
          </cell>
          <cell r="D1185">
            <v>0</v>
          </cell>
        </row>
        <row r="1186">
          <cell r="B1186">
            <v>0</v>
          </cell>
          <cell r="C1186">
            <v>0</v>
          </cell>
          <cell r="D1186">
            <v>0</v>
          </cell>
        </row>
        <row r="1187">
          <cell r="B1187">
            <v>0</v>
          </cell>
          <cell r="C1187">
            <v>0</v>
          </cell>
          <cell r="D1187">
            <v>0</v>
          </cell>
        </row>
        <row r="1188">
          <cell r="B1188">
            <v>0</v>
          </cell>
          <cell r="C1188">
            <v>0</v>
          </cell>
          <cell r="D1188">
            <v>0</v>
          </cell>
        </row>
        <row r="1189">
          <cell r="B1189">
            <v>0</v>
          </cell>
          <cell r="C1189">
            <v>0</v>
          </cell>
          <cell r="D1189">
            <v>0</v>
          </cell>
        </row>
        <row r="1190">
          <cell r="B1190">
            <v>0</v>
          </cell>
          <cell r="C1190">
            <v>0</v>
          </cell>
          <cell r="D1190">
            <v>0</v>
          </cell>
        </row>
        <row r="1191">
          <cell r="B1191">
            <v>0</v>
          </cell>
          <cell r="C1191">
            <v>0</v>
          </cell>
          <cell r="D1191">
            <v>0</v>
          </cell>
        </row>
        <row r="1192">
          <cell r="B1192">
            <v>0</v>
          </cell>
          <cell r="C1192">
            <v>0</v>
          </cell>
          <cell r="D1192">
            <v>0</v>
          </cell>
        </row>
        <row r="1193">
          <cell r="B1193">
            <v>0</v>
          </cell>
          <cell r="C1193">
            <v>0</v>
          </cell>
          <cell r="D1193">
            <v>0</v>
          </cell>
        </row>
        <row r="1194">
          <cell r="B1194">
            <v>0</v>
          </cell>
          <cell r="C1194">
            <v>0</v>
          </cell>
          <cell r="D1194">
            <v>0</v>
          </cell>
        </row>
        <row r="1195">
          <cell r="B1195">
            <v>0</v>
          </cell>
          <cell r="C1195">
            <v>0</v>
          </cell>
          <cell r="D1195">
            <v>0</v>
          </cell>
        </row>
        <row r="1196">
          <cell r="B1196">
            <v>0</v>
          </cell>
          <cell r="C1196">
            <v>0</v>
          </cell>
          <cell r="D1196">
            <v>0</v>
          </cell>
        </row>
        <row r="1197">
          <cell r="B1197">
            <v>0</v>
          </cell>
          <cell r="C1197">
            <v>0</v>
          </cell>
          <cell r="D1197">
            <v>0</v>
          </cell>
        </row>
        <row r="1198">
          <cell r="B1198">
            <v>0</v>
          </cell>
          <cell r="C1198">
            <v>0</v>
          </cell>
          <cell r="D1198">
            <v>0</v>
          </cell>
        </row>
        <row r="1199">
          <cell r="B1199">
            <v>0</v>
          </cell>
          <cell r="C1199">
            <v>0</v>
          </cell>
          <cell r="D1199">
            <v>0</v>
          </cell>
        </row>
        <row r="1200">
          <cell r="B1200">
            <v>0</v>
          </cell>
          <cell r="C1200">
            <v>0</v>
          </cell>
          <cell r="D1200">
            <v>0</v>
          </cell>
        </row>
        <row r="1201">
          <cell r="B1201">
            <v>0</v>
          </cell>
          <cell r="C1201">
            <v>0</v>
          </cell>
          <cell r="D1201">
            <v>0</v>
          </cell>
        </row>
        <row r="1202">
          <cell r="B1202">
            <v>0</v>
          </cell>
          <cell r="C1202">
            <v>0</v>
          </cell>
          <cell r="D1202">
            <v>0</v>
          </cell>
        </row>
        <row r="1203">
          <cell r="B1203">
            <v>0</v>
          </cell>
          <cell r="C1203">
            <v>0</v>
          </cell>
          <cell r="D1203">
            <v>0</v>
          </cell>
        </row>
        <row r="1204">
          <cell r="B1204">
            <v>0</v>
          </cell>
          <cell r="C1204">
            <v>0</v>
          </cell>
          <cell r="D1204">
            <v>0</v>
          </cell>
        </row>
        <row r="1205">
          <cell r="B1205">
            <v>0</v>
          </cell>
          <cell r="C1205">
            <v>0</v>
          </cell>
          <cell r="D1205">
            <v>0</v>
          </cell>
        </row>
        <row r="1206">
          <cell r="B1206">
            <v>0</v>
          </cell>
          <cell r="C1206">
            <v>0</v>
          </cell>
          <cell r="D1206">
            <v>0</v>
          </cell>
        </row>
        <row r="1207">
          <cell r="B1207">
            <v>0</v>
          </cell>
          <cell r="C1207">
            <v>0</v>
          </cell>
          <cell r="D1207">
            <v>0</v>
          </cell>
        </row>
        <row r="1208">
          <cell r="B1208">
            <v>0</v>
          </cell>
          <cell r="C1208">
            <v>0</v>
          </cell>
          <cell r="D1208">
            <v>0</v>
          </cell>
        </row>
        <row r="1209">
          <cell r="B1209">
            <v>0</v>
          </cell>
          <cell r="C1209">
            <v>0</v>
          </cell>
          <cell r="D1209">
            <v>0</v>
          </cell>
        </row>
        <row r="1210">
          <cell r="B1210">
            <v>0</v>
          </cell>
          <cell r="C1210">
            <v>0</v>
          </cell>
          <cell r="D1210">
            <v>0</v>
          </cell>
        </row>
        <row r="1211">
          <cell r="B1211">
            <v>0</v>
          </cell>
          <cell r="C1211">
            <v>0</v>
          </cell>
          <cell r="D1211">
            <v>0</v>
          </cell>
        </row>
        <row r="1212">
          <cell r="B1212">
            <v>0</v>
          </cell>
          <cell r="C1212">
            <v>0</v>
          </cell>
          <cell r="D1212">
            <v>0</v>
          </cell>
        </row>
        <row r="1213">
          <cell r="B1213">
            <v>0</v>
          </cell>
          <cell r="C1213">
            <v>0</v>
          </cell>
          <cell r="D1213">
            <v>0</v>
          </cell>
        </row>
        <row r="1214">
          <cell r="B1214">
            <v>0</v>
          </cell>
          <cell r="C1214">
            <v>0</v>
          </cell>
          <cell r="D1214">
            <v>0</v>
          </cell>
        </row>
        <row r="1215">
          <cell r="B1215">
            <v>0</v>
          </cell>
          <cell r="C1215">
            <v>0</v>
          </cell>
          <cell r="D1215">
            <v>0</v>
          </cell>
        </row>
        <row r="1216">
          <cell r="B1216">
            <v>0</v>
          </cell>
          <cell r="C1216">
            <v>0</v>
          </cell>
          <cell r="D1216">
            <v>0</v>
          </cell>
        </row>
        <row r="1217">
          <cell r="B1217">
            <v>0</v>
          </cell>
          <cell r="C1217">
            <v>0</v>
          </cell>
          <cell r="D1217">
            <v>0</v>
          </cell>
        </row>
        <row r="1218">
          <cell r="B1218">
            <v>0</v>
          </cell>
          <cell r="C1218">
            <v>0</v>
          </cell>
          <cell r="D1218">
            <v>0</v>
          </cell>
        </row>
        <row r="1219">
          <cell r="B1219">
            <v>0</v>
          </cell>
          <cell r="C1219">
            <v>0</v>
          </cell>
          <cell r="D1219">
            <v>0</v>
          </cell>
        </row>
        <row r="1220">
          <cell r="B1220">
            <v>0</v>
          </cell>
          <cell r="C1220">
            <v>0</v>
          </cell>
          <cell r="D1220">
            <v>0</v>
          </cell>
        </row>
        <row r="1221">
          <cell r="B1221">
            <v>0</v>
          </cell>
          <cell r="C1221">
            <v>0</v>
          </cell>
          <cell r="D1221">
            <v>0</v>
          </cell>
        </row>
        <row r="1222">
          <cell r="B1222">
            <v>0</v>
          </cell>
          <cell r="C1222">
            <v>0</v>
          </cell>
          <cell r="D1222">
            <v>0</v>
          </cell>
        </row>
        <row r="1223">
          <cell r="B1223">
            <v>0</v>
          </cell>
          <cell r="C1223">
            <v>0</v>
          </cell>
          <cell r="D1223">
            <v>0</v>
          </cell>
        </row>
        <row r="1224">
          <cell r="B1224">
            <v>0</v>
          </cell>
          <cell r="C1224">
            <v>0</v>
          </cell>
          <cell r="D1224">
            <v>0</v>
          </cell>
        </row>
        <row r="1225">
          <cell r="B1225">
            <v>0</v>
          </cell>
          <cell r="C1225">
            <v>0</v>
          </cell>
          <cell r="D1225">
            <v>0</v>
          </cell>
        </row>
        <row r="1226">
          <cell r="B1226">
            <v>0</v>
          </cell>
          <cell r="C1226">
            <v>0</v>
          </cell>
          <cell r="D1226">
            <v>0</v>
          </cell>
        </row>
        <row r="1227">
          <cell r="B1227">
            <v>0</v>
          </cell>
          <cell r="C1227">
            <v>0</v>
          </cell>
          <cell r="D1227">
            <v>0</v>
          </cell>
        </row>
        <row r="1228">
          <cell r="B1228">
            <v>0</v>
          </cell>
          <cell r="C1228">
            <v>0</v>
          </cell>
          <cell r="D1228">
            <v>0</v>
          </cell>
        </row>
        <row r="1229">
          <cell r="B1229">
            <v>0</v>
          </cell>
          <cell r="C1229">
            <v>0</v>
          </cell>
          <cell r="D1229">
            <v>0</v>
          </cell>
        </row>
        <row r="1230">
          <cell r="B1230">
            <v>0</v>
          </cell>
          <cell r="C1230">
            <v>0</v>
          </cell>
          <cell r="D1230">
            <v>0</v>
          </cell>
        </row>
        <row r="1231">
          <cell r="B1231">
            <v>0</v>
          </cell>
          <cell r="C1231">
            <v>0</v>
          </cell>
          <cell r="D1231">
            <v>0</v>
          </cell>
        </row>
        <row r="1232">
          <cell r="B1232">
            <v>0</v>
          </cell>
          <cell r="C1232">
            <v>0</v>
          </cell>
          <cell r="D1232">
            <v>0</v>
          </cell>
        </row>
        <row r="1233">
          <cell r="B1233">
            <v>0</v>
          </cell>
          <cell r="C1233">
            <v>0</v>
          </cell>
          <cell r="D1233">
            <v>0</v>
          </cell>
        </row>
        <row r="1234">
          <cell r="B1234">
            <v>0</v>
          </cell>
          <cell r="C1234">
            <v>0</v>
          </cell>
          <cell r="D1234">
            <v>0</v>
          </cell>
        </row>
        <row r="1235">
          <cell r="B1235">
            <v>0</v>
          </cell>
          <cell r="C1235">
            <v>0</v>
          </cell>
          <cell r="D1235">
            <v>0</v>
          </cell>
        </row>
        <row r="1236">
          <cell r="B1236">
            <v>0</v>
          </cell>
          <cell r="C1236">
            <v>0</v>
          </cell>
          <cell r="D1236">
            <v>0</v>
          </cell>
        </row>
        <row r="1237">
          <cell r="B1237">
            <v>0</v>
          </cell>
          <cell r="C1237">
            <v>0</v>
          </cell>
          <cell r="D1237">
            <v>0</v>
          </cell>
        </row>
        <row r="1238">
          <cell r="B1238">
            <v>0</v>
          </cell>
          <cell r="C1238">
            <v>0</v>
          </cell>
          <cell r="D1238">
            <v>0</v>
          </cell>
        </row>
        <row r="1239">
          <cell r="B1239">
            <v>0</v>
          </cell>
          <cell r="C1239">
            <v>0</v>
          </cell>
          <cell r="D1239">
            <v>0</v>
          </cell>
        </row>
        <row r="1240">
          <cell r="B1240">
            <v>0</v>
          </cell>
          <cell r="C1240">
            <v>0</v>
          </cell>
          <cell r="D1240">
            <v>0</v>
          </cell>
        </row>
        <row r="1241">
          <cell r="B1241">
            <v>0</v>
          </cell>
          <cell r="C1241">
            <v>0</v>
          </cell>
          <cell r="D1241">
            <v>0</v>
          </cell>
        </row>
        <row r="1242">
          <cell r="B1242">
            <v>0</v>
          </cell>
          <cell r="C1242">
            <v>0</v>
          </cell>
          <cell r="D1242">
            <v>0</v>
          </cell>
        </row>
        <row r="1243">
          <cell r="B1243">
            <v>0</v>
          </cell>
          <cell r="C1243">
            <v>0</v>
          </cell>
          <cell r="D1243">
            <v>0</v>
          </cell>
        </row>
        <row r="1244">
          <cell r="B1244">
            <v>0</v>
          </cell>
          <cell r="C1244">
            <v>0</v>
          </cell>
          <cell r="D1244">
            <v>0</v>
          </cell>
        </row>
        <row r="1245">
          <cell r="B1245">
            <v>0</v>
          </cell>
          <cell r="C1245">
            <v>0</v>
          </cell>
          <cell r="D1245">
            <v>0</v>
          </cell>
        </row>
        <row r="1246">
          <cell r="B1246">
            <v>0</v>
          </cell>
          <cell r="C1246">
            <v>0</v>
          </cell>
          <cell r="D1246">
            <v>0</v>
          </cell>
        </row>
        <row r="1247">
          <cell r="B1247">
            <v>0</v>
          </cell>
          <cell r="C1247">
            <v>0</v>
          </cell>
          <cell r="D1247">
            <v>0</v>
          </cell>
        </row>
        <row r="1248">
          <cell r="B1248">
            <v>0</v>
          </cell>
          <cell r="C1248">
            <v>0</v>
          </cell>
          <cell r="D1248">
            <v>0</v>
          </cell>
        </row>
        <row r="1249">
          <cell r="B1249">
            <v>0</v>
          </cell>
          <cell r="C1249">
            <v>0</v>
          </cell>
          <cell r="D1249">
            <v>0</v>
          </cell>
        </row>
        <row r="1250">
          <cell r="B1250">
            <v>0</v>
          </cell>
          <cell r="C1250">
            <v>0</v>
          </cell>
          <cell r="D1250">
            <v>0</v>
          </cell>
        </row>
        <row r="1251">
          <cell r="B1251">
            <v>0</v>
          </cell>
          <cell r="C1251">
            <v>0</v>
          </cell>
          <cell r="D1251">
            <v>0</v>
          </cell>
        </row>
        <row r="1252">
          <cell r="B1252">
            <v>0</v>
          </cell>
          <cell r="C1252">
            <v>0</v>
          </cell>
          <cell r="D1252">
            <v>0</v>
          </cell>
        </row>
        <row r="1253">
          <cell r="B1253">
            <v>0</v>
          </cell>
          <cell r="C1253">
            <v>0</v>
          </cell>
          <cell r="D1253">
            <v>0</v>
          </cell>
        </row>
        <row r="1254">
          <cell r="B1254">
            <v>0</v>
          </cell>
          <cell r="C1254">
            <v>0</v>
          </cell>
          <cell r="D1254">
            <v>0</v>
          </cell>
        </row>
        <row r="1255">
          <cell r="B1255">
            <v>0</v>
          </cell>
          <cell r="C1255">
            <v>0</v>
          </cell>
          <cell r="D1255">
            <v>0</v>
          </cell>
        </row>
        <row r="1256">
          <cell r="B1256">
            <v>0</v>
          </cell>
          <cell r="C1256">
            <v>0</v>
          </cell>
          <cell r="D1256">
            <v>0</v>
          </cell>
        </row>
        <row r="1257">
          <cell r="B1257">
            <v>0</v>
          </cell>
          <cell r="C1257">
            <v>0</v>
          </cell>
          <cell r="D1257">
            <v>0</v>
          </cell>
        </row>
        <row r="1258">
          <cell r="B1258">
            <v>0</v>
          </cell>
          <cell r="C1258">
            <v>0</v>
          </cell>
          <cell r="D1258">
            <v>0</v>
          </cell>
        </row>
        <row r="1259">
          <cell r="B1259">
            <v>0</v>
          </cell>
          <cell r="C1259">
            <v>0</v>
          </cell>
          <cell r="D1259">
            <v>0</v>
          </cell>
        </row>
        <row r="1260">
          <cell r="B1260">
            <v>0</v>
          </cell>
          <cell r="C1260">
            <v>0</v>
          </cell>
          <cell r="D1260">
            <v>0</v>
          </cell>
        </row>
        <row r="1261">
          <cell r="B1261">
            <v>0</v>
          </cell>
          <cell r="C1261">
            <v>0</v>
          </cell>
          <cell r="D1261">
            <v>0</v>
          </cell>
        </row>
        <row r="1262">
          <cell r="B1262">
            <v>0</v>
          </cell>
          <cell r="C1262">
            <v>0</v>
          </cell>
          <cell r="D1262">
            <v>0</v>
          </cell>
        </row>
        <row r="1263">
          <cell r="B1263">
            <v>0</v>
          </cell>
          <cell r="C1263">
            <v>0</v>
          </cell>
          <cell r="D1263">
            <v>0</v>
          </cell>
        </row>
        <row r="1264">
          <cell r="B1264">
            <v>0</v>
          </cell>
          <cell r="C1264">
            <v>0</v>
          </cell>
          <cell r="D1264">
            <v>0</v>
          </cell>
        </row>
        <row r="1265">
          <cell r="B1265">
            <v>0</v>
          </cell>
          <cell r="C1265">
            <v>0</v>
          </cell>
          <cell r="D1265">
            <v>0</v>
          </cell>
        </row>
        <row r="1266">
          <cell r="B1266">
            <v>0</v>
          </cell>
          <cell r="C1266">
            <v>0</v>
          </cell>
          <cell r="D1266">
            <v>0</v>
          </cell>
        </row>
        <row r="1267">
          <cell r="B1267">
            <v>0</v>
          </cell>
          <cell r="C1267">
            <v>0</v>
          </cell>
          <cell r="D1267">
            <v>0</v>
          </cell>
        </row>
        <row r="1268">
          <cell r="B1268">
            <v>0</v>
          </cell>
          <cell r="C1268">
            <v>0</v>
          </cell>
          <cell r="D1268">
            <v>0</v>
          </cell>
        </row>
        <row r="1269">
          <cell r="B1269">
            <v>0</v>
          </cell>
          <cell r="C1269">
            <v>0</v>
          </cell>
          <cell r="D1269">
            <v>0</v>
          </cell>
        </row>
        <row r="1270">
          <cell r="B1270">
            <v>0</v>
          </cell>
          <cell r="C1270">
            <v>0</v>
          </cell>
          <cell r="D1270">
            <v>0</v>
          </cell>
        </row>
        <row r="1271">
          <cell r="B1271">
            <v>0</v>
          </cell>
          <cell r="C1271">
            <v>0</v>
          </cell>
          <cell r="D1271">
            <v>0</v>
          </cell>
        </row>
        <row r="1272">
          <cell r="B1272">
            <v>0</v>
          </cell>
          <cell r="C1272">
            <v>0</v>
          </cell>
          <cell r="D1272">
            <v>0</v>
          </cell>
        </row>
        <row r="1273">
          <cell r="B1273">
            <v>0</v>
          </cell>
          <cell r="C1273">
            <v>0</v>
          </cell>
          <cell r="D1273">
            <v>0</v>
          </cell>
        </row>
        <row r="1274">
          <cell r="B1274">
            <v>0</v>
          </cell>
          <cell r="C1274">
            <v>0</v>
          </cell>
          <cell r="D1274">
            <v>0</v>
          </cell>
        </row>
        <row r="1275">
          <cell r="B1275">
            <v>0</v>
          </cell>
          <cell r="C1275">
            <v>0</v>
          </cell>
          <cell r="D1275">
            <v>0</v>
          </cell>
        </row>
        <row r="1276">
          <cell r="B1276">
            <v>0</v>
          </cell>
          <cell r="C1276">
            <v>0</v>
          </cell>
          <cell r="D1276">
            <v>0</v>
          </cell>
        </row>
        <row r="1277">
          <cell r="B1277">
            <v>0</v>
          </cell>
          <cell r="C1277">
            <v>0</v>
          </cell>
          <cell r="D1277">
            <v>0</v>
          </cell>
        </row>
        <row r="1278">
          <cell r="B1278">
            <v>0</v>
          </cell>
          <cell r="C1278">
            <v>0</v>
          </cell>
          <cell r="D1278">
            <v>0</v>
          </cell>
        </row>
        <row r="1279">
          <cell r="B1279">
            <v>0</v>
          </cell>
          <cell r="C1279">
            <v>0</v>
          </cell>
          <cell r="D1279">
            <v>0</v>
          </cell>
        </row>
        <row r="1280">
          <cell r="B1280">
            <v>0</v>
          </cell>
          <cell r="C1280">
            <v>0</v>
          </cell>
          <cell r="D1280">
            <v>0</v>
          </cell>
        </row>
        <row r="1281">
          <cell r="B1281">
            <v>0</v>
          </cell>
          <cell r="C1281">
            <v>0</v>
          </cell>
          <cell r="D1281">
            <v>0</v>
          </cell>
        </row>
        <row r="1282">
          <cell r="B1282">
            <v>0</v>
          </cell>
          <cell r="C1282">
            <v>0</v>
          </cell>
          <cell r="D1282">
            <v>0</v>
          </cell>
        </row>
        <row r="1283">
          <cell r="B1283">
            <v>0</v>
          </cell>
          <cell r="C1283">
            <v>0</v>
          </cell>
          <cell r="D1283">
            <v>0</v>
          </cell>
        </row>
        <row r="1284">
          <cell r="B1284">
            <v>0</v>
          </cell>
          <cell r="C1284">
            <v>0</v>
          </cell>
          <cell r="D1284">
            <v>0</v>
          </cell>
        </row>
        <row r="1285">
          <cell r="B1285">
            <v>0</v>
          </cell>
          <cell r="C1285">
            <v>0</v>
          </cell>
          <cell r="D1285">
            <v>0</v>
          </cell>
        </row>
        <row r="1286">
          <cell r="B1286">
            <v>0</v>
          </cell>
          <cell r="C1286">
            <v>0</v>
          </cell>
          <cell r="D1286">
            <v>0</v>
          </cell>
        </row>
        <row r="1287">
          <cell r="B1287">
            <v>0</v>
          </cell>
          <cell r="C1287">
            <v>0</v>
          </cell>
          <cell r="D1287">
            <v>0</v>
          </cell>
        </row>
        <row r="1288">
          <cell r="B1288">
            <v>0</v>
          </cell>
          <cell r="C1288">
            <v>0</v>
          </cell>
          <cell r="D1288">
            <v>0</v>
          </cell>
        </row>
        <row r="1289">
          <cell r="B1289">
            <v>0</v>
          </cell>
          <cell r="C1289">
            <v>0</v>
          </cell>
          <cell r="D1289">
            <v>0</v>
          </cell>
        </row>
        <row r="1290">
          <cell r="B1290">
            <v>0</v>
          </cell>
          <cell r="C1290">
            <v>0</v>
          </cell>
          <cell r="D1290">
            <v>0</v>
          </cell>
        </row>
        <row r="1291">
          <cell r="B1291">
            <v>0</v>
          </cell>
          <cell r="C1291">
            <v>0</v>
          </cell>
          <cell r="D1291">
            <v>0</v>
          </cell>
        </row>
        <row r="1292">
          <cell r="B1292">
            <v>0</v>
          </cell>
          <cell r="C1292">
            <v>0</v>
          </cell>
          <cell r="D1292">
            <v>0</v>
          </cell>
        </row>
        <row r="1293">
          <cell r="B1293">
            <v>0</v>
          </cell>
          <cell r="C1293">
            <v>0</v>
          </cell>
          <cell r="D1293">
            <v>0</v>
          </cell>
        </row>
        <row r="1294">
          <cell r="B1294">
            <v>0</v>
          </cell>
          <cell r="C1294">
            <v>0</v>
          </cell>
          <cell r="D1294">
            <v>0</v>
          </cell>
        </row>
        <row r="1295">
          <cell r="B1295">
            <v>0</v>
          </cell>
          <cell r="C1295">
            <v>0</v>
          </cell>
          <cell r="D1295">
            <v>0</v>
          </cell>
        </row>
        <row r="1296">
          <cell r="B1296">
            <v>0</v>
          </cell>
          <cell r="C1296">
            <v>0</v>
          </cell>
          <cell r="D1296">
            <v>0</v>
          </cell>
        </row>
        <row r="1297">
          <cell r="B1297">
            <v>0</v>
          </cell>
          <cell r="C1297">
            <v>0</v>
          </cell>
          <cell r="D1297">
            <v>0</v>
          </cell>
        </row>
        <row r="1298">
          <cell r="B1298">
            <v>0</v>
          </cell>
          <cell r="C1298">
            <v>0</v>
          </cell>
          <cell r="D1298">
            <v>0</v>
          </cell>
        </row>
        <row r="1299">
          <cell r="B1299">
            <v>0</v>
          </cell>
          <cell r="C1299">
            <v>0</v>
          </cell>
          <cell r="D1299">
            <v>0</v>
          </cell>
        </row>
        <row r="1300">
          <cell r="B1300">
            <v>0</v>
          </cell>
          <cell r="C1300">
            <v>0</v>
          </cell>
          <cell r="D1300">
            <v>0</v>
          </cell>
        </row>
        <row r="1301">
          <cell r="B1301">
            <v>0</v>
          </cell>
          <cell r="C1301">
            <v>0</v>
          </cell>
          <cell r="D1301">
            <v>0</v>
          </cell>
        </row>
        <row r="1302">
          <cell r="B1302">
            <v>0</v>
          </cell>
          <cell r="C1302">
            <v>0</v>
          </cell>
          <cell r="D1302">
            <v>0</v>
          </cell>
        </row>
        <row r="1303">
          <cell r="B1303">
            <v>0</v>
          </cell>
          <cell r="C1303">
            <v>0</v>
          </cell>
          <cell r="D1303">
            <v>0</v>
          </cell>
        </row>
        <row r="1304">
          <cell r="B1304">
            <v>0</v>
          </cell>
          <cell r="C1304">
            <v>0</v>
          </cell>
          <cell r="D1304">
            <v>0</v>
          </cell>
        </row>
        <row r="1305">
          <cell r="B1305">
            <v>0</v>
          </cell>
          <cell r="C1305">
            <v>0</v>
          </cell>
          <cell r="D1305">
            <v>0</v>
          </cell>
        </row>
        <row r="1306">
          <cell r="B1306">
            <v>0</v>
          </cell>
          <cell r="C1306">
            <v>0</v>
          </cell>
          <cell r="D1306">
            <v>0</v>
          </cell>
        </row>
        <row r="1307">
          <cell r="B1307">
            <v>0</v>
          </cell>
          <cell r="C1307">
            <v>0</v>
          </cell>
          <cell r="D1307">
            <v>0</v>
          </cell>
        </row>
        <row r="1308">
          <cell r="B1308">
            <v>0</v>
          </cell>
          <cell r="C1308">
            <v>0</v>
          </cell>
          <cell r="D1308">
            <v>0</v>
          </cell>
        </row>
        <row r="1309">
          <cell r="B1309">
            <v>0</v>
          </cell>
          <cell r="C1309">
            <v>0</v>
          </cell>
          <cell r="D1309">
            <v>0</v>
          </cell>
        </row>
        <row r="1310">
          <cell r="B1310">
            <v>0</v>
          </cell>
          <cell r="C1310">
            <v>0</v>
          </cell>
          <cell r="D1310">
            <v>0</v>
          </cell>
        </row>
        <row r="1311">
          <cell r="B1311">
            <v>0</v>
          </cell>
          <cell r="C1311">
            <v>0</v>
          </cell>
          <cell r="D1311">
            <v>0</v>
          </cell>
        </row>
        <row r="1312">
          <cell r="B1312">
            <v>0</v>
          </cell>
          <cell r="C1312">
            <v>0</v>
          </cell>
          <cell r="D1312">
            <v>0</v>
          </cell>
        </row>
        <row r="1313">
          <cell r="B1313">
            <v>0</v>
          </cell>
          <cell r="C1313">
            <v>0</v>
          </cell>
          <cell r="D1313">
            <v>0</v>
          </cell>
        </row>
        <row r="1314">
          <cell r="B1314">
            <v>0</v>
          </cell>
          <cell r="C1314">
            <v>0</v>
          </cell>
          <cell r="D1314">
            <v>0</v>
          </cell>
        </row>
        <row r="1315">
          <cell r="B1315">
            <v>0</v>
          </cell>
          <cell r="C1315">
            <v>0</v>
          </cell>
          <cell r="D1315">
            <v>0</v>
          </cell>
        </row>
        <row r="1316">
          <cell r="B1316">
            <v>0</v>
          </cell>
          <cell r="C1316">
            <v>0</v>
          </cell>
          <cell r="D1316">
            <v>0</v>
          </cell>
        </row>
        <row r="1317">
          <cell r="B1317">
            <v>0</v>
          </cell>
          <cell r="C1317">
            <v>0</v>
          </cell>
          <cell r="D1317">
            <v>0</v>
          </cell>
        </row>
        <row r="1318">
          <cell r="B1318">
            <v>0</v>
          </cell>
          <cell r="C1318">
            <v>0</v>
          </cell>
          <cell r="D1318">
            <v>0</v>
          </cell>
        </row>
        <row r="1319">
          <cell r="B1319">
            <v>0</v>
          </cell>
          <cell r="C1319">
            <v>0</v>
          </cell>
          <cell r="D1319">
            <v>0</v>
          </cell>
        </row>
        <row r="1320">
          <cell r="B1320">
            <v>0</v>
          </cell>
          <cell r="C1320">
            <v>0</v>
          </cell>
          <cell r="D1320">
            <v>0</v>
          </cell>
        </row>
        <row r="1321">
          <cell r="B1321">
            <v>0</v>
          </cell>
          <cell r="C1321">
            <v>0</v>
          </cell>
          <cell r="D1321">
            <v>0</v>
          </cell>
        </row>
        <row r="1322">
          <cell r="B1322">
            <v>0</v>
          </cell>
          <cell r="C1322">
            <v>0</v>
          </cell>
          <cell r="D1322">
            <v>0</v>
          </cell>
        </row>
        <row r="1323">
          <cell r="B1323">
            <v>0</v>
          </cell>
          <cell r="C1323">
            <v>0</v>
          </cell>
          <cell r="D1323">
            <v>0</v>
          </cell>
        </row>
        <row r="1324">
          <cell r="B1324">
            <v>0</v>
          </cell>
          <cell r="C1324">
            <v>0</v>
          </cell>
          <cell r="D1324">
            <v>0</v>
          </cell>
        </row>
        <row r="1325">
          <cell r="B1325">
            <v>0</v>
          </cell>
          <cell r="C1325">
            <v>0</v>
          </cell>
          <cell r="D1325">
            <v>0</v>
          </cell>
        </row>
        <row r="1326">
          <cell r="B1326">
            <v>0</v>
          </cell>
          <cell r="C1326">
            <v>0</v>
          </cell>
          <cell r="D1326">
            <v>0</v>
          </cell>
        </row>
        <row r="1327">
          <cell r="B1327">
            <v>0</v>
          </cell>
          <cell r="C1327">
            <v>0</v>
          </cell>
          <cell r="D1327">
            <v>0</v>
          </cell>
        </row>
        <row r="1328">
          <cell r="B1328">
            <v>0</v>
          </cell>
          <cell r="C1328">
            <v>0</v>
          </cell>
          <cell r="D1328">
            <v>0</v>
          </cell>
        </row>
        <row r="1329">
          <cell r="B1329">
            <v>0</v>
          </cell>
          <cell r="C1329">
            <v>0</v>
          </cell>
          <cell r="D1329">
            <v>0</v>
          </cell>
        </row>
        <row r="1330">
          <cell r="B1330">
            <v>0</v>
          </cell>
          <cell r="C1330">
            <v>0</v>
          </cell>
          <cell r="D1330">
            <v>0</v>
          </cell>
        </row>
        <row r="1331">
          <cell r="B1331">
            <v>0</v>
          </cell>
          <cell r="C1331">
            <v>0</v>
          </cell>
          <cell r="D1331">
            <v>0</v>
          </cell>
        </row>
        <row r="1332">
          <cell r="B1332">
            <v>0</v>
          </cell>
          <cell r="C1332">
            <v>0</v>
          </cell>
          <cell r="D1332">
            <v>0</v>
          </cell>
        </row>
        <row r="1333">
          <cell r="B1333">
            <v>0</v>
          </cell>
          <cell r="C1333">
            <v>0</v>
          </cell>
          <cell r="D1333">
            <v>0</v>
          </cell>
        </row>
        <row r="1334">
          <cell r="B1334">
            <v>0</v>
          </cell>
          <cell r="C1334">
            <v>0</v>
          </cell>
          <cell r="D1334">
            <v>0</v>
          </cell>
        </row>
        <row r="1335">
          <cell r="B1335">
            <v>0</v>
          </cell>
          <cell r="C1335">
            <v>0</v>
          </cell>
          <cell r="D1335">
            <v>0</v>
          </cell>
        </row>
        <row r="1336">
          <cell r="B1336">
            <v>0</v>
          </cell>
          <cell r="C1336">
            <v>0</v>
          </cell>
          <cell r="D1336">
            <v>0</v>
          </cell>
        </row>
        <row r="1337">
          <cell r="B1337">
            <v>0</v>
          </cell>
          <cell r="C1337">
            <v>0</v>
          </cell>
          <cell r="D1337">
            <v>0</v>
          </cell>
        </row>
        <row r="1338">
          <cell r="B1338">
            <v>0</v>
          </cell>
          <cell r="C1338">
            <v>0</v>
          </cell>
          <cell r="D1338">
            <v>0</v>
          </cell>
        </row>
        <row r="1339">
          <cell r="B1339">
            <v>0</v>
          </cell>
          <cell r="C1339">
            <v>0</v>
          </cell>
          <cell r="D1339">
            <v>0</v>
          </cell>
        </row>
        <row r="1340">
          <cell r="B1340">
            <v>0</v>
          </cell>
          <cell r="C1340">
            <v>0</v>
          </cell>
          <cell r="D1340">
            <v>0</v>
          </cell>
        </row>
        <row r="1341">
          <cell r="B1341">
            <v>0</v>
          </cell>
          <cell r="C1341">
            <v>0</v>
          </cell>
          <cell r="D1341">
            <v>0</v>
          </cell>
        </row>
        <row r="1342">
          <cell r="B1342">
            <v>0</v>
          </cell>
          <cell r="C1342">
            <v>0</v>
          </cell>
          <cell r="D1342">
            <v>0</v>
          </cell>
        </row>
        <row r="1343">
          <cell r="B1343">
            <v>0</v>
          </cell>
          <cell r="C1343">
            <v>0</v>
          </cell>
          <cell r="D1343">
            <v>0</v>
          </cell>
        </row>
        <row r="1344">
          <cell r="B1344">
            <v>0</v>
          </cell>
          <cell r="C1344">
            <v>0</v>
          </cell>
          <cell r="D1344">
            <v>0</v>
          </cell>
        </row>
        <row r="1345">
          <cell r="B1345">
            <v>0</v>
          </cell>
          <cell r="C1345">
            <v>0</v>
          </cell>
          <cell r="D1345">
            <v>0</v>
          </cell>
        </row>
        <row r="1346">
          <cell r="B1346">
            <v>0</v>
          </cell>
          <cell r="C1346">
            <v>0</v>
          </cell>
          <cell r="D1346">
            <v>0</v>
          </cell>
        </row>
        <row r="1347">
          <cell r="B1347">
            <v>0</v>
          </cell>
          <cell r="C1347">
            <v>0</v>
          </cell>
          <cell r="D1347">
            <v>0</v>
          </cell>
        </row>
        <row r="1348">
          <cell r="B1348">
            <v>0</v>
          </cell>
          <cell r="C1348">
            <v>0</v>
          </cell>
          <cell r="D1348">
            <v>0</v>
          </cell>
        </row>
        <row r="1349">
          <cell r="B1349">
            <v>0</v>
          </cell>
          <cell r="C1349">
            <v>0</v>
          </cell>
          <cell r="D1349">
            <v>0</v>
          </cell>
        </row>
        <row r="1350">
          <cell r="B1350">
            <v>0</v>
          </cell>
          <cell r="C1350">
            <v>0</v>
          </cell>
          <cell r="D1350">
            <v>0</v>
          </cell>
        </row>
        <row r="1351">
          <cell r="B1351">
            <v>0</v>
          </cell>
          <cell r="C1351">
            <v>0</v>
          </cell>
          <cell r="D1351">
            <v>0</v>
          </cell>
        </row>
        <row r="1352">
          <cell r="B1352">
            <v>0</v>
          </cell>
          <cell r="C1352">
            <v>0</v>
          </cell>
          <cell r="D1352">
            <v>0</v>
          </cell>
        </row>
        <row r="1353">
          <cell r="B1353">
            <v>0</v>
          </cell>
          <cell r="C1353">
            <v>0</v>
          </cell>
          <cell r="D1353">
            <v>0</v>
          </cell>
        </row>
        <row r="1354">
          <cell r="B1354">
            <v>0</v>
          </cell>
          <cell r="C1354">
            <v>0</v>
          </cell>
          <cell r="D1354">
            <v>0</v>
          </cell>
        </row>
        <row r="1355">
          <cell r="B1355">
            <v>0</v>
          </cell>
          <cell r="C1355">
            <v>0</v>
          </cell>
          <cell r="D1355">
            <v>0</v>
          </cell>
        </row>
        <row r="1356">
          <cell r="B1356">
            <v>0</v>
          </cell>
          <cell r="C1356">
            <v>0</v>
          </cell>
          <cell r="D1356">
            <v>0</v>
          </cell>
        </row>
        <row r="1357">
          <cell r="B1357">
            <v>0</v>
          </cell>
          <cell r="C1357">
            <v>0</v>
          </cell>
          <cell r="D1357">
            <v>0</v>
          </cell>
        </row>
        <row r="1358">
          <cell r="B1358">
            <v>0</v>
          </cell>
          <cell r="C1358">
            <v>0</v>
          </cell>
          <cell r="D1358">
            <v>0</v>
          </cell>
        </row>
        <row r="1359">
          <cell r="B1359">
            <v>0</v>
          </cell>
          <cell r="C1359">
            <v>0</v>
          </cell>
          <cell r="D1359">
            <v>0</v>
          </cell>
        </row>
        <row r="1360">
          <cell r="B1360">
            <v>0</v>
          </cell>
          <cell r="C1360">
            <v>0</v>
          </cell>
          <cell r="D1360">
            <v>0</v>
          </cell>
        </row>
        <row r="1361">
          <cell r="B1361">
            <v>0</v>
          </cell>
          <cell r="C1361">
            <v>0</v>
          </cell>
          <cell r="D1361">
            <v>0</v>
          </cell>
        </row>
        <row r="1362">
          <cell r="B1362">
            <v>0</v>
          </cell>
          <cell r="C1362">
            <v>0</v>
          </cell>
          <cell r="D1362">
            <v>0</v>
          </cell>
        </row>
        <row r="1363">
          <cell r="B1363">
            <v>0</v>
          </cell>
          <cell r="C1363">
            <v>0</v>
          </cell>
          <cell r="D1363">
            <v>0</v>
          </cell>
        </row>
        <row r="1364">
          <cell r="B1364">
            <v>0</v>
          </cell>
          <cell r="C1364">
            <v>0</v>
          </cell>
          <cell r="D1364">
            <v>0</v>
          </cell>
        </row>
        <row r="1365">
          <cell r="B1365">
            <v>0</v>
          </cell>
          <cell r="C1365">
            <v>0</v>
          </cell>
          <cell r="D1365">
            <v>0</v>
          </cell>
        </row>
        <row r="1366">
          <cell r="B1366">
            <v>0</v>
          </cell>
          <cell r="C1366">
            <v>0</v>
          </cell>
          <cell r="D1366">
            <v>0</v>
          </cell>
        </row>
        <row r="1367">
          <cell r="B1367">
            <v>0</v>
          </cell>
          <cell r="C1367">
            <v>0</v>
          </cell>
          <cell r="D1367">
            <v>0</v>
          </cell>
        </row>
        <row r="1368">
          <cell r="B1368">
            <v>0</v>
          </cell>
          <cell r="C1368">
            <v>0</v>
          </cell>
          <cell r="D1368">
            <v>0</v>
          </cell>
        </row>
        <row r="1369">
          <cell r="B1369">
            <v>0</v>
          </cell>
          <cell r="C1369">
            <v>0</v>
          </cell>
          <cell r="D1369">
            <v>0</v>
          </cell>
        </row>
        <row r="1370">
          <cell r="B1370">
            <v>0</v>
          </cell>
          <cell r="C1370">
            <v>0</v>
          </cell>
          <cell r="D1370">
            <v>0</v>
          </cell>
        </row>
        <row r="1371">
          <cell r="B1371">
            <v>0</v>
          </cell>
          <cell r="C1371">
            <v>0</v>
          </cell>
          <cell r="D1371">
            <v>0</v>
          </cell>
        </row>
        <row r="1372">
          <cell r="B1372">
            <v>0</v>
          </cell>
          <cell r="C1372">
            <v>0</v>
          </cell>
          <cell r="D1372">
            <v>0</v>
          </cell>
        </row>
        <row r="1373">
          <cell r="B1373">
            <v>0</v>
          </cell>
          <cell r="C1373">
            <v>0</v>
          </cell>
          <cell r="D1373">
            <v>0</v>
          </cell>
        </row>
        <row r="1374">
          <cell r="B1374">
            <v>0</v>
          </cell>
          <cell r="C1374">
            <v>0</v>
          </cell>
          <cell r="D1374">
            <v>0</v>
          </cell>
        </row>
        <row r="1375">
          <cell r="B1375">
            <v>0</v>
          </cell>
          <cell r="C1375">
            <v>0</v>
          </cell>
          <cell r="D1375">
            <v>0</v>
          </cell>
        </row>
        <row r="1376">
          <cell r="B1376">
            <v>0</v>
          </cell>
          <cell r="C1376">
            <v>0</v>
          </cell>
          <cell r="D1376">
            <v>0</v>
          </cell>
        </row>
        <row r="1377">
          <cell r="B1377">
            <v>0</v>
          </cell>
          <cell r="C1377">
            <v>0</v>
          </cell>
          <cell r="D1377">
            <v>0</v>
          </cell>
        </row>
        <row r="1378">
          <cell r="B1378">
            <v>0</v>
          </cell>
          <cell r="C1378">
            <v>0</v>
          </cell>
          <cell r="D1378">
            <v>0</v>
          </cell>
        </row>
        <row r="1379">
          <cell r="B1379">
            <v>0</v>
          </cell>
          <cell r="C1379">
            <v>0</v>
          </cell>
          <cell r="D1379">
            <v>0</v>
          </cell>
        </row>
        <row r="1380">
          <cell r="B1380">
            <v>0</v>
          </cell>
          <cell r="C1380">
            <v>0</v>
          </cell>
          <cell r="D1380">
            <v>0</v>
          </cell>
        </row>
        <row r="1381">
          <cell r="B1381">
            <v>0</v>
          </cell>
          <cell r="C1381">
            <v>0</v>
          </cell>
          <cell r="D1381">
            <v>0</v>
          </cell>
        </row>
        <row r="1382">
          <cell r="B1382">
            <v>0</v>
          </cell>
          <cell r="C1382">
            <v>0</v>
          </cell>
          <cell r="D1382">
            <v>0</v>
          </cell>
        </row>
        <row r="1383">
          <cell r="B1383">
            <v>0</v>
          </cell>
          <cell r="C1383">
            <v>0</v>
          </cell>
          <cell r="D1383">
            <v>0</v>
          </cell>
        </row>
        <row r="1384">
          <cell r="B1384">
            <v>0</v>
          </cell>
          <cell r="C1384">
            <v>0</v>
          </cell>
          <cell r="D1384">
            <v>0</v>
          </cell>
        </row>
        <row r="1385">
          <cell r="B1385">
            <v>0</v>
          </cell>
          <cell r="C1385">
            <v>0</v>
          </cell>
          <cell r="D1385">
            <v>0</v>
          </cell>
        </row>
        <row r="1386">
          <cell r="B1386">
            <v>0</v>
          </cell>
          <cell r="C1386">
            <v>0</v>
          </cell>
          <cell r="D1386">
            <v>0</v>
          </cell>
        </row>
        <row r="1387">
          <cell r="B1387">
            <v>0</v>
          </cell>
          <cell r="C1387">
            <v>0</v>
          </cell>
          <cell r="D1387">
            <v>0</v>
          </cell>
        </row>
        <row r="1388">
          <cell r="B1388">
            <v>0</v>
          </cell>
          <cell r="C1388">
            <v>0</v>
          </cell>
          <cell r="D1388">
            <v>0</v>
          </cell>
        </row>
        <row r="1389">
          <cell r="B1389">
            <v>0</v>
          </cell>
          <cell r="C1389">
            <v>0</v>
          </cell>
          <cell r="D1389">
            <v>0</v>
          </cell>
        </row>
        <row r="1390">
          <cell r="B1390">
            <v>0</v>
          </cell>
          <cell r="C1390">
            <v>0</v>
          </cell>
          <cell r="D1390">
            <v>0</v>
          </cell>
        </row>
        <row r="1391">
          <cell r="B1391">
            <v>0</v>
          </cell>
          <cell r="C1391">
            <v>0</v>
          </cell>
          <cell r="D1391">
            <v>0</v>
          </cell>
        </row>
        <row r="1392">
          <cell r="B1392">
            <v>0</v>
          </cell>
          <cell r="C1392">
            <v>0</v>
          </cell>
          <cell r="D1392">
            <v>0</v>
          </cell>
        </row>
        <row r="1393">
          <cell r="B1393">
            <v>0</v>
          </cell>
          <cell r="C1393">
            <v>0</v>
          </cell>
          <cell r="D1393">
            <v>0</v>
          </cell>
        </row>
        <row r="1394">
          <cell r="B1394">
            <v>0</v>
          </cell>
          <cell r="C1394">
            <v>0</v>
          </cell>
          <cell r="D1394">
            <v>0</v>
          </cell>
        </row>
        <row r="1395">
          <cell r="B1395">
            <v>0</v>
          </cell>
          <cell r="C1395">
            <v>0</v>
          </cell>
          <cell r="D1395">
            <v>0</v>
          </cell>
        </row>
        <row r="1396">
          <cell r="B1396">
            <v>0</v>
          </cell>
          <cell r="C1396">
            <v>0</v>
          </cell>
          <cell r="D1396">
            <v>0</v>
          </cell>
        </row>
        <row r="1397">
          <cell r="B1397">
            <v>0</v>
          </cell>
          <cell r="C1397">
            <v>0</v>
          </cell>
          <cell r="D1397">
            <v>0</v>
          </cell>
        </row>
        <row r="1398">
          <cell r="B1398">
            <v>0</v>
          </cell>
          <cell r="C1398">
            <v>0</v>
          </cell>
          <cell r="D1398">
            <v>0</v>
          </cell>
        </row>
        <row r="1399">
          <cell r="B1399">
            <v>0</v>
          </cell>
          <cell r="C1399">
            <v>0</v>
          </cell>
          <cell r="D1399">
            <v>0</v>
          </cell>
        </row>
        <row r="1400">
          <cell r="B1400">
            <v>0</v>
          </cell>
          <cell r="C1400">
            <v>0</v>
          </cell>
          <cell r="D1400">
            <v>0</v>
          </cell>
        </row>
        <row r="1401">
          <cell r="B1401">
            <v>0</v>
          </cell>
          <cell r="C1401">
            <v>0</v>
          </cell>
          <cell r="D1401">
            <v>0</v>
          </cell>
        </row>
        <row r="1402">
          <cell r="B1402">
            <v>0</v>
          </cell>
          <cell r="C1402">
            <v>0</v>
          </cell>
          <cell r="D1402">
            <v>0</v>
          </cell>
        </row>
        <row r="1403">
          <cell r="B1403">
            <v>0</v>
          </cell>
          <cell r="C1403">
            <v>0</v>
          </cell>
          <cell r="D1403">
            <v>0</v>
          </cell>
        </row>
        <row r="1404">
          <cell r="B1404">
            <v>0</v>
          </cell>
          <cell r="C1404">
            <v>0</v>
          </cell>
          <cell r="D1404">
            <v>0</v>
          </cell>
        </row>
        <row r="1405">
          <cell r="B1405">
            <v>0</v>
          </cell>
          <cell r="C1405">
            <v>0</v>
          </cell>
          <cell r="D1405">
            <v>0</v>
          </cell>
        </row>
        <row r="1406">
          <cell r="B1406">
            <v>0</v>
          </cell>
          <cell r="C1406">
            <v>0</v>
          </cell>
          <cell r="D1406">
            <v>0</v>
          </cell>
        </row>
        <row r="1407">
          <cell r="B1407">
            <v>0</v>
          </cell>
          <cell r="C1407">
            <v>0</v>
          </cell>
          <cell r="D1407">
            <v>0</v>
          </cell>
        </row>
        <row r="1408">
          <cell r="B1408">
            <v>0</v>
          </cell>
          <cell r="C1408">
            <v>0</v>
          </cell>
          <cell r="D1408">
            <v>0</v>
          </cell>
        </row>
        <row r="1409">
          <cell r="B1409">
            <v>0</v>
          </cell>
          <cell r="C1409">
            <v>0</v>
          </cell>
          <cell r="D1409">
            <v>0</v>
          </cell>
        </row>
        <row r="1410">
          <cell r="B1410">
            <v>0</v>
          </cell>
          <cell r="C1410">
            <v>0</v>
          </cell>
          <cell r="D1410">
            <v>0</v>
          </cell>
        </row>
        <row r="1411">
          <cell r="B1411">
            <v>0</v>
          </cell>
          <cell r="C1411">
            <v>0</v>
          </cell>
          <cell r="D1411">
            <v>0</v>
          </cell>
        </row>
        <row r="1412">
          <cell r="B1412">
            <v>0</v>
          </cell>
          <cell r="C1412">
            <v>0</v>
          </cell>
          <cell r="D1412">
            <v>0</v>
          </cell>
        </row>
        <row r="1413">
          <cell r="B1413">
            <v>0</v>
          </cell>
          <cell r="C1413">
            <v>0</v>
          </cell>
          <cell r="D1413">
            <v>0</v>
          </cell>
        </row>
        <row r="1414">
          <cell r="B1414">
            <v>0</v>
          </cell>
          <cell r="C1414">
            <v>0</v>
          </cell>
          <cell r="D1414">
            <v>0</v>
          </cell>
        </row>
        <row r="1415">
          <cell r="B1415">
            <v>0</v>
          </cell>
          <cell r="C1415">
            <v>0</v>
          </cell>
          <cell r="D1415">
            <v>0</v>
          </cell>
        </row>
        <row r="1416">
          <cell r="B1416">
            <v>0</v>
          </cell>
          <cell r="C1416">
            <v>0</v>
          </cell>
          <cell r="D1416">
            <v>0</v>
          </cell>
        </row>
        <row r="1417">
          <cell r="B1417">
            <v>0</v>
          </cell>
          <cell r="C1417">
            <v>0</v>
          </cell>
          <cell r="D1417">
            <v>0</v>
          </cell>
        </row>
        <row r="1418">
          <cell r="B1418">
            <v>0</v>
          </cell>
          <cell r="C1418">
            <v>0</v>
          </cell>
          <cell r="D1418">
            <v>0</v>
          </cell>
        </row>
        <row r="1419">
          <cell r="B1419">
            <v>0</v>
          </cell>
          <cell r="C1419">
            <v>0</v>
          </cell>
          <cell r="D1419">
            <v>0</v>
          </cell>
        </row>
        <row r="1420">
          <cell r="B1420">
            <v>0</v>
          </cell>
          <cell r="C1420">
            <v>0</v>
          </cell>
          <cell r="D1420">
            <v>0</v>
          </cell>
        </row>
        <row r="1421">
          <cell r="B1421">
            <v>0</v>
          </cell>
          <cell r="C1421">
            <v>0</v>
          </cell>
          <cell r="D1421">
            <v>0</v>
          </cell>
        </row>
        <row r="1422">
          <cell r="B1422">
            <v>0</v>
          </cell>
          <cell r="C1422">
            <v>0</v>
          </cell>
          <cell r="D1422">
            <v>0</v>
          </cell>
        </row>
        <row r="1423">
          <cell r="B1423">
            <v>0</v>
          </cell>
          <cell r="C1423">
            <v>0</v>
          </cell>
          <cell r="D1423">
            <v>0</v>
          </cell>
        </row>
        <row r="1424">
          <cell r="B1424">
            <v>0</v>
          </cell>
          <cell r="C1424">
            <v>0</v>
          </cell>
          <cell r="D1424">
            <v>0</v>
          </cell>
        </row>
        <row r="1425">
          <cell r="B1425">
            <v>0</v>
          </cell>
          <cell r="C1425">
            <v>0</v>
          </cell>
          <cell r="D1425">
            <v>0</v>
          </cell>
        </row>
        <row r="1426">
          <cell r="B1426">
            <v>0</v>
          </cell>
          <cell r="C1426">
            <v>0</v>
          </cell>
          <cell r="D1426">
            <v>0</v>
          </cell>
        </row>
        <row r="1427">
          <cell r="B1427">
            <v>0</v>
          </cell>
          <cell r="C1427">
            <v>0</v>
          </cell>
          <cell r="D1427">
            <v>0</v>
          </cell>
        </row>
        <row r="1428">
          <cell r="B1428">
            <v>0</v>
          </cell>
          <cell r="C1428">
            <v>0</v>
          </cell>
          <cell r="D1428">
            <v>0</v>
          </cell>
        </row>
        <row r="1429">
          <cell r="B1429">
            <v>0</v>
          </cell>
          <cell r="C1429">
            <v>0</v>
          </cell>
          <cell r="D1429">
            <v>0</v>
          </cell>
        </row>
        <row r="1430">
          <cell r="B1430">
            <v>0</v>
          </cell>
          <cell r="C1430">
            <v>0</v>
          </cell>
          <cell r="D1430">
            <v>0</v>
          </cell>
        </row>
        <row r="1431">
          <cell r="B1431">
            <v>0</v>
          </cell>
          <cell r="C1431">
            <v>0</v>
          </cell>
          <cell r="D1431">
            <v>0</v>
          </cell>
        </row>
        <row r="1432">
          <cell r="B1432">
            <v>0</v>
          </cell>
          <cell r="C1432">
            <v>0</v>
          </cell>
          <cell r="D1432">
            <v>0</v>
          </cell>
        </row>
        <row r="1433">
          <cell r="B1433">
            <v>0</v>
          </cell>
          <cell r="C1433">
            <v>0</v>
          </cell>
          <cell r="D1433">
            <v>0</v>
          </cell>
        </row>
        <row r="1434">
          <cell r="B1434">
            <v>0</v>
          </cell>
          <cell r="C1434">
            <v>0</v>
          </cell>
          <cell r="D1434">
            <v>0</v>
          </cell>
        </row>
        <row r="1435">
          <cell r="B1435">
            <v>0</v>
          </cell>
          <cell r="C1435">
            <v>0</v>
          </cell>
          <cell r="D1435">
            <v>0</v>
          </cell>
        </row>
        <row r="1436">
          <cell r="B1436">
            <v>0</v>
          </cell>
          <cell r="C1436">
            <v>0</v>
          </cell>
          <cell r="D1436">
            <v>0</v>
          </cell>
        </row>
        <row r="1437">
          <cell r="B1437">
            <v>0</v>
          </cell>
          <cell r="C1437">
            <v>0</v>
          </cell>
          <cell r="D1437">
            <v>0</v>
          </cell>
        </row>
        <row r="1438">
          <cell r="B1438">
            <v>0</v>
          </cell>
          <cell r="C1438">
            <v>0</v>
          </cell>
          <cell r="D1438">
            <v>0</v>
          </cell>
        </row>
        <row r="1439">
          <cell r="B1439">
            <v>0</v>
          </cell>
          <cell r="C1439">
            <v>0</v>
          </cell>
          <cell r="D1439">
            <v>0</v>
          </cell>
        </row>
        <row r="1440">
          <cell r="B1440">
            <v>0</v>
          </cell>
          <cell r="C1440">
            <v>0</v>
          </cell>
          <cell r="D1440">
            <v>0</v>
          </cell>
        </row>
        <row r="1441">
          <cell r="B1441">
            <v>0</v>
          </cell>
          <cell r="C1441">
            <v>0</v>
          </cell>
          <cell r="D1441">
            <v>0</v>
          </cell>
        </row>
        <row r="1442">
          <cell r="B1442">
            <v>0</v>
          </cell>
          <cell r="C1442">
            <v>0</v>
          </cell>
          <cell r="D1442">
            <v>0</v>
          </cell>
        </row>
        <row r="1443">
          <cell r="B1443">
            <v>0</v>
          </cell>
          <cell r="C1443">
            <v>0</v>
          </cell>
          <cell r="D1443">
            <v>0</v>
          </cell>
        </row>
        <row r="1444">
          <cell r="B1444">
            <v>0</v>
          </cell>
          <cell r="C1444">
            <v>0</v>
          </cell>
          <cell r="D1444">
            <v>0</v>
          </cell>
        </row>
        <row r="1445">
          <cell r="B1445">
            <v>0</v>
          </cell>
          <cell r="C1445">
            <v>0</v>
          </cell>
          <cell r="D1445">
            <v>0</v>
          </cell>
        </row>
        <row r="1446">
          <cell r="B1446">
            <v>0</v>
          </cell>
          <cell r="C1446">
            <v>0</v>
          </cell>
          <cell r="D1446">
            <v>0</v>
          </cell>
        </row>
        <row r="1447">
          <cell r="B1447">
            <v>0</v>
          </cell>
          <cell r="C1447">
            <v>0</v>
          </cell>
          <cell r="D1447">
            <v>0</v>
          </cell>
        </row>
        <row r="1448">
          <cell r="B1448">
            <v>0</v>
          </cell>
          <cell r="C1448">
            <v>0</v>
          </cell>
          <cell r="D1448">
            <v>0</v>
          </cell>
        </row>
        <row r="1449">
          <cell r="B1449">
            <v>0</v>
          </cell>
          <cell r="C1449">
            <v>0</v>
          </cell>
          <cell r="D1449">
            <v>0</v>
          </cell>
        </row>
        <row r="1450">
          <cell r="B1450">
            <v>0</v>
          </cell>
          <cell r="C1450">
            <v>0</v>
          </cell>
          <cell r="D1450">
            <v>0</v>
          </cell>
        </row>
        <row r="1451">
          <cell r="B1451">
            <v>0</v>
          </cell>
          <cell r="C1451">
            <v>0</v>
          </cell>
          <cell r="D1451">
            <v>0</v>
          </cell>
        </row>
        <row r="1452">
          <cell r="B1452">
            <v>0</v>
          </cell>
          <cell r="C1452">
            <v>0</v>
          </cell>
          <cell r="D1452">
            <v>0</v>
          </cell>
        </row>
        <row r="1453">
          <cell r="B1453">
            <v>0</v>
          </cell>
          <cell r="C1453">
            <v>0</v>
          </cell>
          <cell r="D1453">
            <v>0</v>
          </cell>
        </row>
        <row r="1454">
          <cell r="B1454">
            <v>0</v>
          </cell>
          <cell r="C1454">
            <v>0</v>
          </cell>
          <cell r="D1454">
            <v>0</v>
          </cell>
        </row>
        <row r="1455">
          <cell r="B1455">
            <v>0</v>
          </cell>
          <cell r="C1455">
            <v>0</v>
          </cell>
          <cell r="D1455">
            <v>0</v>
          </cell>
        </row>
        <row r="1456">
          <cell r="B1456">
            <v>0</v>
          </cell>
          <cell r="C1456">
            <v>0</v>
          </cell>
          <cell r="D1456">
            <v>0</v>
          </cell>
        </row>
        <row r="1457">
          <cell r="B1457">
            <v>0</v>
          </cell>
          <cell r="C1457">
            <v>0</v>
          </cell>
          <cell r="D1457">
            <v>0</v>
          </cell>
        </row>
        <row r="1458">
          <cell r="B1458">
            <v>0</v>
          </cell>
          <cell r="C1458">
            <v>0</v>
          </cell>
          <cell r="D1458">
            <v>0</v>
          </cell>
        </row>
        <row r="1459">
          <cell r="B1459">
            <v>0</v>
          </cell>
          <cell r="C1459">
            <v>0</v>
          </cell>
          <cell r="D1459">
            <v>0</v>
          </cell>
        </row>
        <row r="1460">
          <cell r="B1460">
            <v>0</v>
          </cell>
          <cell r="C1460">
            <v>0</v>
          </cell>
          <cell r="D1460">
            <v>0</v>
          </cell>
        </row>
        <row r="1461">
          <cell r="B1461">
            <v>0</v>
          </cell>
          <cell r="C1461">
            <v>0</v>
          </cell>
          <cell r="D1461">
            <v>0</v>
          </cell>
        </row>
        <row r="1462">
          <cell r="B1462">
            <v>0</v>
          </cell>
          <cell r="C1462">
            <v>0</v>
          </cell>
          <cell r="D1462">
            <v>0</v>
          </cell>
        </row>
        <row r="1463">
          <cell r="B1463">
            <v>0</v>
          </cell>
          <cell r="C1463">
            <v>0</v>
          </cell>
          <cell r="D1463">
            <v>0</v>
          </cell>
        </row>
        <row r="1464">
          <cell r="B1464">
            <v>0</v>
          </cell>
          <cell r="C1464">
            <v>0</v>
          </cell>
          <cell r="D1464">
            <v>0</v>
          </cell>
        </row>
        <row r="1465">
          <cell r="B1465">
            <v>0</v>
          </cell>
          <cell r="C1465">
            <v>0</v>
          </cell>
          <cell r="D1465">
            <v>0</v>
          </cell>
        </row>
        <row r="1466">
          <cell r="B1466">
            <v>0</v>
          </cell>
          <cell r="C1466">
            <v>0</v>
          </cell>
          <cell r="D1466">
            <v>0</v>
          </cell>
        </row>
        <row r="1467">
          <cell r="B1467">
            <v>0</v>
          </cell>
          <cell r="C1467">
            <v>0</v>
          </cell>
          <cell r="D1467">
            <v>0</v>
          </cell>
        </row>
        <row r="1468">
          <cell r="B1468">
            <v>0</v>
          </cell>
          <cell r="C1468">
            <v>0</v>
          </cell>
          <cell r="D1468">
            <v>0</v>
          </cell>
        </row>
        <row r="1469">
          <cell r="B1469">
            <v>0</v>
          </cell>
          <cell r="C1469">
            <v>0</v>
          </cell>
          <cell r="D1469">
            <v>0</v>
          </cell>
        </row>
        <row r="1470">
          <cell r="B1470">
            <v>0</v>
          </cell>
          <cell r="C1470">
            <v>0</v>
          </cell>
          <cell r="D1470">
            <v>0</v>
          </cell>
        </row>
        <row r="1471">
          <cell r="B1471">
            <v>0</v>
          </cell>
          <cell r="C1471">
            <v>0</v>
          </cell>
          <cell r="D1471">
            <v>0</v>
          </cell>
        </row>
        <row r="1472">
          <cell r="B1472">
            <v>0</v>
          </cell>
          <cell r="C1472">
            <v>0</v>
          </cell>
          <cell r="D1472">
            <v>0</v>
          </cell>
        </row>
        <row r="1473">
          <cell r="B1473">
            <v>0</v>
          </cell>
          <cell r="C1473">
            <v>0</v>
          </cell>
          <cell r="D1473">
            <v>0</v>
          </cell>
        </row>
        <row r="1474">
          <cell r="B1474">
            <v>0</v>
          </cell>
          <cell r="C1474">
            <v>0</v>
          </cell>
          <cell r="D1474">
            <v>0</v>
          </cell>
        </row>
        <row r="1475">
          <cell r="B1475">
            <v>0</v>
          </cell>
          <cell r="C1475">
            <v>0</v>
          </cell>
          <cell r="D1475">
            <v>0</v>
          </cell>
        </row>
        <row r="1476">
          <cell r="B1476">
            <v>0</v>
          </cell>
          <cell r="C1476">
            <v>0</v>
          </cell>
          <cell r="D1476">
            <v>0</v>
          </cell>
        </row>
        <row r="1477">
          <cell r="B1477">
            <v>0</v>
          </cell>
          <cell r="C1477">
            <v>0</v>
          </cell>
          <cell r="D1477">
            <v>0</v>
          </cell>
        </row>
        <row r="1478">
          <cell r="B1478">
            <v>0</v>
          </cell>
          <cell r="C1478">
            <v>0</v>
          </cell>
          <cell r="D1478">
            <v>0</v>
          </cell>
        </row>
        <row r="1479">
          <cell r="B1479">
            <v>0</v>
          </cell>
          <cell r="C1479">
            <v>0</v>
          </cell>
          <cell r="D1479">
            <v>0</v>
          </cell>
        </row>
        <row r="1480">
          <cell r="B1480">
            <v>0</v>
          </cell>
          <cell r="C1480">
            <v>0</v>
          </cell>
          <cell r="D1480">
            <v>0</v>
          </cell>
        </row>
        <row r="1481">
          <cell r="B1481">
            <v>0</v>
          </cell>
          <cell r="C1481">
            <v>0</v>
          </cell>
          <cell r="D1481">
            <v>0</v>
          </cell>
        </row>
        <row r="1482">
          <cell r="B1482">
            <v>0</v>
          </cell>
          <cell r="C1482">
            <v>0</v>
          </cell>
          <cell r="D1482">
            <v>0</v>
          </cell>
        </row>
        <row r="1483">
          <cell r="B1483">
            <v>0</v>
          </cell>
          <cell r="C1483">
            <v>0</v>
          </cell>
          <cell r="D1483">
            <v>0</v>
          </cell>
        </row>
        <row r="1484">
          <cell r="B1484">
            <v>0</v>
          </cell>
          <cell r="C1484">
            <v>0</v>
          </cell>
          <cell r="D1484">
            <v>0</v>
          </cell>
        </row>
        <row r="1485">
          <cell r="B1485">
            <v>0</v>
          </cell>
          <cell r="C1485">
            <v>0</v>
          </cell>
          <cell r="D1485">
            <v>0</v>
          </cell>
        </row>
        <row r="1486">
          <cell r="B1486">
            <v>0</v>
          </cell>
          <cell r="C1486">
            <v>0</v>
          </cell>
          <cell r="D1486">
            <v>0</v>
          </cell>
        </row>
        <row r="1487">
          <cell r="B1487">
            <v>0</v>
          </cell>
          <cell r="C1487">
            <v>0</v>
          </cell>
          <cell r="D1487">
            <v>0</v>
          </cell>
        </row>
        <row r="1488">
          <cell r="B1488">
            <v>0</v>
          </cell>
          <cell r="C1488">
            <v>0</v>
          </cell>
          <cell r="D1488">
            <v>0</v>
          </cell>
        </row>
        <row r="1489">
          <cell r="B1489">
            <v>0</v>
          </cell>
          <cell r="C1489">
            <v>0</v>
          </cell>
          <cell r="D1489">
            <v>0</v>
          </cell>
        </row>
        <row r="1490">
          <cell r="B1490">
            <v>0</v>
          </cell>
          <cell r="C1490">
            <v>0</v>
          </cell>
          <cell r="D1490">
            <v>0</v>
          </cell>
        </row>
        <row r="1491">
          <cell r="B1491">
            <v>0</v>
          </cell>
          <cell r="C1491">
            <v>0</v>
          </cell>
          <cell r="D1491">
            <v>0</v>
          </cell>
        </row>
        <row r="1492">
          <cell r="B1492">
            <v>0</v>
          </cell>
          <cell r="C1492">
            <v>0</v>
          </cell>
          <cell r="D1492">
            <v>0</v>
          </cell>
        </row>
        <row r="1493">
          <cell r="B1493">
            <v>0</v>
          </cell>
          <cell r="C1493">
            <v>0</v>
          </cell>
          <cell r="D1493">
            <v>0</v>
          </cell>
        </row>
        <row r="1494">
          <cell r="B1494">
            <v>0</v>
          </cell>
          <cell r="C1494">
            <v>0</v>
          </cell>
          <cell r="D1494">
            <v>0</v>
          </cell>
        </row>
        <row r="1495">
          <cell r="B1495">
            <v>0</v>
          </cell>
          <cell r="C1495">
            <v>0</v>
          </cell>
          <cell r="D1495">
            <v>0</v>
          </cell>
        </row>
        <row r="1496">
          <cell r="B1496">
            <v>0</v>
          </cell>
          <cell r="C1496">
            <v>0</v>
          </cell>
          <cell r="D1496">
            <v>0</v>
          </cell>
        </row>
        <row r="1497">
          <cell r="B1497">
            <v>0</v>
          </cell>
          <cell r="C1497">
            <v>0</v>
          </cell>
          <cell r="D1497">
            <v>0</v>
          </cell>
        </row>
        <row r="1498">
          <cell r="B1498">
            <v>0</v>
          </cell>
          <cell r="C1498">
            <v>0</v>
          </cell>
          <cell r="D1498">
            <v>0</v>
          </cell>
        </row>
        <row r="1499">
          <cell r="B1499">
            <v>0</v>
          </cell>
          <cell r="C1499">
            <v>0</v>
          </cell>
          <cell r="D1499">
            <v>0</v>
          </cell>
        </row>
        <row r="1500">
          <cell r="B1500">
            <v>0</v>
          </cell>
          <cell r="C1500">
            <v>0</v>
          </cell>
          <cell r="D1500">
            <v>0</v>
          </cell>
        </row>
        <row r="1501">
          <cell r="B1501">
            <v>0</v>
          </cell>
          <cell r="C1501">
            <v>0</v>
          </cell>
          <cell r="D1501">
            <v>0</v>
          </cell>
        </row>
        <row r="1502">
          <cell r="B1502">
            <v>0</v>
          </cell>
          <cell r="C1502">
            <v>0</v>
          </cell>
          <cell r="D1502">
            <v>0</v>
          </cell>
        </row>
        <row r="1503">
          <cell r="B1503">
            <v>0</v>
          </cell>
          <cell r="C1503">
            <v>0</v>
          </cell>
          <cell r="D1503">
            <v>0</v>
          </cell>
        </row>
        <row r="1504">
          <cell r="B1504">
            <v>0</v>
          </cell>
          <cell r="C1504">
            <v>0</v>
          </cell>
          <cell r="D1504">
            <v>0</v>
          </cell>
        </row>
        <row r="1505">
          <cell r="B1505">
            <v>0</v>
          </cell>
          <cell r="C1505">
            <v>0</v>
          </cell>
          <cell r="D1505">
            <v>0</v>
          </cell>
        </row>
        <row r="1506">
          <cell r="B1506">
            <v>0</v>
          </cell>
          <cell r="C1506">
            <v>0</v>
          </cell>
          <cell r="D1506">
            <v>0</v>
          </cell>
        </row>
        <row r="1507">
          <cell r="B1507">
            <v>0</v>
          </cell>
          <cell r="C1507">
            <v>0</v>
          </cell>
          <cell r="D1507">
            <v>0</v>
          </cell>
        </row>
        <row r="1508">
          <cell r="B1508">
            <v>0</v>
          </cell>
          <cell r="C1508">
            <v>0</v>
          </cell>
          <cell r="D1508">
            <v>0</v>
          </cell>
        </row>
        <row r="1509">
          <cell r="B1509">
            <v>0</v>
          </cell>
          <cell r="C1509">
            <v>0</v>
          </cell>
          <cell r="D1509">
            <v>0</v>
          </cell>
        </row>
        <row r="1510">
          <cell r="B1510">
            <v>0</v>
          </cell>
          <cell r="C1510">
            <v>0</v>
          </cell>
          <cell r="D1510">
            <v>0</v>
          </cell>
        </row>
        <row r="1511">
          <cell r="B1511">
            <v>0</v>
          </cell>
          <cell r="C1511">
            <v>0</v>
          </cell>
          <cell r="D1511">
            <v>0</v>
          </cell>
        </row>
        <row r="1512">
          <cell r="B1512">
            <v>0</v>
          </cell>
          <cell r="C1512">
            <v>0</v>
          </cell>
          <cell r="D1512">
            <v>0</v>
          </cell>
        </row>
        <row r="1513">
          <cell r="B1513">
            <v>0</v>
          </cell>
          <cell r="C1513">
            <v>0</v>
          </cell>
          <cell r="D1513">
            <v>0</v>
          </cell>
        </row>
        <row r="1514">
          <cell r="B1514">
            <v>0</v>
          </cell>
          <cell r="C1514">
            <v>0</v>
          </cell>
          <cell r="D1514">
            <v>0</v>
          </cell>
        </row>
        <row r="1515">
          <cell r="B1515">
            <v>0</v>
          </cell>
          <cell r="C1515">
            <v>0</v>
          </cell>
          <cell r="D1515">
            <v>0</v>
          </cell>
        </row>
        <row r="1516">
          <cell r="B1516">
            <v>0</v>
          </cell>
          <cell r="C1516">
            <v>0</v>
          </cell>
          <cell r="D1516">
            <v>0</v>
          </cell>
        </row>
        <row r="1517">
          <cell r="B1517">
            <v>0</v>
          </cell>
          <cell r="C1517">
            <v>0</v>
          </cell>
          <cell r="D1517">
            <v>0</v>
          </cell>
        </row>
        <row r="1518">
          <cell r="B1518">
            <v>0</v>
          </cell>
          <cell r="C1518">
            <v>0</v>
          </cell>
          <cell r="D1518">
            <v>0</v>
          </cell>
        </row>
        <row r="1519">
          <cell r="B1519">
            <v>0</v>
          </cell>
          <cell r="C1519">
            <v>0</v>
          </cell>
          <cell r="D1519">
            <v>0</v>
          </cell>
        </row>
        <row r="1520">
          <cell r="B1520">
            <v>0</v>
          </cell>
          <cell r="C1520">
            <v>0</v>
          </cell>
          <cell r="D1520">
            <v>0</v>
          </cell>
        </row>
        <row r="1521">
          <cell r="B1521">
            <v>0</v>
          </cell>
          <cell r="C1521">
            <v>0</v>
          </cell>
          <cell r="D1521">
            <v>0</v>
          </cell>
        </row>
        <row r="1522">
          <cell r="B1522">
            <v>0</v>
          </cell>
          <cell r="C1522">
            <v>0</v>
          </cell>
          <cell r="D1522">
            <v>0</v>
          </cell>
        </row>
        <row r="1523">
          <cell r="B1523">
            <v>0</v>
          </cell>
          <cell r="C1523">
            <v>0</v>
          </cell>
          <cell r="D1523">
            <v>0</v>
          </cell>
        </row>
        <row r="1524">
          <cell r="B1524">
            <v>0</v>
          </cell>
          <cell r="C1524">
            <v>0</v>
          </cell>
          <cell r="D1524">
            <v>0</v>
          </cell>
        </row>
        <row r="1525">
          <cell r="B1525">
            <v>0</v>
          </cell>
          <cell r="C1525">
            <v>0</v>
          </cell>
          <cell r="D1525">
            <v>0</v>
          </cell>
        </row>
        <row r="1526">
          <cell r="B1526">
            <v>0</v>
          </cell>
          <cell r="C1526">
            <v>0</v>
          </cell>
          <cell r="D1526">
            <v>0</v>
          </cell>
        </row>
        <row r="1527">
          <cell r="B1527">
            <v>0</v>
          </cell>
          <cell r="C1527">
            <v>0</v>
          </cell>
          <cell r="D1527">
            <v>0</v>
          </cell>
        </row>
        <row r="1528">
          <cell r="B1528">
            <v>0</v>
          </cell>
          <cell r="C1528">
            <v>0</v>
          </cell>
          <cell r="D1528">
            <v>0</v>
          </cell>
        </row>
        <row r="1529">
          <cell r="B1529">
            <v>0</v>
          </cell>
          <cell r="C1529">
            <v>0</v>
          </cell>
          <cell r="D1529">
            <v>0</v>
          </cell>
        </row>
        <row r="1530">
          <cell r="B1530">
            <v>0</v>
          </cell>
          <cell r="C1530">
            <v>0</v>
          </cell>
          <cell r="D1530">
            <v>0</v>
          </cell>
        </row>
        <row r="1531">
          <cell r="B1531">
            <v>0</v>
          </cell>
          <cell r="C1531">
            <v>0</v>
          </cell>
          <cell r="D1531">
            <v>0</v>
          </cell>
        </row>
        <row r="1532">
          <cell r="B1532">
            <v>0</v>
          </cell>
          <cell r="C1532">
            <v>0</v>
          </cell>
          <cell r="D1532">
            <v>0</v>
          </cell>
        </row>
        <row r="1533">
          <cell r="B1533">
            <v>0</v>
          </cell>
          <cell r="C1533">
            <v>0</v>
          </cell>
          <cell r="D1533">
            <v>0</v>
          </cell>
        </row>
        <row r="1534">
          <cell r="B1534">
            <v>0</v>
          </cell>
          <cell r="C1534">
            <v>0</v>
          </cell>
          <cell r="D1534">
            <v>0</v>
          </cell>
        </row>
        <row r="1535">
          <cell r="B1535">
            <v>0</v>
          </cell>
          <cell r="C1535">
            <v>0</v>
          </cell>
          <cell r="D1535">
            <v>0</v>
          </cell>
        </row>
        <row r="1536">
          <cell r="B1536">
            <v>0</v>
          </cell>
          <cell r="C1536">
            <v>0</v>
          </cell>
          <cell r="D1536">
            <v>0</v>
          </cell>
        </row>
        <row r="1537">
          <cell r="B1537">
            <v>0</v>
          </cell>
          <cell r="C1537">
            <v>0</v>
          </cell>
          <cell r="D1537">
            <v>0</v>
          </cell>
        </row>
        <row r="1538">
          <cell r="B1538">
            <v>0</v>
          </cell>
          <cell r="C1538">
            <v>0</v>
          </cell>
          <cell r="D1538">
            <v>0</v>
          </cell>
        </row>
        <row r="1539">
          <cell r="B1539">
            <v>0</v>
          </cell>
          <cell r="C1539">
            <v>0</v>
          </cell>
          <cell r="D1539">
            <v>0</v>
          </cell>
        </row>
        <row r="1540">
          <cell r="B1540">
            <v>0</v>
          </cell>
          <cell r="C1540">
            <v>0</v>
          </cell>
          <cell r="D1540">
            <v>0</v>
          </cell>
        </row>
        <row r="1541">
          <cell r="B1541">
            <v>0</v>
          </cell>
          <cell r="C1541">
            <v>0</v>
          </cell>
          <cell r="D1541">
            <v>0</v>
          </cell>
        </row>
        <row r="1542">
          <cell r="B1542">
            <v>0</v>
          </cell>
          <cell r="C1542">
            <v>0</v>
          </cell>
          <cell r="D1542">
            <v>0</v>
          </cell>
        </row>
        <row r="1543">
          <cell r="B1543">
            <v>0</v>
          </cell>
          <cell r="C1543">
            <v>0</v>
          </cell>
          <cell r="D1543">
            <v>0</v>
          </cell>
        </row>
        <row r="1544">
          <cell r="B1544">
            <v>0</v>
          </cell>
          <cell r="C1544">
            <v>0</v>
          </cell>
          <cell r="D1544">
            <v>0</v>
          </cell>
        </row>
        <row r="1545">
          <cell r="B1545">
            <v>0</v>
          </cell>
          <cell r="C1545">
            <v>0</v>
          </cell>
          <cell r="D1545">
            <v>0</v>
          </cell>
        </row>
        <row r="1546">
          <cell r="B1546">
            <v>0</v>
          </cell>
          <cell r="C1546">
            <v>0</v>
          </cell>
          <cell r="D1546">
            <v>0</v>
          </cell>
        </row>
        <row r="1547">
          <cell r="B1547">
            <v>0</v>
          </cell>
          <cell r="C1547">
            <v>0</v>
          </cell>
          <cell r="D1547">
            <v>0</v>
          </cell>
        </row>
        <row r="1548">
          <cell r="B1548">
            <v>0</v>
          </cell>
          <cell r="C1548">
            <v>0</v>
          </cell>
          <cell r="D1548">
            <v>0</v>
          </cell>
        </row>
        <row r="1549">
          <cell r="B1549">
            <v>0</v>
          </cell>
          <cell r="C1549">
            <v>0</v>
          </cell>
          <cell r="D1549">
            <v>0</v>
          </cell>
        </row>
        <row r="1550">
          <cell r="B1550">
            <v>0</v>
          </cell>
          <cell r="C1550">
            <v>0</v>
          </cell>
          <cell r="D1550">
            <v>0</v>
          </cell>
        </row>
        <row r="1551">
          <cell r="B1551">
            <v>0</v>
          </cell>
          <cell r="C1551">
            <v>0</v>
          </cell>
          <cell r="D1551">
            <v>0</v>
          </cell>
        </row>
        <row r="1552">
          <cell r="B1552">
            <v>0</v>
          </cell>
          <cell r="C1552">
            <v>0</v>
          </cell>
          <cell r="D1552">
            <v>0</v>
          </cell>
        </row>
        <row r="1553">
          <cell r="B1553">
            <v>0</v>
          </cell>
          <cell r="C1553">
            <v>0</v>
          </cell>
          <cell r="D1553">
            <v>0</v>
          </cell>
        </row>
        <row r="1554">
          <cell r="B1554">
            <v>0</v>
          </cell>
          <cell r="C1554">
            <v>0</v>
          </cell>
          <cell r="D1554">
            <v>0</v>
          </cell>
        </row>
        <row r="1555">
          <cell r="B1555">
            <v>0</v>
          </cell>
          <cell r="C1555">
            <v>0</v>
          </cell>
          <cell r="D1555">
            <v>0</v>
          </cell>
        </row>
        <row r="1556">
          <cell r="B1556">
            <v>0</v>
          </cell>
          <cell r="C1556">
            <v>0</v>
          </cell>
          <cell r="D1556">
            <v>0</v>
          </cell>
        </row>
        <row r="1557">
          <cell r="B1557">
            <v>0</v>
          </cell>
          <cell r="C1557">
            <v>0</v>
          </cell>
          <cell r="D1557">
            <v>0</v>
          </cell>
        </row>
        <row r="1558">
          <cell r="B1558">
            <v>0</v>
          </cell>
          <cell r="C1558">
            <v>0</v>
          </cell>
          <cell r="D1558">
            <v>0</v>
          </cell>
        </row>
        <row r="1559">
          <cell r="B1559">
            <v>0</v>
          </cell>
          <cell r="C1559">
            <v>0</v>
          </cell>
          <cell r="D1559">
            <v>0</v>
          </cell>
        </row>
        <row r="1560">
          <cell r="B1560">
            <v>0</v>
          </cell>
          <cell r="C1560">
            <v>0</v>
          </cell>
          <cell r="D1560">
            <v>0</v>
          </cell>
        </row>
        <row r="1561">
          <cell r="B1561">
            <v>0</v>
          </cell>
          <cell r="C1561">
            <v>0</v>
          </cell>
          <cell r="D1561">
            <v>0</v>
          </cell>
        </row>
        <row r="1562">
          <cell r="B1562">
            <v>0</v>
          </cell>
          <cell r="C1562">
            <v>0</v>
          </cell>
          <cell r="D1562">
            <v>0</v>
          </cell>
        </row>
        <row r="1563">
          <cell r="B1563">
            <v>0</v>
          </cell>
          <cell r="C1563">
            <v>0</v>
          </cell>
          <cell r="D1563">
            <v>0</v>
          </cell>
        </row>
        <row r="1564">
          <cell r="B1564">
            <v>0</v>
          </cell>
          <cell r="C1564">
            <v>0</v>
          </cell>
          <cell r="D1564">
            <v>0</v>
          </cell>
        </row>
        <row r="1565">
          <cell r="B1565">
            <v>0</v>
          </cell>
          <cell r="C1565">
            <v>0</v>
          </cell>
          <cell r="D1565">
            <v>0</v>
          </cell>
        </row>
        <row r="1566">
          <cell r="B1566">
            <v>0</v>
          </cell>
          <cell r="C1566">
            <v>0</v>
          </cell>
          <cell r="D1566">
            <v>0</v>
          </cell>
        </row>
        <row r="1567">
          <cell r="B1567">
            <v>0</v>
          </cell>
          <cell r="C1567">
            <v>0</v>
          </cell>
          <cell r="D1567">
            <v>0</v>
          </cell>
        </row>
        <row r="1568">
          <cell r="B1568">
            <v>0</v>
          </cell>
          <cell r="C1568">
            <v>0</v>
          </cell>
          <cell r="D1568">
            <v>0</v>
          </cell>
        </row>
        <row r="1569">
          <cell r="B1569">
            <v>0</v>
          </cell>
          <cell r="C1569">
            <v>0</v>
          </cell>
          <cell r="D1569">
            <v>0</v>
          </cell>
        </row>
        <row r="1570">
          <cell r="B1570">
            <v>0</v>
          </cell>
          <cell r="C1570">
            <v>0</v>
          </cell>
          <cell r="D1570">
            <v>0</v>
          </cell>
        </row>
        <row r="1571">
          <cell r="B1571">
            <v>0</v>
          </cell>
          <cell r="C1571">
            <v>0</v>
          </cell>
          <cell r="D1571">
            <v>0</v>
          </cell>
        </row>
        <row r="1572">
          <cell r="B1572">
            <v>0</v>
          </cell>
          <cell r="C1572">
            <v>0</v>
          </cell>
          <cell r="D1572">
            <v>0</v>
          </cell>
        </row>
        <row r="1573">
          <cell r="B1573">
            <v>0</v>
          </cell>
          <cell r="C1573">
            <v>0</v>
          </cell>
          <cell r="D1573">
            <v>0</v>
          </cell>
        </row>
        <row r="1574">
          <cell r="B1574">
            <v>0</v>
          </cell>
          <cell r="C1574">
            <v>0</v>
          </cell>
          <cell r="D1574">
            <v>0</v>
          </cell>
        </row>
        <row r="1575">
          <cell r="B1575">
            <v>0</v>
          </cell>
          <cell r="C1575">
            <v>0</v>
          </cell>
          <cell r="D1575">
            <v>0</v>
          </cell>
        </row>
        <row r="1576">
          <cell r="B1576">
            <v>0</v>
          </cell>
          <cell r="C1576">
            <v>0</v>
          </cell>
          <cell r="D1576">
            <v>0</v>
          </cell>
        </row>
        <row r="1577">
          <cell r="B1577">
            <v>0</v>
          </cell>
          <cell r="C1577">
            <v>0</v>
          </cell>
          <cell r="D1577">
            <v>0</v>
          </cell>
        </row>
        <row r="1578">
          <cell r="B1578">
            <v>0</v>
          </cell>
          <cell r="C1578">
            <v>0</v>
          </cell>
          <cell r="D1578">
            <v>0</v>
          </cell>
        </row>
        <row r="1579">
          <cell r="B1579">
            <v>0</v>
          </cell>
          <cell r="C1579">
            <v>0</v>
          </cell>
          <cell r="D1579">
            <v>0</v>
          </cell>
        </row>
        <row r="1580">
          <cell r="B1580">
            <v>0</v>
          </cell>
          <cell r="C1580">
            <v>0</v>
          </cell>
          <cell r="D1580">
            <v>0</v>
          </cell>
        </row>
        <row r="1581">
          <cell r="B1581">
            <v>0</v>
          </cell>
          <cell r="C1581">
            <v>0</v>
          </cell>
          <cell r="D1581">
            <v>0</v>
          </cell>
        </row>
        <row r="1582">
          <cell r="B1582">
            <v>0</v>
          </cell>
          <cell r="C1582">
            <v>0</v>
          </cell>
          <cell r="D1582">
            <v>0</v>
          </cell>
        </row>
        <row r="1583">
          <cell r="B1583">
            <v>0</v>
          </cell>
          <cell r="C1583">
            <v>0</v>
          </cell>
          <cell r="D1583">
            <v>0</v>
          </cell>
        </row>
        <row r="1584">
          <cell r="B1584">
            <v>0</v>
          </cell>
          <cell r="C1584">
            <v>0</v>
          </cell>
          <cell r="D1584">
            <v>0</v>
          </cell>
        </row>
        <row r="1585">
          <cell r="B1585">
            <v>0</v>
          </cell>
          <cell r="C1585">
            <v>0</v>
          </cell>
          <cell r="D1585">
            <v>0</v>
          </cell>
        </row>
        <row r="1586">
          <cell r="B1586">
            <v>0</v>
          </cell>
          <cell r="C1586">
            <v>0</v>
          </cell>
          <cell r="D1586">
            <v>0</v>
          </cell>
        </row>
        <row r="1587">
          <cell r="B1587">
            <v>0</v>
          </cell>
          <cell r="C1587">
            <v>0</v>
          </cell>
          <cell r="D1587">
            <v>0</v>
          </cell>
        </row>
        <row r="1588">
          <cell r="B1588">
            <v>0</v>
          </cell>
          <cell r="C1588">
            <v>0</v>
          </cell>
          <cell r="D1588">
            <v>0</v>
          </cell>
        </row>
        <row r="1589">
          <cell r="B1589">
            <v>0</v>
          </cell>
          <cell r="C1589">
            <v>0</v>
          </cell>
          <cell r="D1589">
            <v>0</v>
          </cell>
        </row>
        <row r="1590">
          <cell r="B1590">
            <v>0</v>
          </cell>
          <cell r="C1590">
            <v>0</v>
          </cell>
          <cell r="D1590">
            <v>0</v>
          </cell>
        </row>
        <row r="1591">
          <cell r="B1591">
            <v>0</v>
          </cell>
          <cell r="C1591">
            <v>0</v>
          </cell>
          <cell r="D1591">
            <v>0</v>
          </cell>
        </row>
        <row r="1592">
          <cell r="B1592">
            <v>0</v>
          </cell>
          <cell r="C1592">
            <v>0</v>
          </cell>
          <cell r="D1592">
            <v>0</v>
          </cell>
        </row>
        <row r="1593">
          <cell r="B1593">
            <v>0</v>
          </cell>
          <cell r="C1593">
            <v>0</v>
          </cell>
          <cell r="D1593">
            <v>0</v>
          </cell>
        </row>
        <row r="1594">
          <cell r="B1594">
            <v>0</v>
          </cell>
          <cell r="C1594">
            <v>0</v>
          </cell>
          <cell r="D1594">
            <v>0</v>
          </cell>
        </row>
        <row r="1595">
          <cell r="B1595">
            <v>0</v>
          </cell>
          <cell r="C1595">
            <v>0</v>
          </cell>
          <cell r="D1595">
            <v>0</v>
          </cell>
        </row>
        <row r="1596">
          <cell r="B1596">
            <v>0</v>
          </cell>
          <cell r="C1596">
            <v>0</v>
          </cell>
          <cell r="D1596">
            <v>0</v>
          </cell>
        </row>
        <row r="1597">
          <cell r="B1597">
            <v>0</v>
          </cell>
          <cell r="C1597">
            <v>0</v>
          </cell>
          <cell r="D1597">
            <v>0</v>
          </cell>
        </row>
        <row r="1598">
          <cell r="B1598">
            <v>0</v>
          </cell>
          <cell r="C1598">
            <v>0</v>
          </cell>
          <cell r="D1598">
            <v>0</v>
          </cell>
        </row>
        <row r="1599">
          <cell r="B1599">
            <v>0</v>
          </cell>
          <cell r="C1599">
            <v>0</v>
          </cell>
          <cell r="D1599">
            <v>0</v>
          </cell>
        </row>
        <row r="1600">
          <cell r="B1600">
            <v>0</v>
          </cell>
          <cell r="C1600">
            <v>0</v>
          </cell>
          <cell r="D1600">
            <v>0</v>
          </cell>
        </row>
        <row r="1601">
          <cell r="B1601">
            <v>0</v>
          </cell>
          <cell r="C1601">
            <v>0</v>
          </cell>
          <cell r="D1601">
            <v>0</v>
          </cell>
        </row>
        <row r="1602">
          <cell r="B1602">
            <v>0</v>
          </cell>
          <cell r="C1602">
            <v>0</v>
          </cell>
          <cell r="D1602">
            <v>0</v>
          </cell>
        </row>
        <row r="1603">
          <cell r="B1603">
            <v>0</v>
          </cell>
          <cell r="C1603">
            <v>0</v>
          </cell>
          <cell r="D1603">
            <v>0</v>
          </cell>
        </row>
        <row r="1604">
          <cell r="B1604">
            <v>0</v>
          </cell>
          <cell r="C1604">
            <v>0</v>
          </cell>
          <cell r="D1604">
            <v>0</v>
          </cell>
        </row>
        <row r="1605">
          <cell r="B1605">
            <v>0</v>
          </cell>
          <cell r="C1605">
            <v>0</v>
          </cell>
          <cell r="D1605">
            <v>0</v>
          </cell>
        </row>
        <row r="1606">
          <cell r="B1606">
            <v>0</v>
          </cell>
          <cell r="C1606">
            <v>0</v>
          </cell>
          <cell r="D1606">
            <v>0</v>
          </cell>
        </row>
        <row r="1607">
          <cell r="B1607">
            <v>0</v>
          </cell>
          <cell r="C1607">
            <v>0</v>
          </cell>
          <cell r="D1607">
            <v>0</v>
          </cell>
        </row>
        <row r="1608">
          <cell r="B1608">
            <v>0</v>
          </cell>
          <cell r="C1608">
            <v>0</v>
          </cell>
          <cell r="D1608">
            <v>0</v>
          </cell>
        </row>
        <row r="1609">
          <cell r="B1609">
            <v>0</v>
          </cell>
          <cell r="C1609">
            <v>0</v>
          </cell>
          <cell r="D1609">
            <v>0</v>
          </cell>
        </row>
        <row r="1610">
          <cell r="B1610">
            <v>0</v>
          </cell>
          <cell r="C1610">
            <v>0</v>
          </cell>
          <cell r="D1610">
            <v>0</v>
          </cell>
        </row>
        <row r="1611">
          <cell r="B1611">
            <v>0</v>
          </cell>
          <cell r="C1611">
            <v>0</v>
          </cell>
          <cell r="D1611">
            <v>0</v>
          </cell>
        </row>
        <row r="1612">
          <cell r="B1612">
            <v>0</v>
          </cell>
          <cell r="C1612">
            <v>0</v>
          </cell>
          <cell r="D1612">
            <v>0</v>
          </cell>
        </row>
        <row r="1613">
          <cell r="B1613">
            <v>0</v>
          </cell>
          <cell r="C1613">
            <v>0</v>
          </cell>
          <cell r="D1613">
            <v>0</v>
          </cell>
        </row>
        <row r="1614">
          <cell r="B1614">
            <v>0</v>
          </cell>
          <cell r="C1614">
            <v>0</v>
          </cell>
          <cell r="D1614">
            <v>0</v>
          </cell>
        </row>
        <row r="1615">
          <cell r="B1615">
            <v>0</v>
          </cell>
          <cell r="C1615">
            <v>0</v>
          </cell>
          <cell r="D1615">
            <v>0</v>
          </cell>
        </row>
        <row r="1616">
          <cell r="B1616">
            <v>0</v>
          </cell>
          <cell r="C1616">
            <v>0</v>
          </cell>
          <cell r="D1616">
            <v>0</v>
          </cell>
        </row>
        <row r="1617">
          <cell r="B1617">
            <v>0</v>
          </cell>
          <cell r="C1617">
            <v>0</v>
          </cell>
          <cell r="D1617">
            <v>0</v>
          </cell>
        </row>
        <row r="1618">
          <cell r="B1618">
            <v>0</v>
          </cell>
          <cell r="C1618">
            <v>0</v>
          </cell>
          <cell r="D1618">
            <v>0</v>
          </cell>
        </row>
        <row r="1619">
          <cell r="B1619">
            <v>0</v>
          </cell>
          <cell r="C1619">
            <v>0</v>
          </cell>
          <cell r="D1619">
            <v>0</v>
          </cell>
        </row>
        <row r="1620">
          <cell r="B1620">
            <v>0</v>
          </cell>
          <cell r="C1620">
            <v>0</v>
          </cell>
          <cell r="D1620">
            <v>0</v>
          </cell>
        </row>
        <row r="1621">
          <cell r="B1621">
            <v>0</v>
          </cell>
          <cell r="C1621">
            <v>0</v>
          </cell>
          <cell r="D1621">
            <v>0</v>
          </cell>
        </row>
        <row r="1622">
          <cell r="B1622">
            <v>0</v>
          </cell>
          <cell r="C1622">
            <v>0</v>
          </cell>
          <cell r="D1622">
            <v>0</v>
          </cell>
        </row>
        <row r="1623">
          <cell r="B1623">
            <v>0</v>
          </cell>
          <cell r="C1623">
            <v>0</v>
          </cell>
          <cell r="D1623">
            <v>0</v>
          </cell>
        </row>
        <row r="1624">
          <cell r="B1624">
            <v>0</v>
          </cell>
          <cell r="C1624">
            <v>0</v>
          </cell>
          <cell r="D1624">
            <v>0</v>
          </cell>
        </row>
        <row r="1625">
          <cell r="B1625">
            <v>0</v>
          </cell>
          <cell r="C1625">
            <v>0</v>
          </cell>
          <cell r="D1625">
            <v>0</v>
          </cell>
        </row>
        <row r="1626">
          <cell r="B1626">
            <v>0</v>
          </cell>
          <cell r="C1626">
            <v>0</v>
          </cell>
          <cell r="D1626">
            <v>0</v>
          </cell>
        </row>
        <row r="1627">
          <cell r="B1627">
            <v>0</v>
          </cell>
          <cell r="C1627">
            <v>0</v>
          </cell>
          <cell r="D1627">
            <v>0</v>
          </cell>
        </row>
        <row r="1628">
          <cell r="B1628">
            <v>0</v>
          </cell>
          <cell r="C1628">
            <v>0</v>
          </cell>
          <cell r="D1628">
            <v>0</v>
          </cell>
        </row>
        <row r="1629">
          <cell r="B1629">
            <v>0</v>
          </cell>
          <cell r="C1629">
            <v>0</v>
          </cell>
          <cell r="D1629">
            <v>0</v>
          </cell>
        </row>
        <row r="1630">
          <cell r="B1630">
            <v>0</v>
          </cell>
          <cell r="C1630">
            <v>0</v>
          </cell>
          <cell r="D1630">
            <v>0</v>
          </cell>
        </row>
        <row r="1631">
          <cell r="B1631">
            <v>0</v>
          </cell>
          <cell r="C1631">
            <v>0</v>
          </cell>
          <cell r="D1631">
            <v>0</v>
          </cell>
        </row>
        <row r="1632">
          <cell r="B1632">
            <v>0</v>
          </cell>
          <cell r="C1632">
            <v>0</v>
          </cell>
          <cell r="D1632">
            <v>0</v>
          </cell>
        </row>
        <row r="1633">
          <cell r="B1633">
            <v>0</v>
          </cell>
          <cell r="C1633">
            <v>0</v>
          </cell>
          <cell r="D1633">
            <v>0</v>
          </cell>
        </row>
        <row r="1634">
          <cell r="B1634">
            <v>0</v>
          </cell>
          <cell r="C1634">
            <v>0</v>
          </cell>
          <cell r="D1634">
            <v>0</v>
          </cell>
        </row>
        <row r="1635">
          <cell r="B1635">
            <v>0</v>
          </cell>
          <cell r="C1635">
            <v>0</v>
          </cell>
          <cell r="D1635">
            <v>0</v>
          </cell>
        </row>
        <row r="1636">
          <cell r="B1636">
            <v>0</v>
          </cell>
          <cell r="C1636">
            <v>0</v>
          </cell>
          <cell r="D1636">
            <v>0</v>
          </cell>
        </row>
        <row r="1637">
          <cell r="B1637">
            <v>0</v>
          </cell>
          <cell r="C1637">
            <v>0</v>
          </cell>
          <cell r="D1637">
            <v>0</v>
          </cell>
        </row>
        <row r="1638">
          <cell r="B1638">
            <v>0</v>
          </cell>
          <cell r="C1638">
            <v>0</v>
          </cell>
          <cell r="D1638">
            <v>0</v>
          </cell>
        </row>
        <row r="1639">
          <cell r="B1639">
            <v>0</v>
          </cell>
          <cell r="C1639">
            <v>0</v>
          </cell>
          <cell r="D1639">
            <v>0</v>
          </cell>
        </row>
        <row r="1640">
          <cell r="B1640">
            <v>0</v>
          </cell>
          <cell r="C1640">
            <v>0</v>
          </cell>
          <cell r="D1640">
            <v>0</v>
          </cell>
        </row>
        <row r="1641">
          <cell r="B1641">
            <v>0</v>
          </cell>
          <cell r="C1641">
            <v>0</v>
          </cell>
          <cell r="D1641">
            <v>0</v>
          </cell>
        </row>
        <row r="1642">
          <cell r="B1642">
            <v>0</v>
          </cell>
          <cell r="C1642">
            <v>0</v>
          </cell>
          <cell r="D1642">
            <v>0</v>
          </cell>
        </row>
        <row r="1643">
          <cell r="B1643">
            <v>0</v>
          </cell>
          <cell r="C1643">
            <v>0</v>
          </cell>
          <cell r="D1643">
            <v>0</v>
          </cell>
        </row>
        <row r="1644">
          <cell r="B1644">
            <v>0</v>
          </cell>
          <cell r="C1644">
            <v>0</v>
          </cell>
          <cell r="D1644">
            <v>0</v>
          </cell>
        </row>
        <row r="1645">
          <cell r="B1645">
            <v>0</v>
          </cell>
          <cell r="C1645">
            <v>0</v>
          </cell>
          <cell r="D1645">
            <v>0</v>
          </cell>
        </row>
        <row r="1646">
          <cell r="B1646">
            <v>0</v>
          </cell>
          <cell r="C1646">
            <v>0</v>
          </cell>
          <cell r="D1646">
            <v>0</v>
          </cell>
        </row>
        <row r="1647">
          <cell r="B1647">
            <v>0</v>
          </cell>
          <cell r="C1647">
            <v>0</v>
          </cell>
          <cell r="D1647">
            <v>0</v>
          </cell>
        </row>
        <row r="1648">
          <cell r="B1648">
            <v>0</v>
          </cell>
          <cell r="C1648">
            <v>0</v>
          </cell>
          <cell r="D1648">
            <v>0</v>
          </cell>
        </row>
        <row r="1649">
          <cell r="B1649">
            <v>0</v>
          </cell>
          <cell r="C1649">
            <v>0</v>
          </cell>
          <cell r="D1649">
            <v>0</v>
          </cell>
        </row>
        <row r="1650">
          <cell r="B1650">
            <v>0</v>
          </cell>
          <cell r="C1650">
            <v>0</v>
          </cell>
          <cell r="D1650">
            <v>0</v>
          </cell>
        </row>
        <row r="1651">
          <cell r="B1651">
            <v>0</v>
          </cell>
          <cell r="C1651">
            <v>0</v>
          </cell>
          <cell r="D1651">
            <v>0</v>
          </cell>
        </row>
        <row r="1652">
          <cell r="B1652">
            <v>0</v>
          </cell>
          <cell r="C1652">
            <v>0</v>
          </cell>
          <cell r="D1652">
            <v>0</v>
          </cell>
        </row>
        <row r="1653">
          <cell r="B1653">
            <v>0</v>
          </cell>
          <cell r="C1653">
            <v>0</v>
          </cell>
          <cell r="D1653">
            <v>0</v>
          </cell>
        </row>
        <row r="1654">
          <cell r="B1654">
            <v>0</v>
          </cell>
          <cell r="C1654">
            <v>0</v>
          </cell>
          <cell r="D1654">
            <v>0</v>
          </cell>
        </row>
        <row r="1655">
          <cell r="B1655">
            <v>0</v>
          </cell>
          <cell r="C1655">
            <v>0</v>
          </cell>
          <cell r="D1655">
            <v>0</v>
          </cell>
        </row>
        <row r="1656">
          <cell r="B1656">
            <v>0</v>
          </cell>
          <cell r="C1656">
            <v>0</v>
          </cell>
          <cell r="D1656">
            <v>0</v>
          </cell>
        </row>
        <row r="1657">
          <cell r="B1657">
            <v>0</v>
          </cell>
          <cell r="C1657">
            <v>0</v>
          </cell>
          <cell r="D1657">
            <v>0</v>
          </cell>
        </row>
        <row r="1658">
          <cell r="B1658">
            <v>0</v>
          </cell>
          <cell r="C1658">
            <v>0</v>
          </cell>
          <cell r="D1658">
            <v>0</v>
          </cell>
        </row>
        <row r="1659">
          <cell r="B1659">
            <v>0</v>
          </cell>
          <cell r="C1659">
            <v>0</v>
          </cell>
          <cell r="D1659">
            <v>0</v>
          </cell>
        </row>
        <row r="1660">
          <cell r="B1660">
            <v>0</v>
          </cell>
          <cell r="C1660">
            <v>0</v>
          </cell>
          <cell r="D1660">
            <v>0</v>
          </cell>
        </row>
        <row r="1661">
          <cell r="B1661">
            <v>0</v>
          </cell>
          <cell r="C1661">
            <v>0</v>
          </cell>
          <cell r="D1661">
            <v>0</v>
          </cell>
        </row>
        <row r="1662">
          <cell r="B1662">
            <v>0</v>
          </cell>
          <cell r="C1662">
            <v>0</v>
          </cell>
          <cell r="D1662">
            <v>0</v>
          </cell>
        </row>
        <row r="1663">
          <cell r="B1663">
            <v>0</v>
          </cell>
          <cell r="C1663">
            <v>0</v>
          </cell>
          <cell r="D1663">
            <v>0</v>
          </cell>
        </row>
        <row r="1664">
          <cell r="B1664">
            <v>0</v>
          </cell>
          <cell r="C1664">
            <v>0</v>
          </cell>
          <cell r="D1664">
            <v>0</v>
          </cell>
        </row>
        <row r="1665">
          <cell r="B1665">
            <v>0</v>
          </cell>
          <cell r="C1665">
            <v>0</v>
          </cell>
          <cell r="D1665">
            <v>0</v>
          </cell>
        </row>
        <row r="1666">
          <cell r="B1666">
            <v>0</v>
          </cell>
          <cell r="C1666">
            <v>0</v>
          </cell>
          <cell r="D1666">
            <v>0</v>
          </cell>
        </row>
        <row r="1667">
          <cell r="B1667">
            <v>0</v>
          </cell>
          <cell r="C1667">
            <v>0</v>
          </cell>
          <cell r="D1667">
            <v>0</v>
          </cell>
        </row>
        <row r="1668">
          <cell r="B1668">
            <v>0</v>
          </cell>
          <cell r="C1668">
            <v>0</v>
          </cell>
          <cell r="D1668">
            <v>0</v>
          </cell>
        </row>
        <row r="1669">
          <cell r="B1669">
            <v>0</v>
          </cell>
          <cell r="C1669">
            <v>0</v>
          </cell>
          <cell r="D1669">
            <v>0</v>
          </cell>
        </row>
        <row r="1670">
          <cell r="B1670">
            <v>0</v>
          </cell>
          <cell r="C1670">
            <v>0</v>
          </cell>
          <cell r="D1670">
            <v>0</v>
          </cell>
        </row>
        <row r="1671">
          <cell r="B1671">
            <v>0</v>
          </cell>
          <cell r="C1671">
            <v>0</v>
          </cell>
          <cell r="D1671">
            <v>0</v>
          </cell>
        </row>
        <row r="1672">
          <cell r="B1672">
            <v>0</v>
          </cell>
          <cell r="C1672">
            <v>0</v>
          </cell>
          <cell r="D1672">
            <v>0</v>
          </cell>
        </row>
        <row r="1673">
          <cell r="B1673">
            <v>0</v>
          </cell>
          <cell r="C1673">
            <v>0</v>
          </cell>
          <cell r="D1673">
            <v>0</v>
          </cell>
        </row>
        <row r="1674">
          <cell r="B1674">
            <v>0</v>
          </cell>
          <cell r="C1674">
            <v>0</v>
          </cell>
          <cell r="D1674">
            <v>0</v>
          </cell>
        </row>
        <row r="1675">
          <cell r="B1675">
            <v>0</v>
          </cell>
          <cell r="C1675">
            <v>0</v>
          </cell>
          <cell r="D1675">
            <v>0</v>
          </cell>
        </row>
        <row r="1676">
          <cell r="B1676">
            <v>0</v>
          </cell>
          <cell r="C1676">
            <v>0</v>
          </cell>
          <cell r="D1676">
            <v>0</v>
          </cell>
        </row>
        <row r="1677">
          <cell r="B1677">
            <v>0</v>
          </cell>
          <cell r="C1677">
            <v>0</v>
          </cell>
          <cell r="D1677">
            <v>0</v>
          </cell>
        </row>
        <row r="1678">
          <cell r="B1678">
            <v>0</v>
          </cell>
          <cell r="C1678">
            <v>0</v>
          </cell>
          <cell r="D1678">
            <v>0</v>
          </cell>
        </row>
        <row r="1679">
          <cell r="B1679">
            <v>0</v>
          </cell>
          <cell r="C1679">
            <v>0</v>
          </cell>
          <cell r="D1679">
            <v>0</v>
          </cell>
        </row>
        <row r="1680">
          <cell r="B1680">
            <v>0</v>
          </cell>
          <cell r="C1680">
            <v>0</v>
          </cell>
          <cell r="D1680">
            <v>0</v>
          </cell>
        </row>
        <row r="1681">
          <cell r="B1681">
            <v>0</v>
          </cell>
          <cell r="C1681">
            <v>0</v>
          </cell>
          <cell r="D1681">
            <v>0</v>
          </cell>
        </row>
        <row r="1682">
          <cell r="B1682">
            <v>0</v>
          </cell>
          <cell r="C1682">
            <v>0</v>
          </cell>
          <cell r="D1682">
            <v>0</v>
          </cell>
        </row>
        <row r="1683">
          <cell r="B1683">
            <v>0</v>
          </cell>
          <cell r="C1683">
            <v>0</v>
          </cell>
          <cell r="D1683">
            <v>0</v>
          </cell>
        </row>
        <row r="1684">
          <cell r="B1684">
            <v>0</v>
          </cell>
          <cell r="C1684">
            <v>0</v>
          </cell>
          <cell r="D1684">
            <v>0</v>
          </cell>
        </row>
        <row r="1685">
          <cell r="B1685">
            <v>0</v>
          </cell>
          <cell r="C1685">
            <v>0</v>
          </cell>
          <cell r="D1685">
            <v>0</v>
          </cell>
        </row>
        <row r="1686">
          <cell r="B1686">
            <v>0</v>
          </cell>
          <cell r="C1686">
            <v>0</v>
          </cell>
          <cell r="D1686">
            <v>0</v>
          </cell>
        </row>
        <row r="1687">
          <cell r="B1687">
            <v>0</v>
          </cell>
          <cell r="C1687">
            <v>0</v>
          </cell>
          <cell r="D1687">
            <v>0</v>
          </cell>
        </row>
        <row r="1688">
          <cell r="B1688">
            <v>0</v>
          </cell>
          <cell r="C1688">
            <v>0</v>
          </cell>
          <cell r="D1688">
            <v>0</v>
          </cell>
        </row>
        <row r="1689">
          <cell r="B1689">
            <v>0</v>
          </cell>
          <cell r="C1689">
            <v>0</v>
          </cell>
          <cell r="D1689">
            <v>0</v>
          </cell>
        </row>
        <row r="1690">
          <cell r="B1690">
            <v>0</v>
          </cell>
          <cell r="C1690">
            <v>0</v>
          </cell>
          <cell r="D1690">
            <v>0</v>
          </cell>
        </row>
        <row r="1691">
          <cell r="B1691">
            <v>0</v>
          </cell>
          <cell r="C1691">
            <v>0</v>
          </cell>
          <cell r="D1691">
            <v>0</v>
          </cell>
        </row>
        <row r="1692">
          <cell r="B1692">
            <v>0</v>
          </cell>
          <cell r="C1692">
            <v>0</v>
          </cell>
          <cell r="D1692">
            <v>0</v>
          </cell>
        </row>
        <row r="1693">
          <cell r="B1693">
            <v>0</v>
          </cell>
          <cell r="C1693">
            <v>0</v>
          </cell>
          <cell r="D1693">
            <v>0</v>
          </cell>
        </row>
        <row r="1694">
          <cell r="B1694">
            <v>0</v>
          </cell>
          <cell r="C1694">
            <v>0</v>
          </cell>
          <cell r="D1694">
            <v>0</v>
          </cell>
        </row>
        <row r="1695">
          <cell r="B1695">
            <v>0</v>
          </cell>
          <cell r="C1695">
            <v>0</v>
          </cell>
          <cell r="D1695">
            <v>0</v>
          </cell>
        </row>
        <row r="1696">
          <cell r="B1696">
            <v>0</v>
          </cell>
          <cell r="C1696">
            <v>0</v>
          </cell>
          <cell r="D1696">
            <v>0</v>
          </cell>
        </row>
        <row r="1697">
          <cell r="B1697">
            <v>0</v>
          </cell>
          <cell r="C1697">
            <v>0</v>
          </cell>
          <cell r="D1697">
            <v>0</v>
          </cell>
        </row>
        <row r="1698">
          <cell r="B1698">
            <v>0</v>
          </cell>
          <cell r="C1698">
            <v>0</v>
          </cell>
          <cell r="D1698">
            <v>0</v>
          </cell>
        </row>
        <row r="1699">
          <cell r="B1699">
            <v>0</v>
          </cell>
          <cell r="C1699">
            <v>0</v>
          </cell>
          <cell r="D1699">
            <v>0</v>
          </cell>
        </row>
        <row r="1700">
          <cell r="B1700">
            <v>0</v>
          </cell>
          <cell r="C1700">
            <v>0</v>
          </cell>
          <cell r="D1700">
            <v>0</v>
          </cell>
        </row>
        <row r="1701">
          <cell r="B1701">
            <v>0</v>
          </cell>
          <cell r="C1701">
            <v>0</v>
          </cell>
          <cell r="D1701">
            <v>0</v>
          </cell>
        </row>
        <row r="1702">
          <cell r="B1702">
            <v>0</v>
          </cell>
          <cell r="C1702">
            <v>0</v>
          </cell>
          <cell r="D1702">
            <v>0</v>
          </cell>
        </row>
        <row r="1703">
          <cell r="B1703">
            <v>0</v>
          </cell>
          <cell r="C1703">
            <v>0</v>
          </cell>
          <cell r="D1703">
            <v>0</v>
          </cell>
        </row>
        <row r="1704">
          <cell r="B1704">
            <v>0</v>
          </cell>
          <cell r="C1704">
            <v>0</v>
          </cell>
          <cell r="D1704">
            <v>0</v>
          </cell>
        </row>
        <row r="1705">
          <cell r="B1705">
            <v>0</v>
          </cell>
          <cell r="C1705">
            <v>0</v>
          </cell>
          <cell r="D1705">
            <v>0</v>
          </cell>
        </row>
        <row r="1706">
          <cell r="B1706">
            <v>0</v>
          </cell>
          <cell r="C1706">
            <v>0</v>
          </cell>
          <cell r="D1706">
            <v>0</v>
          </cell>
        </row>
        <row r="1707">
          <cell r="B1707">
            <v>0</v>
          </cell>
          <cell r="C1707">
            <v>0</v>
          </cell>
          <cell r="D1707">
            <v>0</v>
          </cell>
        </row>
        <row r="1708">
          <cell r="B1708">
            <v>0</v>
          </cell>
          <cell r="C1708">
            <v>0</v>
          </cell>
          <cell r="D1708">
            <v>0</v>
          </cell>
        </row>
        <row r="1709">
          <cell r="B1709">
            <v>0</v>
          </cell>
          <cell r="C1709">
            <v>0</v>
          </cell>
          <cell r="D1709">
            <v>0</v>
          </cell>
        </row>
        <row r="1710">
          <cell r="B1710">
            <v>0</v>
          </cell>
          <cell r="C1710">
            <v>0</v>
          </cell>
          <cell r="D1710">
            <v>0</v>
          </cell>
        </row>
        <row r="1711">
          <cell r="B1711">
            <v>0</v>
          </cell>
          <cell r="C1711">
            <v>0</v>
          </cell>
          <cell r="D1711">
            <v>0</v>
          </cell>
        </row>
        <row r="1712">
          <cell r="B1712">
            <v>0</v>
          </cell>
          <cell r="C1712">
            <v>0</v>
          </cell>
          <cell r="D1712">
            <v>0</v>
          </cell>
        </row>
        <row r="1713">
          <cell r="B1713">
            <v>0</v>
          </cell>
          <cell r="C1713">
            <v>0</v>
          </cell>
          <cell r="D1713">
            <v>0</v>
          </cell>
        </row>
        <row r="1714">
          <cell r="B1714">
            <v>0</v>
          </cell>
          <cell r="C1714">
            <v>0</v>
          </cell>
          <cell r="D1714">
            <v>0</v>
          </cell>
        </row>
        <row r="1715">
          <cell r="B1715">
            <v>0</v>
          </cell>
          <cell r="C1715">
            <v>0</v>
          </cell>
          <cell r="D1715">
            <v>0</v>
          </cell>
        </row>
        <row r="1716">
          <cell r="B1716">
            <v>0</v>
          </cell>
          <cell r="C1716">
            <v>0</v>
          </cell>
          <cell r="D1716">
            <v>0</v>
          </cell>
        </row>
        <row r="1717">
          <cell r="B1717">
            <v>0</v>
          </cell>
          <cell r="C1717">
            <v>0</v>
          </cell>
          <cell r="D1717">
            <v>0</v>
          </cell>
        </row>
        <row r="1718">
          <cell r="B1718">
            <v>0</v>
          </cell>
          <cell r="C1718">
            <v>0</v>
          </cell>
          <cell r="D1718">
            <v>0</v>
          </cell>
        </row>
        <row r="1719">
          <cell r="B1719">
            <v>0</v>
          </cell>
          <cell r="C1719">
            <v>0</v>
          </cell>
          <cell r="D1719">
            <v>0</v>
          </cell>
        </row>
        <row r="1720">
          <cell r="B1720">
            <v>0</v>
          </cell>
          <cell r="C1720">
            <v>0</v>
          </cell>
          <cell r="D1720">
            <v>0</v>
          </cell>
        </row>
        <row r="1721">
          <cell r="B1721">
            <v>0</v>
          </cell>
          <cell r="C1721">
            <v>0</v>
          </cell>
          <cell r="D1721">
            <v>0</v>
          </cell>
        </row>
        <row r="1722">
          <cell r="B1722">
            <v>0</v>
          </cell>
          <cell r="C1722">
            <v>0</v>
          </cell>
          <cell r="D1722">
            <v>0</v>
          </cell>
        </row>
        <row r="1723">
          <cell r="B1723">
            <v>0</v>
          </cell>
          <cell r="C1723">
            <v>0</v>
          </cell>
          <cell r="D1723">
            <v>0</v>
          </cell>
        </row>
        <row r="1724">
          <cell r="B1724">
            <v>0</v>
          </cell>
          <cell r="C1724">
            <v>0</v>
          </cell>
          <cell r="D1724">
            <v>0</v>
          </cell>
        </row>
        <row r="1725">
          <cell r="B1725">
            <v>0</v>
          </cell>
          <cell r="C1725">
            <v>0</v>
          </cell>
          <cell r="D1725">
            <v>0</v>
          </cell>
        </row>
        <row r="1726">
          <cell r="B1726">
            <v>0</v>
          </cell>
          <cell r="C1726">
            <v>0</v>
          </cell>
          <cell r="D1726">
            <v>0</v>
          </cell>
        </row>
        <row r="1727">
          <cell r="B1727">
            <v>0</v>
          </cell>
          <cell r="C1727">
            <v>0</v>
          </cell>
          <cell r="D1727">
            <v>0</v>
          </cell>
        </row>
        <row r="1728">
          <cell r="B1728">
            <v>0</v>
          </cell>
          <cell r="C1728">
            <v>0</v>
          </cell>
          <cell r="D1728">
            <v>0</v>
          </cell>
        </row>
        <row r="1729">
          <cell r="B1729">
            <v>0</v>
          </cell>
          <cell r="C1729">
            <v>0</v>
          </cell>
          <cell r="D1729">
            <v>0</v>
          </cell>
        </row>
        <row r="1730">
          <cell r="B1730">
            <v>0</v>
          </cell>
          <cell r="C1730">
            <v>0</v>
          </cell>
          <cell r="D1730">
            <v>0</v>
          </cell>
        </row>
        <row r="1731">
          <cell r="B1731">
            <v>0</v>
          </cell>
          <cell r="C1731">
            <v>0</v>
          </cell>
          <cell r="D1731">
            <v>0</v>
          </cell>
        </row>
        <row r="1732">
          <cell r="B1732">
            <v>0</v>
          </cell>
          <cell r="C1732">
            <v>0</v>
          </cell>
          <cell r="D1732">
            <v>0</v>
          </cell>
        </row>
        <row r="1733">
          <cell r="B1733">
            <v>0</v>
          </cell>
          <cell r="C1733">
            <v>0</v>
          </cell>
          <cell r="D1733">
            <v>0</v>
          </cell>
        </row>
        <row r="1734">
          <cell r="B1734">
            <v>0</v>
          </cell>
          <cell r="C1734">
            <v>0</v>
          </cell>
          <cell r="D1734">
            <v>0</v>
          </cell>
        </row>
        <row r="1735">
          <cell r="B1735">
            <v>0</v>
          </cell>
          <cell r="C1735">
            <v>0</v>
          </cell>
          <cell r="D1735">
            <v>0</v>
          </cell>
        </row>
        <row r="1736">
          <cell r="B1736">
            <v>0</v>
          </cell>
          <cell r="C1736">
            <v>0</v>
          </cell>
          <cell r="D1736">
            <v>0</v>
          </cell>
        </row>
        <row r="1737">
          <cell r="B1737">
            <v>0</v>
          </cell>
          <cell r="C1737">
            <v>0</v>
          </cell>
          <cell r="D1737">
            <v>0</v>
          </cell>
        </row>
        <row r="1738">
          <cell r="B1738">
            <v>0</v>
          </cell>
          <cell r="C1738">
            <v>0</v>
          </cell>
          <cell r="D1738">
            <v>0</v>
          </cell>
        </row>
        <row r="1739">
          <cell r="B1739">
            <v>0</v>
          </cell>
          <cell r="C1739">
            <v>0</v>
          </cell>
          <cell r="D1739">
            <v>0</v>
          </cell>
        </row>
        <row r="1740">
          <cell r="B1740">
            <v>0</v>
          </cell>
          <cell r="C1740">
            <v>0</v>
          </cell>
          <cell r="D1740">
            <v>0</v>
          </cell>
        </row>
        <row r="1741">
          <cell r="B1741">
            <v>0</v>
          </cell>
          <cell r="C1741">
            <v>0</v>
          </cell>
          <cell r="D1741">
            <v>0</v>
          </cell>
        </row>
        <row r="1742">
          <cell r="B1742">
            <v>0</v>
          </cell>
          <cell r="C1742">
            <v>0</v>
          </cell>
          <cell r="D1742">
            <v>0</v>
          </cell>
        </row>
        <row r="1743">
          <cell r="B1743">
            <v>0</v>
          </cell>
          <cell r="C1743">
            <v>0</v>
          </cell>
          <cell r="D1743">
            <v>0</v>
          </cell>
        </row>
        <row r="1744">
          <cell r="B1744">
            <v>0</v>
          </cell>
          <cell r="C1744">
            <v>0</v>
          </cell>
          <cell r="D1744">
            <v>0</v>
          </cell>
        </row>
        <row r="1745">
          <cell r="B1745">
            <v>0</v>
          </cell>
          <cell r="C1745">
            <v>0</v>
          </cell>
          <cell r="D1745">
            <v>0</v>
          </cell>
        </row>
        <row r="1746">
          <cell r="B1746">
            <v>0</v>
          </cell>
          <cell r="C1746">
            <v>0</v>
          </cell>
          <cell r="D1746">
            <v>0</v>
          </cell>
        </row>
        <row r="1747">
          <cell r="B1747">
            <v>0</v>
          </cell>
          <cell r="C1747">
            <v>0</v>
          </cell>
          <cell r="D1747">
            <v>0</v>
          </cell>
        </row>
        <row r="1748">
          <cell r="B1748">
            <v>0</v>
          </cell>
          <cell r="C1748">
            <v>0</v>
          </cell>
          <cell r="D1748">
            <v>0</v>
          </cell>
        </row>
        <row r="1749">
          <cell r="B1749">
            <v>0</v>
          </cell>
          <cell r="C1749">
            <v>0</v>
          </cell>
          <cell r="D1749">
            <v>0</v>
          </cell>
        </row>
        <row r="1750">
          <cell r="B1750">
            <v>0</v>
          </cell>
          <cell r="C1750">
            <v>0</v>
          </cell>
          <cell r="D1750">
            <v>0</v>
          </cell>
        </row>
        <row r="1751">
          <cell r="B1751">
            <v>0</v>
          </cell>
          <cell r="C1751">
            <v>0</v>
          </cell>
          <cell r="D1751">
            <v>0</v>
          </cell>
        </row>
        <row r="1752">
          <cell r="B1752">
            <v>0</v>
          </cell>
          <cell r="C1752">
            <v>0</v>
          </cell>
          <cell r="D1752">
            <v>0</v>
          </cell>
        </row>
        <row r="1753">
          <cell r="B1753">
            <v>0</v>
          </cell>
          <cell r="C1753">
            <v>0</v>
          </cell>
          <cell r="D1753">
            <v>0</v>
          </cell>
        </row>
        <row r="1754">
          <cell r="B1754">
            <v>0</v>
          </cell>
          <cell r="C1754">
            <v>0</v>
          </cell>
          <cell r="D1754">
            <v>0</v>
          </cell>
        </row>
        <row r="1755">
          <cell r="B1755">
            <v>0</v>
          </cell>
          <cell r="C1755">
            <v>0</v>
          </cell>
          <cell r="D1755">
            <v>0</v>
          </cell>
        </row>
        <row r="1756">
          <cell r="B1756">
            <v>0</v>
          </cell>
          <cell r="C1756">
            <v>0</v>
          </cell>
          <cell r="D1756">
            <v>0</v>
          </cell>
        </row>
        <row r="1757">
          <cell r="B1757">
            <v>0</v>
          </cell>
          <cell r="C1757">
            <v>0</v>
          </cell>
          <cell r="D1757">
            <v>0</v>
          </cell>
        </row>
        <row r="1758">
          <cell r="B1758">
            <v>0</v>
          </cell>
          <cell r="C1758">
            <v>0</v>
          </cell>
          <cell r="D1758">
            <v>0</v>
          </cell>
        </row>
        <row r="1759">
          <cell r="B1759">
            <v>0</v>
          </cell>
          <cell r="C1759">
            <v>0</v>
          </cell>
          <cell r="D1759">
            <v>0</v>
          </cell>
        </row>
        <row r="1760">
          <cell r="B1760">
            <v>0</v>
          </cell>
          <cell r="C1760">
            <v>0</v>
          </cell>
          <cell r="D1760">
            <v>0</v>
          </cell>
        </row>
        <row r="1761">
          <cell r="B1761">
            <v>0</v>
          </cell>
          <cell r="C1761">
            <v>0</v>
          </cell>
          <cell r="D1761">
            <v>0</v>
          </cell>
        </row>
        <row r="1762">
          <cell r="B1762">
            <v>0</v>
          </cell>
          <cell r="C1762">
            <v>0</v>
          </cell>
          <cell r="D1762">
            <v>0</v>
          </cell>
        </row>
        <row r="1763">
          <cell r="B1763">
            <v>0</v>
          </cell>
          <cell r="C1763">
            <v>0</v>
          </cell>
          <cell r="D1763">
            <v>0</v>
          </cell>
        </row>
        <row r="1764">
          <cell r="B1764">
            <v>0</v>
          </cell>
          <cell r="C1764">
            <v>0</v>
          </cell>
          <cell r="D1764">
            <v>0</v>
          </cell>
        </row>
        <row r="1765">
          <cell r="B1765">
            <v>0</v>
          </cell>
          <cell r="C1765">
            <v>0</v>
          </cell>
          <cell r="D1765">
            <v>0</v>
          </cell>
        </row>
        <row r="1766">
          <cell r="B1766">
            <v>0</v>
          </cell>
          <cell r="C1766">
            <v>0</v>
          </cell>
          <cell r="D1766">
            <v>0</v>
          </cell>
        </row>
        <row r="1767">
          <cell r="B1767">
            <v>0</v>
          </cell>
          <cell r="C1767">
            <v>0</v>
          </cell>
          <cell r="D1767">
            <v>0</v>
          </cell>
        </row>
        <row r="1768">
          <cell r="B1768">
            <v>0</v>
          </cell>
          <cell r="C1768">
            <v>0</v>
          </cell>
          <cell r="D1768">
            <v>0</v>
          </cell>
        </row>
        <row r="1769">
          <cell r="B1769">
            <v>0</v>
          </cell>
          <cell r="C1769">
            <v>0</v>
          </cell>
          <cell r="D1769">
            <v>0</v>
          </cell>
        </row>
        <row r="1770">
          <cell r="B1770">
            <v>0</v>
          </cell>
          <cell r="C1770">
            <v>0</v>
          </cell>
          <cell r="D1770">
            <v>0</v>
          </cell>
        </row>
        <row r="1771">
          <cell r="B1771">
            <v>0</v>
          </cell>
          <cell r="C1771">
            <v>0</v>
          </cell>
          <cell r="D1771">
            <v>0</v>
          </cell>
        </row>
        <row r="1772">
          <cell r="B1772">
            <v>0</v>
          </cell>
          <cell r="C1772">
            <v>0</v>
          </cell>
          <cell r="D1772">
            <v>0</v>
          </cell>
        </row>
        <row r="1773">
          <cell r="B1773">
            <v>0</v>
          </cell>
          <cell r="C1773">
            <v>0</v>
          </cell>
          <cell r="D1773">
            <v>0</v>
          </cell>
        </row>
        <row r="1774">
          <cell r="B1774">
            <v>0</v>
          </cell>
          <cell r="C1774">
            <v>0</v>
          </cell>
          <cell r="D1774">
            <v>0</v>
          </cell>
        </row>
        <row r="1775">
          <cell r="B1775">
            <v>0</v>
          </cell>
          <cell r="C1775">
            <v>0</v>
          </cell>
          <cell r="D1775">
            <v>0</v>
          </cell>
        </row>
        <row r="1776">
          <cell r="B1776">
            <v>0</v>
          </cell>
          <cell r="C1776">
            <v>0</v>
          </cell>
          <cell r="D1776">
            <v>0</v>
          </cell>
        </row>
        <row r="1777">
          <cell r="B1777">
            <v>0</v>
          </cell>
          <cell r="C1777">
            <v>0</v>
          </cell>
          <cell r="D1777">
            <v>0</v>
          </cell>
        </row>
        <row r="1778">
          <cell r="B1778">
            <v>0</v>
          </cell>
          <cell r="C1778">
            <v>0</v>
          </cell>
          <cell r="D1778">
            <v>0</v>
          </cell>
        </row>
        <row r="1779">
          <cell r="B1779">
            <v>0</v>
          </cell>
          <cell r="C1779">
            <v>0</v>
          </cell>
          <cell r="D1779">
            <v>0</v>
          </cell>
        </row>
        <row r="1780">
          <cell r="B1780">
            <v>0</v>
          </cell>
          <cell r="C1780">
            <v>0</v>
          </cell>
          <cell r="D1780">
            <v>0</v>
          </cell>
        </row>
        <row r="1781">
          <cell r="B1781">
            <v>0</v>
          </cell>
          <cell r="C1781">
            <v>0</v>
          </cell>
          <cell r="D1781">
            <v>0</v>
          </cell>
        </row>
        <row r="1782">
          <cell r="B1782">
            <v>0</v>
          </cell>
          <cell r="C1782">
            <v>0</v>
          </cell>
          <cell r="D1782">
            <v>0</v>
          </cell>
        </row>
        <row r="1783">
          <cell r="B1783">
            <v>0</v>
          </cell>
          <cell r="C1783">
            <v>0</v>
          </cell>
          <cell r="D1783">
            <v>0</v>
          </cell>
        </row>
        <row r="1784">
          <cell r="B1784">
            <v>0</v>
          </cell>
          <cell r="C1784">
            <v>0</v>
          </cell>
          <cell r="D1784">
            <v>0</v>
          </cell>
        </row>
        <row r="1785">
          <cell r="B1785">
            <v>0</v>
          </cell>
          <cell r="C1785">
            <v>0</v>
          </cell>
          <cell r="D1785">
            <v>0</v>
          </cell>
        </row>
        <row r="1786">
          <cell r="B1786">
            <v>0</v>
          </cell>
          <cell r="C1786">
            <v>0</v>
          </cell>
          <cell r="D1786">
            <v>0</v>
          </cell>
        </row>
        <row r="1787">
          <cell r="B1787">
            <v>0</v>
          </cell>
          <cell r="C1787">
            <v>0</v>
          </cell>
          <cell r="D1787">
            <v>0</v>
          </cell>
        </row>
        <row r="1788">
          <cell r="B1788">
            <v>0</v>
          </cell>
          <cell r="C1788">
            <v>0</v>
          </cell>
          <cell r="D1788">
            <v>0</v>
          </cell>
        </row>
        <row r="1789">
          <cell r="B1789">
            <v>0</v>
          </cell>
          <cell r="C1789">
            <v>0</v>
          </cell>
          <cell r="D1789">
            <v>0</v>
          </cell>
        </row>
        <row r="1790">
          <cell r="B1790">
            <v>0</v>
          </cell>
          <cell r="C1790">
            <v>0</v>
          </cell>
          <cell r="D1790">
            <v>0</v>
          </cell>
        </row>
        <row r="1791">
          <cell r="B1791">
            <v>0</v>
          </cell>
          <cell r="C1791">
            <v>0</v>
          </cell>
          <cell r="D1791">
            <v>0</v>
          </cell>
        </row>
        <row r="1792">
          <cell r="B1792">
            <v>0</v>
          </cell>
          <cell r="C1792">
            <v>0</v>
          </cell>
          <cell r="D1792">
            <v>0</v>
          </cell>
        </row>
        <row r="1793">
          <cell r="B1793">
            <v>0</v>
          </cell>
          <cell r="C1793">
            <v>0</v>
          </cell>
          <cell r="D1793">
            <v>0</v>
          </cell>
        </row>
        <row r="1794">
          <cell r="B1794">
            <v>0</v>
          </cell>
          <cell r="C1794">
            <v>0</v>
          </cell>
          <cell r="D1794">
            <v>0</v>
          </cell>
        </row>
        <row r="1795">
          <cell r="B1795">
            <v>0</v>
          </cell>
          <cell r="C1795">
            <v>0</v>
          </cell>
          <cell r="D1795">
            <v>0</v>
          </cell>
        </row>
        <row r="1796">
          <cell r="B1796">
            <v>0</v>
          </cell>
          <cell r="C1796">
            <v>0</v>
          </cell>
          <cell r="D1796">
            <v>0</v>
          </cell>
        </row>
        <row r="1797">
          <cell r="B1797">
            <v>0</v>
          </cell>
          <cell r="C1797">
            <v>0</v>
          </cell>
          <cell r="D1797">
            <v>0</v>
          </cell>
        </row>
        <row r="1798">
          <cell r="B1798">
            <v>0</v>
          </cell>
          <cell r="C1798">
            <v>0</v>
          </cell>
          <cell r="D1798">
            <v>0</v>
          </cell>
        </row>
        <row r="1799">
          <cell r="B1799">
            <v>0</v>
          </cell>
          <cell r="C1799">
            <v>0</v>
          </cell>
          <cell r="D1799">
            <v>0</v>
          </cell>
        </row>
        <row r="1800">
          <cell r="B1800">
            <v>0</v>
          </cell>
          <cell r="C1800">
            <v>0</v>
          </cell>
          <cell r="D1800">
            <v>0</v>
          </cell>
        </row>
        <row r="1801">
          <cell r="B1801">
            <v>0</v>
          </cell>
          <cell r="C1801">
            <v>0</v>
          </cell>
          <cell r="D1801">
            <v>0</v>
          </cell>
        </row>
        <row r="1802">
          <cell r="B1802">
            <v>0</v>
          </cell>
          <cell r="C1802">
            <v>0</v>
          </cell>
          <cell r="D1802">
            <v>0</v>
          </cell>
        </row>
        <row r="1803">
          <cell r="B1803">
            <v>0</v>
          </cell>
          <cell r="C1803">
            <v>0</v>
          </cell>
          <cell r="D1803">
            <v>0</v>
          </cell>
        </row>
        <row r="1804">
          <cell r="B1804">
            <v>0</v>
          </cell>
          <cell r="C1804">
            <v>0</v>
          </cell>
          <cell r="D1804">
            <v>0</v>
          </cell>
        </row>
        <row r="1805">
          <cell r="B1805">
            <v>0</v>
          </cell>
          <cell r="C1805">
            <v>0</v>
          </cell>
          <cell r="D1805">
            <v>0</v>
          </cell>
        </row>
        <row r="1806">
          <cell r="B1806">
            <v>0</v>
          </cell>
          <cell r="C1806">
            <v>0</v>
          </cell>
          <cell r="D1806">
            <v>0</v>
          </cell>
        </row>
        <row r="1807">
          <cell r="B1807">
            <v>0</v>
          </cell>
          <cell r="C1807">
            <v>0</v>
          </cell>
          <cell r="D1807">
            <v>0</v>
          </cell>
        </row>
        <row r="1808">
          <cell r="B1808">
            <v>0</v>
          </cell>
          <cell r="C1808">
            <v>0</v>
          </cell>
          <cell r="D1808">
            <v>0</v>
          </cell>
        </row>
        <row r="1809">
          <cell r="B1809">
            <v>0</v>
          </cell>
          <cell r="C1809">
            <v>0</v>
          </cell>
          <cell r="D1809">
            <v>0</v>
          </cell>
        </row>
        <row r="1810">
          <cell r="B1810">
            <v>0</v>
          </cell>
          <cell r="C1810">
            <v>0</v>
          </cell>
          <cell r="D1810">
            <v>0</v>
          </cell>
        </row>
        <row r="1811">
          <cell r="B1811">
            <v>0</v>
          </cell>
          <cell r="C1811">
            <v>0</v>
          </cell>
          <cell r="D1811">
            <v>0</v>
          </cell>
        </row>
        <row r="1812">
          <cell r="B1812">
            <v>0</v>
          </cell>
          <cell r="C1812">
            <v>0</v>
          </cell>
          <cell r="D1812">
            <v>0</v>
          </cell>
        </row>
        <row r="1813">
          <cell r="B1813">
            <v>0</v>
          </cell>
          <cell r="C1813">
            <v>0</v>
          </cell>
          <cell r="D1813">
            <v>0</v>
          </cell>
        </row>
        <row r="1814">
          <cell r="B1814">
            <v>0</v>
          </cell>
          <cell r="C1814">
            <v>0</v>
          </cell>
          <cell r="D1814">
            <v>0</v>
          </cell>
        </row>
        <row r="1815">
          <cell r="B1815">
            <v>0</v>
          </cell>
          <cell r="C1815">
            <v>0</v>
          </cell>
          <cell r="D1815">
            <v>0</v>
          </cell>
        </row>
        <row r="1816">
          <cell r="B1816">
            <v>0</v>
          </cell>
          <cell r="C1816">
            <v>0</v>
          </cell>
          <cell r="D1816">
            <v>0</v>
          </cell>
        </row>
        <row r="1817">
          <cell r="B1817">
            <v>0</v>
          </cell>
          <cell r="C1817">
            <v>0</v>
          </cell>
          <cell r="D1817">
            <v>0</v>
          </cell>
        </row>
        <row r="1818">
          <cell r="B1818">
            <v>0</v>
          </cell>
          <cell r="C1818">
            <v>0</v>
          </cell>
          <cell r="D1818">
            <v>0</v>
          </cell>
        </row>
        <row r="1819">
          <cell r="B1819">
            <v>0</v>
          </cell>
          <cell r="C1819">
            <v>0</v>
          </cell>
          <cell r="D1819">
            <v>0</v>
          </cell>
        </row>
        <row r="1820">
          <cell r="B1820">
            <v>0</v>
          </cell>
          <cell r="C1820">
            <v>0</v>
          </cell>
          <cell r="D1820">
            <v>0</v>
          </cell>
        </row>
        <row r="1821">
          <cell r="B1821">
            <v>0</v>
          </cell>
          <cell r="C1821">
            <v>0</v>
          </cell>
          <cell r="D1821">
            <v>0</v>
          </cell>
        </row>
        <row r="1822">
          <cell r="B1822">
            <v>0</v>
          </cell>
          <cell r="C1822">
            <v>0</v>
          </cell>
          <cell r="D1822">
            <v>0</v>
          </cell>
        </row>
        <row r="1823">
          <cell r="B1823">
            <v>0</v>
          </cell>
          <cell r="C1823">
            <v>0</v>
          </cell>
          <cell r="D1823">
            <v>0</v>
          </cell>
        </row>
        <row r="1824">
          <cell r="B1824">
            <v>0</v>
          </cell>
          <cell r="C1824">
            <v>0</v>
          </cell>
          <cell r="D1824">
            <v>0</v>
          </cell>
        </row>
        <row r="1825">
          <cell r="B1825">
            <v>0</v>
          </cell>
          <cell r="C1825">
            <v>0</v>
          </cell>
          <cell r="D1825">
            <v>0</v>
          </cell>
        </row>
        <row r="1826">
          <cell r="B1826">
            <v>0</v>
          </cell>
          <cell r="C1826">
            <v>0</v>
          </cell>
          <cell r="D1826">
            <v>0</v>
          </cell>
        </row>
        <row r="1827">
          <cell r="B1827">
            <v>0</v>
          </cell>
          <cell r="C1827">
            <v>0</v>
          </cell>
          <cell r="D1827">
            <v>0</v>
          </cell>
        </row>
        <row r="1828">
          <cell r="B1828">
            <v>0</v>
          </cell>
          <cell r="C1828">
            <v>0</v>
          </cell>
          <cell r="D1828">
            <v>0</v>
          </cell>
        </row>
        <row r="1829">
          <cell r="B1829">
            <v>0</v>
          </cell>
          <cell r="C1829">
            <v>0</v>
          </cell>
          <cell r="D1829">
            <v>0</v>
          </cell>
        </row>
        <row r="1830">
          <cell r="B1830">
            <v>0</v>
          </cell>
          <cell r="C1830">
            <v>0</v>
          </cell>
          <cell r="D1830">
            <v>0</v>
          </cell>
        </row>
        <row r="1831">
          <cell r="B1831">
            <v>0</v>
          </cell>
          <cell r="C1831">
            <v>0</v>
          </cell>
          <cell r="D1831">
            <v>0</v>
          </cell>
        </row>
        <row r="1832">
          <cell r="B1832">
            <v>0</v>
          </cell>
          <cell r="C1832">
            <v>0</v>
          </cell>
          <cell r="D1832">
            <v>0</v>
          </cell>
        </row>
        <row r="1833">
          <cell r="B1833">
            <v>0</v>
          </cell>
          <cell r="C1833">
            <v>0</v>
          </cell>
          <cell r="D1833">
            <v>0</v>
          </cell>
        </row>
        <row r="1834">
          <cell r="B1834">
            <v>0</v>
          </cell>
          <cell r="C1834">
            <v>0</v>
          </cell>
          <cell r="D1834">
            <v>0</v>
          </cell>
        </row>
        <row r="1835">
          <cell r="B1835">
            <v>0</v>
          </cell>
          <cell r="C1835">
            <v>0</v>
          </cell>
          <cell r="D1835">
            <v>0</v>
          </cell>
        </row>
        <row r="1836">
          <cell r="B1836">
            <v>0</v>
          </cell>
          <cell r="C1836">
            <v>0</v>
          </cell>
          <cell r="D1836">
            <v>0</v>
          </cell>
        </row>
        <row r="1837">
          <cell r="B1837">
            <v>0</v>
          </cell>
          <cell r="C1837">
            <v>0</v>
          </cell>
          <cell r="D1837">
            <v>0</v>
          </cell>
        </row>
        <row r="1838">
          <cell r="B1838">
            <v>0</v>
          </cell>
          <cell r="C1838">
            <v>0</v>
          </cell>
          <cell r="D1838">
            <v>0</v>
          </cell>
        </row>
        <row r="1839">
          <cell r="B1839">
            <v>0</v>
          </cell>
          <cell r="C1839">
            <v>0</v>
          </cell>
          <cell r="D1839">
            <v>0</v>
          </cell>
        </row>
        <row r="1840">
          <cell r="B1840">
            <v>0</v>
          </cell>
          <cell r="C1840">
            <v>0</v>
          </cell>
          <cell r="D1840">
            <v>0</v>
          </cell>
        </row>
        <row r="1841">
          <cell r="B1841">
            <v>0</v>
          </cell>
          <cell r="C1841">
            <v>0</v>
          </cell>
          <cell r="D1841">
            <v>0</v>
          </cell>
        </row>
        <row r="1842">
          <cell r="B1842">
            <v>0</v>
          </cell>
          <cell r="C1842">
            <v>0</v>
          </cell>
          <cell r="D1842">
            <v>0</v>
          </cell>
        </row>
        <row r="1843">
          <cell r="B1843">
            <v>0</v>
          </cell>
          <cell r="C1843">
            <v>0</v>
          </cell>
          <cell r="D1843">
            <v>0</v>
          </cell>
        </row>
        <row r="1844">
          <cell r="B1844">
            <v>0</v>
          </cell>
          <cell r="C1844">
            <v>0</v>
          </cell>
          <cell r="D1844">
            <v>0</v>
          </cell>
        </row>
        <row r="1845">
          <cell r="B1845">
            <v>0</v>
          </cell>
          <cell r="C1845">
            <v>0</v>
          </cell>
          <cell r="D1845">
            <v>0</v>
          </cell>
        </row>
        <row r="1846">
          <cell r="B1846">
            <v>0</v>
          </cell>
          <cell r="C1846">
            <v>0</v>
          </cell>
          <cell r="D1846">
            <v>0</v>
          </cell>
        </row>
        <row r="1847">
          <cell r="B1847">
            <v>0</v>
          </cell>
          <cell r="C1847">
            <v>0</v>
          </cell>
          <cell r="D1847">
            <v>0</v>
          </cell>
        </row>
        <row r="1848">
          <cell r="B1848">
            <v>0</v>
          </cell>
          <cell r="C1848">
            <v>0</v>
          </cell>
          <cell r="D1848">
            <v>0</v>
          </cell>
        </row>
        <row r="1849">
          <cell r="B1849">
            <v>0</v>
          </cell>
          <cell r="C1849">
            <v>0</v>
          </cell>
          <cell r="D1849">
            <v>0</v>
          </cell>
        </row>
        <row r="1850">
          <cell r="B1850">
            <v>0</v>
          </cell>
          <cell r="C1850">
            <v>0</v>
          </cell>
          <cell r="D1850">
            <v>0</v>
          </cell>
        </row>
        <row r="1851">
          <cell r="B1851">
            <v>0</v>
          </cell>
          <cell r="C1851">
            <v>0</v>
          </cell>
          <cell r="D1851">
            <v>0</v>
          </cell>
        </row>
        <row r="1852">
          <cell r="B1852">
            <v>0</v>
          </cell>
          <cell r="C1852">
            <v>0</v>
          </cell>
          <cell r="D1852">
            <v>0</v>
          </cell>
        </row>
        <row r="1853">
          <cell r="B1853">
            <v>0</v>
          </cell>
          <cell r="C1853">
            <v>0</v>
          </cell>
          <cell r="D1853">
            <v>0</v>
          </cell>
        </row>
        <row r="1854">
          <cell r="B1854">
            <v>0</v>
          </cell>
          <cell r="C1854">
            <v>0</v>
          </cell>
          <cell r="D1854">
            <v>0</v>
          </cell>
        </row>
        <row r="1855">
          <cell r="B1855">
            <v>0</v>
          </cell>
          <cell r="C1855">
            <v>0</v>
          </cell>
          <cell r="D1855">
            <v>0</v>
          </cell>
        </row>
        <row r="1856">
          <cell r="B1856">
            <v>0</v>
          </cell>
          <cell r="C1856">
            <v>0</v>
          </cell>
          <cell r="D1856">
            <v>0</v>
          </cell>
        </row>
        <row r="1857">
          <cell r="B1857">
            <v>0</v>
          </cell>
          <cell r="C1857">
            <v>0</v>
          </cell>
          <cell r="D1857">
            <v>0</v>
          </cell>
        </row>
        <row r="1858">
          <cell r="B1858">
            <v>0</v>
          </cell>
          <cell r="C1858">
            <v>0</v>
          </cell>
          <cell r="D1858">
            <v>0</v>
          </cell>
        </row>
        <row r="1859">
          <cell r="B1859">
            <v>0</v>
          </cell>
          <cell r="C1859">
            <v>0</v>
          </cell>
          <cell r="D1859">
            <v>0</v>
          </cell>
        </row>
        <row r="1860">
          <cell r="B1860">
            <v>0</v>
          </cell>
          <cell r="C1860">
            <v>0</v>
          </cell>
          <cell r="D1860">
            <v>0</v>
          </cell>
        </row>
        <row r="1861">
          <cell r="B1861">
            <v>0</v>
          </cell>
          <cell r="C1861">
            <v>0</v>
          </cell>
          <cell r="D1861">
            <v>0</v>
          </cell>
        </row>
        <row r="1862">
          <cell r="B1862">
            <v>0</v>
          </cell>
          <cell r="C1862">
            <v>0</v>
          </cell>
          <cell r="D1862">
            <v>0</v>
          </cell>
        </row>
        <row r="1863">
          <cell r="B1863">
            <v>0</v>
          </cell>
          <cell r="C1863">
            <v>0</v>
          </cell>
          <cell r="D1863">
            <v>0</v>
          </cell>
        </row>
        <row r="1864">
          <cell r="B1864">
            <v>0</v>
          </cell>
          <cell r="C1864">
            <v>0</v>
          </cell>
          <cell r="D1864">
            <v>0</v>
          </cell>
        </row>
        <row r="1865">
          <cell r="B1865">
            <v>0</v>
          </cell>
          <cell r="C1865">
            <v>0</v>
          </cell>
          <cell r="D1865">
            <v>0</v>
          </cell>
        </row>
        <row r="1866">
          <cell r="B1866">
            <v>0</v>
          </cell>
          <cell r="C1866">
            <v>0</v>
          </cell>
          <cell r="D1866">
            <v>0</v>
          </cell>
        </row>
        <row r="1867">
          <cell r="B1867">
            <v>0</v>
          </cell>
          <cell r="C1867">
            <v>0</v>
          </cell>
          <cell r="D1867">
            <v>0</v>
          </cell>
        </row>
        <row r="1868">
          <cell r="B1868">
            <v>0</v>
          </cell>
          <cell r="C1868">
            <v>0</v>
          </cell>
          <cell r="D1868">
            <v>0</v>
          </cell>
        </row>
        <row r="1869">
          <cell r="B1869">
            <v>0</v>
          </cell>
          <cell r="C1869">
            <v>0</v>
          </cell>
          <cell r="D1869">
            <v>0</v>
          </cell>
        </row>
        <row r="1870">
          <cell r="B1870">
            <v>0</v>
          </cell>
          <cell r="C1870">
            <v>0</v>
          </cell>
          <cell r="D1870">
            <v>0</v>
          </cell>
        </row>
        <row r="1871">
          <cell r="B1871">
            <v>0</v>
          </cell>
          <cell r="C1871">
            <v>0</v>
          </cell>
          <cell r="D1871">
            <v>0</v>
          </cell>
        </row>
        <row r="1872">
          <cell r="B1872">
            <v>0</v>
          </cell>
          <cell r="C1872">
            <v>0</v>
          </cell>
          <cell r="D1872">
            <v>0</v>
          </cell>
        </row>
        <row r="1873">
          <cell r="B1873">
            <v>0</v>
          </cell>
          <cell r="C1873">
            <v>0</v>
          </cell>
          <cell r="D1873">
            <v>0</v>
          </cell>
        </row>
        <row r="1874">
          <cell r="B1874">
            <v>0</v>
          </cell>
          <cell r="C1874">
            <v>0</v>
          </cell>
          <cell r="D1874">
            <v>0</v>
          </cell>
        </row>
        <row r="1875">
          <cell r="B1875">
            <v>0</v>
          </cell>
          <cell r="C1875">
            <v>0</v>
          </cell>
          <cell r="D1875">
            <v>0</v>
          </cell>
        </row>
        <row r="1876">
          <cell r="B1876">
            <v>0</v>
          </cell>
          <cell r="C1876">
            <v>0</v>
          </cell>
          <cell r="D1876">
            <v>0</v>
          </cell>
        </row>
        <row r="1877">
          <cell r="B1877">
            <v>0</v>
          </cell>
          <cell r="C1877">
            <v>0</v>
          </cell>
          <cell r="D1877">
            <v>0</v>
          </cell>
        </row>
        <row r="1878">
          <cell r="B1878">
            <v>0</v>
          </cell>
          <cell r="C1878">
            <v>0</v>
          </cell>
          <cell r="D1878">
            <v>0</v>
          </cell>
        </row>
        <row r="1879">
          <cell r="B1879">
            <v>0</v>
          </cell>
          <cell r="C1879">
            <v>0</v>
          </cell>
          <cell r="D1879">
            <v>0</v>
          </cell>
        </row>
        <row r="1880">
          <cell r="B1880">
            <v>0</v>
          </cell>
          <cell r="C1880">
            <v>0</v>
          </cell>
          <cell r="D1880">
            <v>0</v>
          </cell>
        </row>
        <row r="1881">
          <cell r="B1881">
            <v>0</v>
          </cell>
          <cell r="C1881">
            <v>0</v>
          </cell>
          <cell r="D1881">
            <v>0</v>
          </cell>
        </row>
        <row r="1882">
          <cell r="B1882">
            <v>0</v>
          </cell>
          <cell r="C1882">
            <v>0</v>
          </cell>
          <cell r="D1882">
            <v>0</v>
          </cell>
        </row>
        <row r="1883">
          <cell r="B1883">
            <v>0</v>
          </cell>
          <cell r="C1883">
            <v>0</v>
          </cell>
          <cell r="D1883">
            <v>0</v>
          </cell>
        </row>
        <row r="1884">
          <cell r="B1884">
            <v>0</v>
          </cell>
          <cell r="C1884">
            <v>0</v>
          </cell>
          <cell r="D1884">
            <v>0</v>
          </cell>
        </row>
        <row r="1885">
          <cell r="B1885">
            <v>0</v>
          </cell>
          <cell r="C1885">
            <v>0</v>
          </cell>
          <cell r="D1885">
            <v>0</v>
          </cell>
        </row>
        <row r="1886">
          <cell r="B1886">
            <v>0</v>
          </cell>
          <cell r="C1886">
            <v>0</v>
          </cell>
          <cell r="D1886">
            <v>0</v>
          </cell>
        </row>
        <row r="1887">
          <cell r="B1887">
            <v>0</v>
          </cell>
          <cell r="C1887">
            <v>0</v>
          </cell>
          <cell r="D1887">
            <v>0</v>
          </cell>
        </row>
        <row r="1888">
          <cell r="B1888">
            <v>0</v>
          </cell>
          <cell r="C1888">
            <v>0</v>
          </cell>
          <cell r="D1888">
            <v>0</v>
          </cell>
        </row>
        <row r="1889">
          <cell r="B1889">
            <v>0</v>
          </cell>
          <cell r="C1889">
            <v>0</v>
          </cell>
          <cell r="D1889">
            <v>0</v>
          </cell>
        </row>
        <row r="1890">
          <cell r="B1890">
            <v>0</v>
          </cell>
          <cell r="C1890">
            <v>0</v>
          </cell>
          <cell r="D1890">
            <v>0</v>
          </cell>
        </row>
        <row r="1891">
          <cell r="B1891">
            <v>0</v>
          </cell>
          <cell r="C1891">
            <v>0</v>
          </cell>
          <cell r="D1891">
            <v>0</v>
          </cell>
        </row>
        <row r="1892">
          <cell r="B1892">
            <v>0</v>
          </cell>
          <cell r="C1892">
            <v>0</v>
          </cell>
          <cell r="D1892">
            <v>0</v>
          </cell>
        </row>
        <row r="1893">
          <cell r="B1893">
            <v>0</v>
          </cell>
          <cell r="C1893">
            <v>0</v>
          </cell>
          <cell r="D1893">
            <v>0</v>
          </cell>
        </row>
        <row r="1894">
          <cell r="B1894">
            <v>0</v>
          </cell>
          <cell r="C1894">
            <v>0</v>
          </cell>
          <cell r="D1894">
            <v>0</v>
          </cell>
        </row>
        <row r="1895">
          <cell r="B1895">
            <v>0</v>
          </cell>
          <cell r="C1895">
            <v>0</v>
          </cell>
          <cell r="D1895">
            <v>0</v>
          </cell>
        </row>
        <row r="1896">
          <cell r="B1896">
            <v>0</v>
          </cell>
          <cell r="C1896">
            <v>0</v>
          </cell>
          <cell r="D1896">
            <v>0</v>
          </cell>
        </row>
        <row r="1897">
          <cell r="B1897">
            <v>0</v>
          </cell>
          <cell r="C1897">
            <v>0</v>
          </cell>
          <cell r="D1897">
            <v>0</v>
          </cell>
        </row>
        <row r="1898">
          <cell r="B1898">
            <v>0</v>
          </cell>
          <cell r="C1898">
            <v>0</v>
          </cell>
          <cell r="D1898">
            <v>0</v>
          </cell>
        </row>
        <row r="1899">
          <cell r="B1899">
            <v>0</v>
          </cell>
          <cell r="C1899">
            <v>0</v>
          </cell>
          <cell r="D1899">
            <v>0</v>
          </cell>
        </row>
        <row r="1900">
          <cell r="B1900">
            <v>0</v>
          </cell>
          <cell r="C1900">
            <v>0</v>
          </cell>
          <cell r="D1900">
            <v>0</v>
          </cell>
        </row>
        <row r="1901">
          <cell r="B1901">
            <v>0</v>
          </cell>
          <cell r="C1901">
            <v>0</v>
          </cell>
          <cell r="D1901">
            <v>0</v>
          </cell>
        </row>
        <row r="1902">
          <cell r="B1902">
            <v>0</v>
          </cell>
          <cell r="C1902">
            <v>0</v>
          </cell>
          <cell r="D1902">
            <v>0</v>
          </cell>
        </row>
        <row r="1903">
          <cell r="B1903">
            <v>0</v>
          </cell>
          <cell r="C1903">
            <v>0</v>
          </cell>
          <cell r="D1903">
            <v>0</v>
          </cell>
        </row>
        <row r="1904">
          <cell r="B1904">
            <v>0</v>
          </cell>
          <cell r="C1904">
            <v>0</v>
          </cell>
          <cell r="D1904">
            <v>0</v>
          </cell>
        </row>
        <row r="1905">
          <cell r="B1905">
            <v>0</v>
          </cell>
          <cell r="C1905">
            <v>0</v>
          </cell>
          <cell r="D1905">
            <v>0</v>
          </cell>
        </row>
        <row r="1906">
          <cell r="B1906">
            <v>0</v>
          </cell>
          <cell r="C1906">
            <v>0</v>
          </cell>
          <cell r="D1906">
            <v>0</v>
          </cell>
        </row>
        <row r="1907">
          <cell r="B1907">
            <v>0</v>
          </cell>
          <cell r="C1907">
            <v>0</v>
          </cell>
          <cell r="D1907">
            <v>0</v>
          </cell>
        </row>
        <row r="1908">
          <cell r="B1908">
            <v>0</v>
          </cell>
          <cell r="C1908">
            <v>0</v>
          </cell>
          <cell r="D1908">
            <v>0</v>
          </cell>
        </row>
        <row r="1909">
          <cell r="B1909">
            <v>0</v>
          </cell>
          <cell r="C1909">
            <v>0</v>
          </cell>
          <cell r="D1909">
            <v>0</v>
          </cell>
        </row>
        <row r="1910">
          <cell r="B1910">
            <v>0</v>
          </cell>
          <cell r="C1910">
            <v>0</v>
          </cell>
          <cell r="D1910">
            <v>0</v>
          </cell>
        </row>
        <row r="1911">
          <cell r="B1911">
            <v>0</v>
          </cell>
          <cell r="C1911">
            <v>0</v>
          </cell>
          <cell r="D1911">
            <v>0</v>
          </cell>
        </row>
        <row r="1912">
          <cell r="B1912">
            <v>0</v>
          </cell>
          <cell r="C1912">
            <v>0</v>
          </cell>
          <cell r="D1912">
            <v>0</v>
          </cell>
        </row>
        <row r="1913">
          <cell r="B1913">
            <v>0</v>
          </cell>
          <cell r="C1913">
            <v>0</v>
          </cell>
          <cell r="D1913">
            <v>0</v>
          </cell>
        </row>
        <row r="1914">
          <cell r="B1914">
            <v>0</v>
          </cell>
          <cell r="C1914">
            <v>0</v>
          </cell>
          <cell r="D1914">
            <v>0</v>
          </cell>
        </row>
        <row r="1915">
          <cell r="B1915">
            <v>0</v>
          </cell>
          <cell r="C1915">
            <v>0</v>
          </cell>
          <cell r="D1915">
            <v>0</v>
          </cell>
        </row>
        <row r="1916">
          <cell r="B1916">
            <v>0</v>
          </cell>
          <cell r="C1916">
            <v>0</v>
          </cell>
          <cell r="D1916">
            <v>0</v>
          </cell>
        </row>
        <row r="1917">
          <cell r="B1917">
            <v>0</v>
          </cell>
          <cell r="C1917">
            <v>0</v>
          </cell>
          <cell r="D1917">
            <v>0</v>
          </cell>
        </row>
        <row r="1918">
          <cell r="B1918">
            <v>0</v>
          </cell>
          <cell r="C1918">
            <v>0</v>
          </cell>
          <cell r="D1918">
            <v>0</v>
          </cell>
        </row>
        <row r="1919">
          <cell r="B1919">
            <v>0</v>
          </cell>
          <cell r="C1919">
            <v>0</v>
          </cell>
          <cell r="D1919">
            <v>0</v>
          </cell>
        </row>
        <row r="1920">
          <cell r="B1920">
            <v>0</v>
          </cell>
          <cell r="C1920">
            <v>0</v>
          </cell>
          <cell r="D1920">
            <v>0</v>
          </cell>
        </row>
        <row r="1921">
          <cell r="B1921">
            <v>0</v>
          </cell>
          <cell r="C1921">
            <v>0</v>
          </cell>
          <cell r="D1921">
            <v>0</v>
          </cell>
        </row>
        <row r="1922">
          <cell r="B1922">
            <v>0</v>
          </cell>
          <cell r="C1922">
            <v>0</v>
          </cell>
          <cell r="D1922">
            <v>0</v>
          </cell>
        </row>
        <row r="1923">
          <cell r="B1923">
            <v>0</v>
          </cell>
          <cell r="C1923">
            <v>0</v>
          </cell>
          <cell r="D1923">
            <v>0</v>
          </cell>
        </row>
        <row r="1924">
          <cell r="B1924">
            <v>0</v>
          </cell>
          <cell r="C1924">
            <v>0</v>
          </cell>
          <cell r="D1924">
            <v>0</v>
          </cell>
        </row>
        <row r="1925">
          <cell r="B1925">
            <v>0</v>
          </cell>
          <cell r="C1925">
            <v>0</v>
          </cell>
          <cell r="D1925">
            <v>0</v>
          </cell>
        </row>
        <row r="1926">
          <cell r="B1926">
            <v>0</v>
          </cell>
          <cell r="C1926">
            <v>0</v>
          </cell>
          <cell r="D1926">
            <v>0</v>
          </cell>
        </row>
        <row r="1927">
          <cell r="B1927">
            <v>0</v>
          </cell>
          <cell r="C1927">
            <v>0</v>
          </cell>
          <cell r="D1927">
            <v>0</v>
          </cell>
        </row>
        <row r="1928">
          <cell r="B1928">
            <v>0</v>
          </cell>
          <cell r="C1928">
            <v>0</v>
          </cell>
          <cell r="D1928">
            <v>0</v>
          </cell>
        </row>
        <row r="1929">
          <cell r="B1929">
            <v>0</v>
          </cell>
          <cell r="C1929">
            <v>0</v>
          </cell>
          <cell r="D1929">
            <v>0</v>
          </cell>
        </row>
        <row r="1930">
          <cell r="B1930">
            <v>0</v>
          </cell>
          <cell r="C1930">
            <v>0</v>
          </cell>
          <cell r="D1930">
            <v>0</v>
          </cell>
        </row>
        <row r="1931">
          <cell r="B1931">
            <v>0</v>
          </cell>
          <cell r="C1931">
            <v>0</v>
          </cell>
          <cell r="D1931">
            <v>0</v>
          </cell>
        </row>
        <row r="1932">
          <cell r="B1932">
            <v>0</v>
          </cell>
          <cell r="C1932">
            <v>0</v>
          </cell>
          <cell r="D1932">
            <v>0</v>
          </cell>
        </row>
        <row r="1933">
          <cell r="B1933">
            <v>0</v>
          </cell>
          <cell r="C1933">
            <v>0</v>
          </cell>
          <cell r="D1933">
            <v>0</v>
          </cell>
        </row>
        <row r="1934">
          <cell r="B1934">
            <v>0</v>
          </cell>
          <cell r="C1934">
            <v>0</v>
          </cell>
          <cell r="D1934">
            <v>0</v>
          </cell>
        </row>
        <row r="1935">
          <cell r="B1935">
            <v>0</v>
          </cell>
          <cell r="C1935">
            <v>0</v>
          </cell>
          <cell r="D1935">
            <v>0</v>
          </cell>
        </row>
        <row r="1936">
          <cell r="B1936">
            <v>0</v>
          </cell>
          <cell r="C1936">
            <v>0</v>
          </cell>
          <cell r="D1936">
            <v>0</v>
          </cell>
        </row>
        <row r="1937">
          <cell r="B1937">
            <v>0</v>
          </cell>
          <cell r="C1937">
            <v>0</v>
          </cell>
          <cell r="D1937">
            <v>0</v>
          </cell>
        </row>
        <row r="1938">
          <cell r="B1938">
            <v>0</v>
          </cell>
          <cell r="C1938">
            <v>0</v>
          </cell>
          <cell r="D1938">
            <v>0</v>
          </cell>
        </row>
        <row r="1939">
          <cell r="B1939">
            <v>0</v>
          </cell>
          <cell r="C1939">
            <v>0</v>
          </cell>
          <cell r="D1939">
            <v>0</v>
          </cell>
        </row>
        <row r="1940">
          <cell r="B1940">
            <v>0</v>
          </cell>
          <cell r="C1940">
            <v>0</v>
          </cell>
          <cell r="D1940">
            <v>0</v>
          </cell>
        </row>
        <row r="1941">
          <cell r="B1941">
            <v>0</v>
          </cell>
          <cell r="C1941">
            <v>0</v>
          </cell>
          <cell r="D1941">
            <v>0</v>
          </cell>
        </row>
        <row r="1942">
          <cell r="B1942">
            <v>0</v>
          </cell>
          <cell r="C1942">
            <v>0</v>
          </cell>
          <cell r="D1942">
            <v>0</v>
          </cell>
        </row>
        <row r="1943">
          <cell r="B1943">
            <v>0</v>
          </cell>
          <cell r="C1943">
            <v>0</v>
          </cell>
          <cell r="D1943">
            <v>0</v>
          </cell>
        </row>
        <row r="1944">
          <cell r="B1944">
            <v>0</v>
          </cell>
          <cell r="C1944">
            <v>0</v>
          </cell>
          <cell r="D1944">
            <v>0</v>
          </cell>
        </row>
        <row r="1945">
          <cell r="B1945">
            <v>0</v>
          </cell>
          <cell r="C1945">
            <v>0</v>
          </cell>
          <cell r="D1945">
            <v>0</v>
          </cell>
        </row>
        <row r="1946">
          <cell r="B1946">
            <v>0</v>
          </cell>
          <cell r="C1946">
            <v>0</v>
          </cell>
          <cell r="D1946">
            <v>0</v>
          </cell>
        </row>
        <row r="1947">
          <cell r="B1947">
            <v>0</v>
          </cell>
          <cell r="C1947">
            <v>0</v>
          </cell>
          <cell r="D1947">
            <v>0</v>
          </cell>
        </row>
        <row r="1948">
          <cell r="B1948">
            <v>0</v>
          </cell>
          <cell r="C1948">
            <v>0</v>
          </cell>
          <cell r="D1948">
            <v>0</v>
          </cell>
        </row>
        <row r="1949">
          <cell r="B1949">
            <v>0</v>
          </cell>
          <cell r="C1949">
            <v>0</v>
          </cell>
          <cell r="D1949">
            <v>0</v>
          </cell>
        </row>
        <row r="1950">
          <cell r="B1950">
            <v>0</v>
          </cell>
          <cell r="C1950">
            <v>0</v>
          </cell>
          <cell r="D1950">
            <v>0</v>
          </cell>
        </row>
        <row r="1951">
          <cell r="B1951">
            <v>0</v>
          </cell>
          <cell r="C1951">
            <v>0</v>
          </cell>
          <cell r="D1951">
            <v>0</v>
          </cell>
        </row>
        <row r="1952">
          <cell r="B1952">
            <v>0</v>
          </cell>
          <cell r="C1952">
            <v>0</v>
          </cell>
          <cell r="D1952">
            <v>0</v>
          </cell>
        </row>
        <row r="1953">
          <cell r="B1953">
            <v>0</v>
          </cell>
          <cell r="C1953">
            <v>0</v>
          </cell>
          <cell r="D1953">
            <v>0</v>
          </cell>
        </row>
        <row r="1954">
          <cell r="B1954">
            <v>0</v>
          </cell>
          <cell r="C1954">
            <v>0</v>
          </cell>
          <cell r="D1954">
            <v>0</v>
          </cell>
        </row>
        <row r="1955">
          <cell r="B1955">
            <v>0</v>
          </cell>
          <cell r="C1955">
            <v>0</v>
          </cell>
          <cell r="D1955">
            <v>0</v>
          </cell>
        </row>
        <row r="1956">
          <cell r="B1956">
            <v>0</v>
          </cell>
          <cell r="C1956">
            <v>0</v>
          </cell>
          <cell r="D1956">
            <v>0</v>
          </cell>
        </row>
        <row r="1957">
          <cell r="B1957">
            <v>0</v>
          </cell>
          <cell r="C1957">
            <v>0</v>
          </cell>
          <cell r="D1957">
            <v>0</v>
          </cell>
        </row>
        <row r="1958">
          <cell r="B1958">
            <v>0</v>
          </cell>
          <cell r="C1958">
            <v>0</v>
          </cell>
          <cell r="D1958">
            <v>0</v>
          </cell>
        </row>
        <row r="1959">
          <cell r="B1959">
            <v>0</v>
          </cell>
          <cell r="C1959">
            <v>0</v>
          </cell>
          <cell r="D1959">
            <v>0</v>
          </cell>
        </row>
        <row r="1960">
          <cell r="B1960">
            <v>0</v>
          </cell>
          <cell r="C1960">
            <v>0</v>
          </cell>
          <cell r="D1960">
            <v>0</v>
          </cell>
        </row>
        <row r="1961">
          <cell r="B1961">
            <v>0</v>
          </cell>
          <cell r="C1961">
            <v>0</v>
          </cell>
          <cell r="D1961">
            <v>0</v>
          </cell>
        </row>
        <row r="1962">
          <cell r="B1962">
            <v>0</v>
          </cell>
          <cell r="C1962">
            <v>0</v>
          </cell>
          <cell r="D1962">
            <v>0</v>
          </cell>
        </row>
        <row r="1963">
          <cell r="B1963">
            <v>0</v>
          </cell>
          <cell r="C1963">
            <v>0</v>
          </cell>
          <cell r="D1963">
            <v>0</v>
          </cell>
        </row>
        <row r="1964">
          <cell r="B1964">
            <v>0</v>
          </cell>
          <cell r="C1964">
            <v>0</v>
          </cell>
          <cell r="D1964">
            <v>0</v>
          </cell>
        </row>
        <row r="1965">
          <cell r="B1965">
            <v>0</v>
          </cell>
          <cell r="C1965">
            <v>0</v>
          </cell>
          <cell r="D1965">
            <v>0</v>
          </cell>
        </row>
        <row r="1966">
          <cell r="B1966">
            <v>0</v>
          </cell>
          <cell r="C1966">
            <v>0</v>
          </cell>
          <cell r="D1966">
            <v>0</v>
          </cell>
        </row>
        <row r="1967">
          <cell r="B1967">
            <v>0</v>
          </cell>
          <cell r="C1967">
            <v>0</v>
          </cell>
          <cell r="D1967">
            <v>0</v>
          </cell>
        </row>
        <row r="1968">
          <cell r="B1968">
            <v>0</v>
          </cell>
          <cell r="C1968">
            <v>0</v>
          </cell>
          <cell r="D1968">
            <v>0</v>
          </cell>
        </row>
        <row r="1969">
          <cell r="B1969">
            <v>0</v>
          </cell>
          <cell r="C1969">
            <v>0</v>
          </cell>
          <cell r="D1969">
            <v>0</v>
          </cell>
        </row>
        <row r="1970">
          <cell r="B1970">
            <v>0</v>
          </cell>
          <cell r="C1970">
            <v>0</v>
          </cell>
          <cell r="D1970">
            <v>0</v>
          </cell>
        </row>
        <row r="1971">
          <cell r="B1971">
            <v>0</v>
          </cell>
          <cell r="C1971">
            <v>0</v>
          </cell>
          <cell r="D1971">
            <v>0</v>
          </cell>
        </row>
        <row r="1972">
          <cell r="B1972">
            <v>0</v>
          </cell>
          <cell r="C1972">
            <v>0</v>
          </cell>
          <cell r="D1972">
            <v>0</v>
          </cell>
        </row>
        <row r="1973">
          <cell r="B1973">
            <v>0</v>
          </cell>
          <cell r="C1973">
            <v>0</v>
          </cell>
          <cell r="D1973">
            <v>0</v>
          </cell>
        </row>
        <row r="1974">
          <cell r="B1974">
            <v>0</v>
          </cell>
          <cell r="C1974">
            <v>0</v>
          </cell>
          <cell r="D1974">
            <v>0</v>
          </cell>
        </row>
        <row r="1975">
          <cell r="B1975">
            <v>0</v>
          </cell>
          <cell r="C1975">
            <v>0</v>
          </cell>
          <cell r="D1975">
            <v>0</v>
          </cell>
        </row>
        <row r="1976">
          <cell r="B1976">
            <v>0</v>
          </cell>
          <cell r="C1976">
            <v>0</v>
          </cell>
          <cell r="D1976">
            <v>0</v>
          </cell>
        </row>
        <row r="1977">
          <cell r="B1977">
            <v>0</v>
          </cell>
          <cell r="C1977">
            <v>0</v>
          </cell>
          <cell r="D1977">
            <v>0</v>
          </cell>
        </row>
        <row r="1978">
          <cell r="B1978">
            <v>0</v>
          </cell>
          <cell r="C1978">
            <v>0</v>
          </cell>
          <cell r="D1978">
            <v>0</v>
          </cell>
        </row>
        <row r="1979">
          <cell r="B1979">
            <v>0</v>
          </cell>
          <cell r="C1979">
            <v>0</v>
          </cell>
          <cell r="D1979">
            <v>0</v>
          </cell>
        </row>
        <row r="1980">
          <cell r="B1980">
            <v>0</v>
          </cell>
          <cell r="C1980">
            <v>0</v>
          </cell>
          <cell r="D1980">
            <v>0</v>
          </cell>
        </row>
        <row r="1981">
          <cell r="B1981">
            <v>0</v>
          </cell>
          <cell r="C1981">
            <v>0</v>
          </cell>
          <cell r="D1981">
            <v>0</v>
          </cell>
        </row>
        <row r="1982">
          <cell r="B1982">
            <v>0</v>
          </cell>
          <cell r="C1982">
            <v>0</v>
          </cell>
          <cell r="D1982">
            <v>0</v>
          </cell>
        </row>
        <row r="1983">
          <cell r="B1983">
            <v>0</v>
          </cell>
          <cell r="C1983">
            <v>0</v>
          </cell>
          <cell r="D1983">
            <v>0</v>
          </cell>
        </row>
        <row r="1984">
          <cell r="B1984">
            <v>0</v>
          </cell>
          <cell r="C1984">
            <v>0</v>
          </cell>
          <cell r="D1984">
            <v>0</v>
          </cell>
        </row>
        <row r="1985">
          <cell r="B1985">
            <v>0</v>
          </cell>
          <cell r="C1985">
            <v>0</v>
          </cell>
          <cell r="D1985">
            <v>0</v>
          </cell>
        </row>
        <row r="1986">
          <cell r="B1986">
            <v>0</v>
          </cell>
          <cell r="C1986">
            <v>0</v>
          </cell>
          <cell r="D1986">
            <v>0</v>
          </cell>
        </row>
        <row r="1987">
          <cell r="B1987">
            <v>0</v>
          </cell>
          <cell r="C1987">
            <v>0</v>
          </cell>
          <cell r="D1987">
            <v>0</v>
          </cell>
        </row>
        <row r="1988">
          <cell r="B1988">
            <v>0</v>
          </cell>
          <cell r="C1988">
            <v>0</v>
          </cell>
          <cell r="D1988">
            <v>0</v>
          </cell>
        </row>
        <row r="1989">
          <cell r="B1989">
            <v>0</v>
          </cell>
          <cell r="C1989">
            <v>0</v>
          </cell>
          <cell r="D1989">
            <v>0</v>
          </cell>
        </row>
        <row r="1990">
          <cell r="B1990">
            <v>0</v>
          </cell>
          <cell r="C1990">
            <v>0</v>
          </cell>
          <cell r="D1990">
            <v>0</v>
          </cell>
        </row>
        <row r="1991">
          <cell r="B1991">
            <v>0</v>
          </cell>
          <cell r="C1991">
            <v>0</v>
          </cell>
          <cell r="D1991">
            <v>0</v>
          </cell>
        </row>
        <row r="1992">
          <cell r="B1992">
            <v>0</v>
          </cell>
          <cell r="C1992">
            <v>0</v>
          </cell>
          <cell r="D1992">
            <v>0</v>
          </cell>
        </row>
        <row r="1993">
          <cell r="B1993">
            <v>0</v>
          </cell>
          <cell r="C1993">
            <v>0</v>
          </cell>
          <cell r="D1993">
            <v>0</v>
          </cell>
        </row>
        <row r="1994">
          <cell r="B1994">
            <v>0</v>
          </cell>
          <cell r="C1994">
            <v>0</v>
          </cell>
          <cell r="D1994">
            <v>0</v>
          </cell>
        </row>
        <row r="1995">
          <cell r="B1995">
            <v>0</v>
          </cell>
          <cell r="C1995">
            <v>0</v>
          </cell>
          <cell r="D1995">
            <v>0</v>
          </cell>
        </row>
        <row r="1996">
          <cell r="B1996">
            <v>0</v>
          </cell>
          <cell r="C1996">
            <v>0</v>
          </cell>
          <cell r="D1996">
            <v>0</v>
          </cell>
        </row>
        <row r="1997">
          <cell r="B1997">
            <v>0</v>
          </cell>
          <cell r="C1997">
            <v>0</v>
          </cell>
          <cell r="D1997">
            <v>0</v>
          </cell>
        </row>
        <row r="1998">
          <cell r="B1998">
            <v>0</v>
          </cell>
          <cell r="C1998">
            <v>0</v>
          </cell>
          <cell r="D1998">
            <v>0</v>
          </cell>
        </row>
        <row r="1999">
          <cell r="B1999">
            <v>0</v>
          </cell>
          <cell r="C1999">
            <v>0</v>
          </cell>
          <cell r="D1999">
            <v>0</v>
          </cell>
        </row>
        <row r="2000">
          <cell r="B2000">
            <v>0</v>
          </cell>
          <cell r="C2000">
            <v>0</v>
          </cell>
          <cell r="D2000">
            <v>0</v>
          </cell>
        </row>
        <row r="2001">
          <cell r="B2001">
            <v>0</v>
          </cell>
          <cell r="C2001">
            <v>0</v>
          </cell>
          <cell r="D2001">
            <v>0</v>
          </cell>
        </row>
        <row r="2002">
          <cell r="B2002">
            <v>0</v>
          </cell>
          <cell r="C2002">
            <v>0</v>
          </cell>
          <cell r="D2002">
            <v>0</v>
          </cell>
        </row>
        <row r="2003">
          <cell r="B2003">
            <v>0</v>
          </cell>
          <cell r="C2003">
            <v>0</v>
          </cell>
          <cell r="D2003">
            <v>0</v>
          </cell>
        </row>
        <row r="2004">
          <cell r="B2004">
            <v>0</v>
          </cell>
          <cell r="C2004">
            <v>0</v>
          </cell>
          <cell r="D2004">
            <v>0</v>
          </cell>
        </row>
        <row r="2005">
          <cell r="B2005">
            <v>0</v>
          </cell>
          <cell r="C2005">
            <v>0</v>
          </cell>
          <cell r="D2005">
            <v>0</v>
          </cell>
        </row>
        <row r="2006">
          <cell r="B2006">
            <v>0</v>
          </cell>
          <cell r="C2006">
            <v>0</v>
          </cell>
          <cell r="D2006">
            <v>0</v>
          </cell>
        </row>
        <row r="2007">
          <cell r="B2007">
            <v>0</v>
          </cell>
          <cell r="C2007">
            <v>0</v>
          </cell>
          <cell r="D2007">
            <v>0</v>
          </cell>
        </row>
        <row r="2008">
          <cell r="B2008">
            <v>0</v>
          </cell>
          <cell r="C2008">
            <v>0</v>
          </cell>
          <cell r="D2008">
            <v>0</v>
          </cell>
        </row>
        <row r="2009">
          <cell r="B2009">
            <v>0</v>
          </cell>
          <cell r="C2009">
            <v>0</v>
          </cell>
          <cell r="D2009">
            <v>0</v>
          </cell>
        </row>
        <row r="2010">
          <cell r="B2010">
            <v>0</v>
          </cell>
          <cell r="C2010">
            <v>0</v>
          </cell>
          <cell r="D2010">
            <v>0</v>
          </cell>
        </row>
        <row r="2011">
          <cell r="B2011">
            <v>0</v>
          </cell>
          <cell r="C2011">
            <v>0</v>
          </cell>
          <cell r="D2011">
            <v>0</v>
          </cell>
        </row>
        <row r="2012">
          <cell r="B2012">
            <v>0</v>
          </cell>
          <cell r="C2012">
            <v>0</v>
          </cell>
          <cell r="D2012">
            <v>0</v>
          </cell>
        </row>
        <row r="2013">
          <cell r="B2013">
            <v>0</v>
          </cell>
          <cell r="C2013">
            <v>0</v>
          </cell>
          <cell r="D2013">
            <v>0</v>
          </cell>
        </row>
        <row r="2014">
          <cell r="B2014">
            <v>0</v>
          </cell>
          <cell r="C2014">
            <v>0</v>
          </cell>
          <cell r="D2014">
            <v>0</v>
          </cell>
        </row>
        <row r="2015">
          <cell r="B2015">
            <v>0</v>
          </cell>
          <cell r="C2015">
            <v>0</v>
          </cell>
          <cell r="D2015">
            <v>0</v>
          </cell>
        </row>
        <row r="2016">
          <cell r="B2016">
            <v>0</v>
          </cell>
          <cell r="C2016">
            <v>0</v>
          </cell>
          <cell r="D2016">
            <v>0</v>
          </cell>
        </row>
        <row r="2017">
          <cell r="B2017">
            <v>0</v>
          </cell>
          <cell r="C2017">
            <v>0</v>
          </cell>
          <cell r="D2017">
            <v>0</v>
          </cell>
        </row>
        <row r="2018">
          <cell r="B2018">
            <v>0</v>
          </cell>
          <cell r="C2018">
            <v>0</v>
          </cell>
          <cell r="D2018">
            <v>0</v>
          </cell>
        </row>
        <row r="2019">
          <cell r="B2019">
            <v>0</v>
          </cell>
          <cell r="C2019">
            <v>0</v>
          </cell>
          <cell r="D2019">
            <v>0</v>
          </cell>
        </row>
        <row r="2020">
          <cell r="B2020">
            <v>0</v>
          </cell>
          <cell r="C2020">
            <v>0</v>
          </cell>
          <cell r="D2020">
            <v>0</v>
          </cell>
        </row>
        <row r="2021">
          <cell r="B2021">
            <v>0</v>
          </cell>
          <cell r="C2021">
            <v>0</v>
          </cell>
          <cell r="D2021">
            <v>0</v>
          </cell>
        </row>
        <row r="2022">
          <cell r="B2022">
            <v>0</v>
          </cell>
          <cell r="C2022">
            <v>0</v>
          </cell>
          <cell r="D2022">
            <v>0</v>
          </cell>
        </row>
        <row r="2023">
          <cell r="B2023">
            <v>0</v>
          </cell>
          <cell r="C2023">
            <v>0</v>
          </cell>
          <cell r="D2023">
            <v>0</v>
          </cell>
        </row>
        <row r="2024">
          <cell r="B2024">
            <v>0</v>
          </cell>
          <cell r="C2024">
            <v>0</v>
          </cell>
          <cell r="D2024">
            <v>0</v>
          </cell>
        </row>
        <row r="2025">
          <cell r="B2025">
            <v>0</v>
          </cell>
          <cell r="C2025">
            <v>0</v>
          </cell>
          <cell r="D2025">
            <v>0</v>
          </cell>
        </row>
        <row r="2026">
          <cell r="B2026">
            <v>0</v>
          </cell>
          <cell r="C2026">
            <v>0</v>
          </cell>
          <cell r="D2026">
            <v>0</v>
          </cell>
        </row>
        <row r="2027">
          <cell r="B2027">
            <v>0</v>
          </cell>
          <cell r="C2027">
            <v>0</v>
          </cell>
          <cell r="D2027">
            <v>0</v>
          </cell>
        </row>
        <row r="2028">
          <cell r="B2028">
            <v>0</v>
          </cell>
          <cell r="C2028">
            <v>0</v>
          </cell>
          <cell r="D2028">
            <v>0</v>
          </cell>
        </row>
        <row r="2029">
          <cell r="B2029">
            <v>0</v>
          </cell>
          <cell r="C2029">
            <v>0</v>
          </cell>
          <cell r="D2029">
            <v>0</v>
          </cell>
        </row>
        <row r="2030">
          <cell r="B2030">
            <v>0</v>
          </cell>
          <cell r="C2030">
            <v>0</v>
          </cell>
          <cell r="D2030">
            <v>0</v>
          </cell>
        </row>
        <row r="2031">
          <cell r="B2031">
            <v>0</v>
          </cell>
          <cell r="C2031">
            <v>0</v>
          </cell>
          <cell r="D2031">
            <v>0</v>
          </cell>
        </row>
        <row r="2032">
          <cell r="B2032">
            <v>0</v>
          </cell>
          <cell r="C2032">
            <v>0</v>
          </cell>
          <cell r="D2032">
            <v>0</v>
          </cell>
        </row>
        <row r="2033">
          <cell r="B2033">
            <v>0</v>
          </cell>
          <cell r="C2033">
            <v>0</v>
          </cell>
          <cell r="D2033">
            <v>0</v>
          </cell>
        </row>
        <row r="2034">
          <cell r="B2034">
            <v>0</v>
          </cell>
          <cell r="C2034">
            <v>0</v>
          </cell>
          <cell r="D2034">
            <v>0</v>
          </cell>
        </row>
        <row r="2035">
          <cell r="B2035">
            <v>0</v>
          </cell>
          <cell r="C2035">
            <v>0</v>
          </cell>
          <cell r="D2035">
            <v>0</v>
          </cell>
        </row>
        <row r="2036">
          <cell r="B2036">
            <v>0</v>
          </cell>
          <cell r="C2036">
            <v>0</v>
          </cell>
          <cell r="D2036">
            <v>0</v>
          </cell>
        </row>
        <row r="2037">
          <cell r="B2037">
            <v>0</v>
          </cell>
          <cell r="C2037">
            <v>0</v>
          </cell>
          <cell r="D2037">
            <v>0</v>
          </cell>
        </row>
        <row r="2038">
          <cell r="B2038">
            <v>0</v>
          </cell>
          <cell r="C2038">
            <v>0</v>
          </cell>
          <cell r="D2038">
            <v>0</v>
          </cell>
        </row>
        <row r="2039">
          <cell r="B2039">
            <v>0</v>
          </cell>
          <cell r="C2039">
            <v>0</v>
          </cell>
          <cell r="D2039">
            <v>0</v>
          </cell>
        </row>
        <row r="2040">
          <cell r="B2040">
            <v>0</v>
          </cell>
          <cell r="C2040">
            <v>0</v>
          </cell>
          <cell r="D2040">
            <v>0</v>
          </cell>
        </row>
        <row r="2041">
          <cell r="B2041">
            <v>0</v>
          </cell>
          <cell r="C2041">
            <v>0</v>
          </cell>
          <cell r="D2041">
            <v>0</v>
          </cell>
        </row>
        <row r="2042">
          <cell r="B2042">
            <v>0</v>
          </cell>
          <cell r="C2042">
            <v>0</v>
          </cell>
          <cell r="D2042">
            <v>0</v>
          </cell>
        </row>
        <row r="2043">
          <cell r="B2043">
            <v>0</v>
          </cell>
          <cell r="C2043">
            <v>0</v>
          </cell>
          <cell r="D2043">
            <v>0</v>
          </cell>
        </row>
        <row r="2044">
          <cell r="B2044">
            <v>0</v>
          </cell>
          <cell r="C2044">
            <v>0</v>
          </cell>
          <cell r="D2044">
            <v>0</v>
          </cell>
        </row>
        <row r="2045">
          <cell r="B2045">
            <v>0</v>
          </cell>
          <cell r="C2045">
            <v>0</v>
          </cell>
          <cell r="D2045">
            <v>0</v>
          </cell>
        </row>
        <row r="2046">
          <cell r="B2046">
            <v>0</v>
          </cell>
          <cell r="C2046">
            <v>0</v>
          </cell>
          <cell r="D2046">
            <v>0</v>
          </cell>
        </row>
        <row r="2047">
          <cell r="B2047">
            <v>0</v>
          </cell>
          <cell r="C2047">
            <v>0</v>
          </cell>
          <cell r="D2047">
            <v>0</v>
          </cell>
        </row>
        <row r="2048">
          <cell r="B2048">
            <v>0</v>
          </cell>
          <cell r="C2048">
            <v>0</v>
          </cell>
          <cell r="D2048">
            <v>0</v>
          </cell>
        </row>
        <row r="2049">
          <cell r="B2049">
            <v>0</v>
          </cell>
          <cell r="C2049">
            <v>0</v>
          </cell>
          <cell r="D2049">
            <v>0</v>
          </cell>
        </row>
        <row r="2050">
          <cell r="B2050">
            <v>0</v>
          </cell>
          <cell r="C2050">
            <v>0</v>
          </cell>
          <cell r="D2050">
            <v>0</v>
          </cell>
        </row>
        <row r="2051">
          <cell r="B2051">
            <v>0</v>
          </cell>
          <cell r="C2051">
            <v>0</v>
          </cell>
          <cell r="D2051">
            <v>0</v>
          </cell>
        </row>
        <row r="2052">
          <cell r="B2052">
            <v>0</v>
          </cell>
          <cell r="C2052">
            <v>0</v>
          </cell>
          <cell r="D2052">
            <v>0</v>
          </cell>
        </row>
        <row r="2053">
          <cell r="B2053">
            <v>0</v>
          </cell>
          <cell r="C2053">
            <v>0</v>
          </cell>
          <cell r="D2053">
            <v>0</v>
          </cell>
        </row>
        <row r="2054">
          <cell r="B2054">
            <v>0</v>
          </cell>
          <cell r="C2054">
            <v>0</v>
          </cell>
          <cell r="D2054">
            <v>0</v>
          </cell>
        </row>
        <row r="2055">
          <cell r="B2055">
            <v>0</v>
          </cell>
          <cell r="C2055">
            <v>0</v>
          </cell>
          <cell r="D2055">
            <v>0</v>
          </cell>
        </row>
        <row r="2056">
          <cell r="B2056">
            <v>0</v>
          </cell>
          <cell r="C2056">
            <v>0</v>
          </cell>
          <cell r="D2056">
            <v>0</v>
          </cell>
        </row>
        <row r="2057">
          <cell r="B2057">
            <v>0</v>
          </cell>
          <cell r="C2057">
            <v>0</v>
          </cell>
          <cell r="D2057">
            <v>0</v>
          </cell>
        </row>
        <row r="2058">
          <cell r="B2058">
            <v>0</v>
          </cell>
          <cell r="C2058">
            <v>0</v>
          </cell>
          <cell r="D2058">
            <v>0</v>
          </cell>
        </row>
        <row r="2059">
          <cell r="B2059">
            <v>0</v>
          </cell>
          <cell r="C2059">
            <v>0</v>
          </cell>
          <cell r="D2059">
            <v>0</v>
          </cell>
        </row>
        <row r="2060">
          <cell r="B2060">
            <v>0</v>
          </cell>
          <cell r="C2060">
            <v>0</v>
          </cell>
          <cell r="D2060">
            <v>0</v>
          </cell>
        </row>
        <row r="2061">
          <cell r="B2061">
            <v>0</v>
          </cell>
          <cell r="C2061">
            <v>0</v>
          </cell>
          <cell r="D2061">
            <v>0</v>
          </cell>
        </row>
        <row r="2062">
          <cell r="B2062">
            <v>0</v>
          </cell>
          <cell r="C2062">
            <v>0</v>
          </cell>
          <cell r="D2062">
            <v>0</v>
          </cell>
        </row>
        <row r="2063">
          <cell r="B2063">
            <v>0</v>
          </cell>
          <cell r="C2063">
            <v>0</v>
          </cell>
          <cell r="D2063">
            <v>0</v>
          </cell>
        </row>
        <row r="2064">
          <cell r="B2064">
            <v>0</v>
          </cell>
          <cell r="C2064">
            <v>0</v>
          </cell>
          <cell r="D2064">
            <v>0</v>
          </cell>
        </row>
        <row r="2065">
          <cell r="B2065">
            <v>0</v>
          </cell>
          <cell r="C2065">
            <v>0</v>
          </cell>
          <cell r="D2065">
            <v>0</v>
          </cell>
        </row>
        <row r="2066">
          <cell r="B2066">
            <v>0</v>
          </cell>
          <cell r="C2066">
            <v>0</v>
          </cell>
          <cell r="D2066">
            <v>0</v>
          </cell>
        </row>
        <row r="2067">
          <cell r="B2067">
            <v>0</v>
          </cell>
          <cell r="C2067">
            <v>0</v>
          </cell>
          <cell r="D2067">
            <v>0</v>
          </cell>
        </row>
        <row r="2068">
          <cell r="B2068">
            <v>0</v>
          </cell>
          <cell r="C2068">
            <v>0</v>
          </cell>
          <cell r="D2068">
            <v>0</v>
          </cell>
        </row>
        <row r="2069">
          <cell r="B2069">
            <v>0</v>
          </cell>
          <cell r="C2069">
            <v>0</v>
          </cell>
          <cell r="D2069">
            <v>0</v>
          </cell>
        </row>
        <row r="2070">
          <cell r="B2070">
            <v>0</v>
          </cell>
          <cell r="C2070">
            <v>0</v>
          </cell>
          <cell r="D2070">
            <v>0</v>
          </cell>
        </row>
        <row r="2071">
          <cell r="B2071">
            <v>0</v>
          </cell>
          <cell r="C2071">
            <v>0</v>
          </cell>
          <cell r="D2071">
            <v>0</v>
          </cell>
        </row>
        <row r="2072">
          <cell r="B2072">
            <v>0</v>
          </cell>
          <cell r="C2072">
            <v>0</v>
          </cell>
          <cell r="D2072">
            <v>0</v>
          </cell>
        </row>
        <row r="2073">
          <cell r="B2073">
            <v>0</v>
          </cell>
          <cell r="C2073">
            <v>0</v>
          </cell>
          <cell r="D2073">
            <v>0</v>
          </cell>
        </row>
        <row r="2074">
          <cell r="B2074">
            <v>0</v>
          </cell>
          <cell r="C2074">
            <v>0</v>
          </cell>
          <cell r="D2074">
            <v>0</v>
          </cell>
        </row>
        <row r="2075">
          <cell r="B2075">
            <v>0</v>
          </cell>
          <cell r="C2075">
            <v>0</v>
          </cell>
          <cell r="D2075">
            <v>0</v>
          </cell>
        </row>
        <row r="2076">
          <cell r="B2076">
            <v>0</v>
          </cell>
          <cell r="C2076">
            <v>0</v>
          </cell>
          <cell r="D2076">
            <v>0</v>
          </cell>
        </row>
        <row r="2077">
          <cell r="B2077">
            <v>0</v>
          </cell>
          <cell r="C2077">
            <v>0</v>
          </cell>
          <cell r="D2077">
            <v>0</v>
          </cell>
        </row>
        <row r="2078">
          <cell r="B2078">
            <v>0</v>
          </cell>
          <cell r="C2078">
            <v>0</v>
          </cell>
          <cell r="D2078">
            <v>0</v>
          </cell>
        </row>
        <row r="2079">
          <cell r="B2079">
            <v>0</v>
          </cell>
          <cell r="C2079">
            <v>0</v>
          </cell>
          <cell r="D2079">
            <v>0</v>
          </cell>
        </row>
        <row r="2080">
          <cell r="B2080">
            <v>0</v>
          </cell>
          <cell r="C2080">
            <v>0</v>
          </cell>
          <cell r="D2080">
            <v>0</v>
          </cell>
        </row>
        <row r="2081">
          <cell r="B2081">
            <v>0</v>
          </cell>
          <cell r="C2081">
            <v>0</v>
          </cell>
          <cell r="D2081">
            <v>0</v>
          </cell>
        </row>
        <row r="2082">
          <cell r="B2082">
            <v>0</v>
          </cell>
          <cell r="C2082">
            <v>0</v>
          </cell>
          <cell r="D2082">
            <v>0</v>
          </cell>
        </row>
        <row r="2083">
          <cell r="B2083">
            <v>0</v>
          </cell>
          <cell r="C2083">
            <v>0</v>
          </cell>
          <cell r="D2083">
            <v>0</v>
          </cell>
        </row>
        <row r="2084">
          <cell r="B2084">
            <v>0</v>
          </cell>
          <cell r="C2084">
            <v>0</v>
          </cell>
          <cell r="D2084">
            <v>0</v>
          </cell>
        </row>
        <row r="2085">
          <cell r="B2085">
            <v>0</v>
          </cell>
          <cell r="C2085">
            <v>0</v>
          </cell>
          <cell r="D2085">
            <v>0</v>
          </cell>
        </row>
        <row r="2086">
          <cell r="B2086">
            <v>0</v>
          </cell>
          <cell r="C2086">
            <v>0</v>
          </cell>
          <cell r="D2086">
            <v>0</v>
          </cell>
        </row>
        <row r="2087">
          <cell r="B2087">
            <v>0</v>
          </cell>
          <cell r="C2087">
            <v>0</v>
          </cell>
          <cell r="D2087">
            <v>0</v>
          </cell>
        </row>
        <row r="2088">
          <cell r="B2088">
            <v>0</v>
          </cell>
          <cell r="C2088">
            <v>0</v>
          </cell>
          <cell r="D2088">
            <v>0</v>
          </cell>
        </row>
        <row r="2089">
          <cell r="B2089">
            <v>0</v>
          </cell>
          <cell r="C2089">
            <v>0</v>
          </cell>
          <cell r="D2089">
            <v>0</v>
          </cell>
        </row>
        <row r="2090">
          <cell r="B2090">
            <v>0</v>
          </cell>
          <cell r="C2090">
            <v>0</v>
          </cell>
          <cell r="D2090">
            <v>0</v>
          </cell>
        </row>
        <row r="2091">
          <cell r="B2091">
            <v>0</v>
          </cell>
          <cell r="C2091">
            <v>0</v>
          </cell>
          <cell r="D2091">
            <v>0</v>
          </cell>
        </row>
        <row r="2092">
          <cell r="B2092">
            <v>0</v>
          </cell>
          <cell r="C2092">
            <v>0</v>
          </cell>
          <cell r="D2092">
            <v>0</v>
          </cell>
        </row>
        <row r="2093">
          <cell r="B2093">
            <v>0</v>
          </cell>
          <cell r="C2093">
            <v>0</v>
          </cell>
          <cell r="D2093">
            <v>0</v>
          </cell>
        </row>
        <row r="2094">
          <cell r="B2094">
            <v>0</v>
          </cell>
          <cell r="C2094">
            <v>0</v>
          </cell>
          <cell r="D2094">
            <v>0</v>
          </cell>
        </row>
        <row r="2095">
          <cell r="B2095">
            <v>0</v>
          </cell>
          <cell r="C2095">
            <v>0</v>
          </cell>
          <cell r="D2095">
            <v>0</v>
          </cell>
        </row>
        <row r="2096">
          <cell r="B2096">
            <v>0</v>
          </cell>
          <cell r="C2096">
            <v>0</v>
          </cell>
          <cell r="D2096">
            <v>0</v>
          </cell>
        </row>
        <row r="2097">
          <cell r="B2097">
            <v>0</v>
          </cell>
          <cell r="C2097">
            <v>0</v>
          </cell>
          <cell r="D2097">
            <v>0</v>
          </cell>
        </row>
        <row r="2098">
          <cell r="B2098">
            <v>0</v>
          </cell>
          <cell r="C2098">
            <v>0</v>
          </cell>
          <cell r="D2098">
            <v>0</v>
          </cell>
        </row>
        <row r="2099">
          <cell r="B2099">
            <v>0</v>
          </cell>
          <cell r="C2099">
            <v>0</v>
          </cell>
          <cell r="D2099">
            <v>0</v>
          </cell>
        </row>
        <row r="2100">
          <cell r="B2100">
            <v>0</v>
          </cell>
          <cell r="C2100">
            <v>0</v>
          </cell>
          <cell r="D2100">
            <v>0</v>
          </cell>
        </row>
        <row r="2101">
          <cell r="B2101">
            <v>0</v>
          </cell>
          <cell r="C2101">
            <v>0</v>
          </cell>
          <cell r="D2101">
            <v>0</v>
          </cell>
        </row>
        <row r="2102">
          <cell r="B2102">
            <v>0</v>
          </cell>
          <cell r="C2102">
            <v>0</v>
          </cell>
          <cell r="D2102">
            <v>0</v>
          </cell>
        </row>
        <row r="2103">
          <cell r="B2103">
            <v>0</v>
          </cell>
          <cell r="C2103">
            <v>0</v>
          </cell>
          <cell r="D2103">
            <v>0</v>
          </cell>
        </row>
        <row r="2104">
          <cell r="B2104">
            <v>0</v>
          </cell>
          <cell r="C2104">
            <v>0</v>
          </cell>
          <cell r="D2104">
            <v>0</v>
          </cell>
        </row>
        <row r="2105">
          <cell r="B2105">
            <v>0</v>
          </cell>
          <cell r="C2105">
            <v>0</v>
          </cell>
          <cell r="D2105">
            <v>0</v>
          </cell>
        </row>
        <row r="2106">
          <cell r="B2106">
            <v>0</v>
          </cell>
          <cell r="C2106">
            <v>0</v>
          </cell>
          <cell r="D2106">
            <v>0</v>
          </cell>
        </row>
        <row r="2107">
          <cell r="B2107">
            <v>0</v>
          </cell>
          <cell r="C2107">
            <v>0</v>
          </cell>
          <cell r="D2107">
            <v>0</v>
          </cell>
        </row>
        <row r="2108">
          <cell r="B2108">
            <v>0</v>
          </cell>
          <cell r="C2108">
            <v>0</v>
          </cell>
          <cell r="D2108">
            <v>0</v>
          </cell>
        </row>
        <row r="2109">
          <cell r="B2109">
            <v>0</v>
          </cell>
          <cell r="C2109">
            <v>0</v>
          </cell>
          <cell r="D2109">
            <v>0</v>
          </cell>
        </row>
        <row r="2110">
          <cell r="B2110">
            <v>0</v>
          </cell>
          <cell r="C2110">
            <v>0</v>
          </cell>
          <cell r="D2110">
            <v>0</v>
          </cell>
        </row>
        <row r="2111">
          <cell r="B2111">
            <v>0</v>
          </cell>
          <cell r="C2111">
            <v>0</v>
          </cell>
          <cell r="D2111">
            <v>0</v>
          </cell>
        </row>
        <row r="2112">
          <cell r="B2112">
            <v>0</v>
          </cell>
          <cell r="C2112">
            <v>0</v>
          </cell>
          <cell r="D2112">
            <v>0</v>
          </cell>
        </row>
        <row r="2113">
          <cell r="B2113">
            <v>0</v>
          </cell>
          <cell r="C2113">
            <v>0</v>
          </cell>
          <cell r="D2113">
            <v>0</v>
          </cell>
        </row>
        <row r="2114">
          <cell r="B2114">
            <v>0</v>
          </cell>
          <cell r="C2114">
            <v>0</v>
          </cell>
          <cell r="D2114">
            <v>0</v>
          </cell>
        </row>
        <row r="2115">
          <cell r="B2115">
            <v>0</v>
          </cell>
          <cell r="C2115">
            <v>0</v>
          </cell>
          <cell r="D2115">
            <v>0</v>
          </cell>
        </row>
        <row r="2116">
          <cell r="B2116">
            <v>0</v>
          </cell>
          <cell r="C2116">
            <v>0</v>
          </cell>
          <cell r="D2116">
            <v>0</v>
          </cell>
        </row>
        <row r="2117">
          <cell r="B2117">
            <v>0</v>
          </cell>
          <cell r="C2117">
            <v>0</v>
          </cell>
          <cell r="D2117">
            <v>0</v>
          </cell>
        </row>
        <row r="2118">
          <cell r="B2118">
            <v>0</v>
          </cell>
          <cell r="C2118">
            <v>0</v>
          </cell>
          <cell r="D2118">
            <v>0</v>
          </cell>
        </row>
        <row r="2119">
          <cell r="B2119">
            <v>0</v>
          </cell>
          <cell r="C2119">
            <v>0</v>
          </cell>
          <cell r="D2119">
            <v>0</v>
          </cell>
        </row>
        <row r="2120">
          <cell r="B2120">
            <v>0</v>
          </cell>
          <cell r="C2120">
            <v>0</v>
          </cell>
          <cell r="D2120">
            <v>0</v>
          </cell>
        </row>
        <row r="2121">
          <cell r="B2121">
            <v>0</v>
          </cell>
          <cell r="C2121">
            <v>0</v>
          </cell>
          <cell r="D2121">
            <v>0</v>
          </cell>
        </row>
        <row r="2122">
          <cell r="B2122">
            <v>0</v>
          </cell>
          <cell r="C2122">
            <v>0</v>
          </cell>
          <cell r="D2122">
            <v>0</v>
          </cell>
        </row>
        <row r="2123">
          <cell r="B2123">
            <v>0</v>
          </cell>
          <cell r="C2123">
            <v>0</v>
          </cell>
          <cell r="D2123">
            <v>0</v>
          </cell>
        </row>
        <row r="2124">
          <cell r="B2124">
            <v>0</v>
          </cell>
          <cell r="C2124">
            <v>0</v>
          </cell>
          <cell r="D2124">
            <v>0</v>
          </cell>
        </row>
        <row r="2125">
          <cell r="B2125">
            <v>0</v>
          </cell>
          <cell r="C2125">
            <v>0</v>
          </cell>
          <cell r="D2125">
            <v>0</v>
          </cell>
        </row>
        <row r="2126">
          <cell r="B2126">
            <v>0</v>
          </cell>
          <cell r="C2126">
            <v>0</v>
          </cell>
          <cell r="D2126">
            <v>0</v>
          </cell>
        </row>
        <row r="2127">
          <cell r="B2127">
            <v>0</v>
          </cell>
          <cell r="C2127">
            <v>0</v>
          </cell>
          <cell r="D2127">
            <v>0</v>
          </cell>
        </row>
        <row r="2128">
          <cell r="B2128">
            <v>0</v>
          </cell>
          <cell r="C2128">
            <v>0</v>
          </cell>
          <cell r="D2128">
            <v>0</v>
          </cell>
        </row>
        <row r="2129">
          <cell r="B2129">
            <v>0</v>
          </cell>
          <cell r="C2129">
            <v>0</v>
          </cell>
          <cell r="D2129">
            <v>0</v>
          </cell>
        </row>
        <row r="2130">
          <cell r="B2130">
            <v>0</v>
          </cell>
          <cell r="C2130">
            <v>0</v>
          </cell>
          <cell r="D2130">
            <v>0</v>
          </cell>
        </row>
        <row r="2131">
          <cell r="B2131">
            <v>0</v>
          </cell>
          <cell r="C2131">
            <v>0</v>
          </cell>
          <cell r="D2131">
            <v>0</v>
          </cell>
        </row>
        <row r="2132">
          <cell r="B2132">
            <v>0</v>
          </cell>
          <cell r="C2132">
            <v>0</v>
          </cell>
          <cell r="D2132">
            <v>0</v>
          </cell>
        </row>
        <row r="2133">
          <cell r="B2133">
            <v>0</v>
          </cell>
          <cell r="C2133">
            <v>0</v>
          </cell>
          <cell r="D2133">
            <v>0</v>
          </cell>
        </row>
        <row r="2134">
          <cell r="B2134">
            <v>0</v>
          </cell>
          <cell r="C2134">
            <v>0</v>
          </cell>
          <cell r="D2134">
            <v>0</v>
          </cell>
        </row>
        <row r="2135">
          <cell r="B2135">
            <v>0</v>
          </cell>
          <cell r="C2135">
            <v>0</v>
          </cell>
          <cell r="D2135">
            <v>0</v>
          </cell>
        </row>
        <row r="2136">
          <cell r="B2136">
            <v>0</v>
          </cell>
          <cell r="C2136">
            <v>0</v>
          </cell>
          <cell r="D2136">
            <v>0</v>
          </cell>
        </row>
        <row r="2137">
          <cell r="B2137">
            <v>0</v>
          </cell>
          <cell r="C2137">
            <v>0</v>
          </cell>
          <cell r="D2137">
            <v>0</v>
          </cell>
        </row>
        <row r="2138">
          <cell r="B2138">
            <v>0</v>
          </cell>
          <cell r="C2138">
            <v>0</v>
          </cell>
          <cell r="D2138">
            <v>0</v>
          </cell>
        </row>
        <row r="2139">
          <cell r="B2139">
            <v>0</v>
          </cell>
          <cell r="C2139">
            <v>0</v>
          </cell>
          <cell r="D2139">
            <v>0</v>
          </cell>
        </row>
        <row r="2140">
          <cell r="B2140">
            <v>0</v>
          </cell>
          <cell r="C2140">
            <v>0</v>
          </cell>
          <cell r="D2140">
            <v>0</v>
          </cell>
        </row>
        <row r="2141">
          <cell r="B2141">
            <v>0</v>
          </cell>
          <cell r="C2141">
            <v>0</v>
          </cell>
          <cell r="D2141">
            <v>0</v>
          </cell>
        </row>
        <row r="2142">
          <cell r="B2142">
            <v>0</v>
          </cell>
          <cell r="C2142">
            <v>0</v>
          </cell>
          <cell r="D2142">
            <v>0</v>
          </cell>
        </row>
        <row r="2143">
          <cell r="B2143">
            <v>0</v>
          </cell>
          <cell r="C2143">
            <v>0</v>
          </cell>
          <cell r="D2143">
            <v>0</v>
          </cell>
        </row>
        <row r="2144">
          <cell r="B2144">
            <v>0</v>
          </cell>
          <cell r="C2144">
            <v>0</v>
          </cell>
          <cell r="D2144">
            <v>0</v>
          </cell>
        </row>
        <row r="2145">
          <cell r="B2145">
            <v>0</v>
          </cell>
          <cell r="C2145">
            <v>0</v>
          </cell>
          <cell r="D2145">
            <v>0</v>
          </cell>
        </row>
        <row r="2146">
          <cell r="B2146">
            <v>0</v>
          </cell>
          <cell r="C2146">
            <v>0</v>
          </cell>
          <cell r="D2146">
            <v>0</v>
          </cell>
        </row>
        <row r="2147">
          <cell r="B2147">
            <v>0</v>
          </cell>
          <cell r="C2147">
            <v>0</v>
          </cell>
          <cell r="D2147">
            <v>0</v>
          </cell>
        </row>
        <row r="2148">
          <cell r="B2148">
            <v>0</v>
          </cell>
          <cell r="C2148">
            <v>0</v>
          </cell>
          <cell r="D2148">
            <v>0</v>
          </cell>
        </row>
        <row r="2149">
          <cell r="B2149">
            <v>0</v>
          </cell>
          <cell r="C2149">
            <v>0</v>
          </cell>
          <cell r="D2149">
            <v>0</v>
          </cell>
        </row>
        <row r="2150">
          <cell r="B2150">
            <v>0</v>
          </cell>
          <cell r="C2150">
            <v>0</v>
          </cell>
          <cell r="D2150">
            <v>0</v>
          </cell>
        </row>
        <row r="2151">
          <cell r="B2151">
            <v>0</v>
          </cell>
          <cell r="C2151">
            <v>0</v>
          </cell>
          <cell r="D2151">
            <v>0</v>
          </cell>
        </row>
        <row r="2152">
          <cell r="B2152">
            <v>0</v>
          </cell>
          <cell r="C2152">
            <v>0</v>
          </cell>
          <cell r="D2152">
            <v>0</v>
          </cell>
        </row>
        <row r="2153">
          <cell r="B2153">
            <v>0</v>
          </cell>
          <cell r="C2153">
            <v>0</v>
          </cell>
          <cell r="D2153">
            <v>0</v>
          </cell>
        </row>
        <row r="2154">
          <cell r="B2154">
            <v>0</v>
          </cell>
          <cell r="C2154">
            <v>0</v>
          </cell>
          <cell r="D2154">
            <v>0</v>
          </cell>
        </row>
        <row r="2155">
          <cell r="B2155">
            <v>0</v>
          </cell>
          <cell r="C2155">
            <v>0</v>
          </cell>
          <cell r="D2155">
            <v>0</v>
          </cell>
        </row>
        <row r="2156">
          <cell r="B2156">
            <v>0</v>
          </cell>
          <cell r="C2156">
            <v>0</v>
          </cell>
          <cell r="D2156">
            <v>0</v>
          </cell>
        </row>
        <row r="2157">
          <cell r="B2157">
            <v>0</v>
          </cell>
          <cell r="C2157">
            <v>0</v>
          </cell>
          <cell r="D2157">
            <v>0</v>
          </cell>
        </row>
        <row r="2158">
          <cell r="B2158">
            <v>0</v>
          </cell>
          <cell r="C2158">
            <v>0</v>
          </cell>
          <cell r="D2158">
            <v>0</v>
          </cell>
        </row>
        <row r="2159">
          <cell r="B2159">
            <v>0</v>
          </cell>
          <cell r="C2159">
            <v>0</v>
          </cell>
          <cell r="D2159">
            <v>0</v>
          </cell>
        </row>
        <row r="2160">
          <cell r="B2160">
            <v>0</v>
          </cell>
          <cell r="C2160">
            <v>0</v>
          </cell>
          <cell r="D2160">
            <v>0</v>
          </cell>
        </row>
        <row r="2161">
          <cell r="B2161">
            <v>0</v>
          </cell>
          <cell r="C2161">
            <v>0</v>
          </cell>
          <cell r="D2161">
            <v>0</v>
          </cell>
        </row>
        <row r="2162">
          <cell r="B2162">
            <v>0</v>
          </cell>
          <cell r="C2162">
            <v>0</v>
          </cell>
          <cell r="D2162">
            <v>0</v>
          </cell>
        </row>
        <row r="2163">
          <cell r="B2163">
            <v>0</v>
          </cell>
          <cell r="C2163">
            <v>0</v>
          </cell>
          <cell r="D2163">
            <v>0</v>
          </cell>
        </row>
        <row r="2164">
          <cell r="B2164">
            <v>0</v>
          </cell>
          <cell r="C2164">
            <v>0</v>
          </cell>
          <cell r="D2164">
            <v>0</v>
          </cell>
        </row>
        <row r="2165">
          <cell r="B2165">
            <v>0</v>
          </cell>
          <cell r="C2165">
            <v>0</v>
          </cell>
          <cell r="D2165">
            <v>0</v>
          </cell>
        </row>
        <row r="2166">
          <cell r="B2166">
            <v>0</v>
          </cell>
          <cell r="C2166">
            <v>0</v>
          </cell>
          <cell r="D2166">
            <v>0</v>
          </cell>
        </row>
        <row r="2167">
          <cell r="B2167">
            <v>0</v>
          </cell>
          <cell r="C2167">
            <v>0</v>
          </cell>
          <cell r="D2167">
            <v>0</v>
          </cell>
        </row>
        <row r="2168">
          <cell r="B2168">
            <v>0</v>
          </cell>
          <cell r="C2168">
            <v>0</v>
          </cell>
          <cell r="D2168">
            <v>0</v>
          </cell>
        </row>
        <row r="2169">
          <cell r="B2169">
            <v>0</v>
          </cell>
          <cell r="C2169">
            <v>0</v>
          </cell>
          <cell r="D2169">
            <v>0</v>
          </cell>
        </row>
        <row r="2170">
          <cell r="B2170">
            <v>0</v>
          </cell>
          <cell r="C2170">
            <v>0</v>
          </cell>
          <cell r="D2170">
            <v>0</v>
          </cell>
        </row>
        <row r="2171">
          <cell r="B2171">
            <v>0</v>
          </cell>
          <cell r="C2171">
            <v>0</v>
          </cell>
          <cell r="D2171">
            <v>0</v>
          </cell>
        </row>
        <row r="2172">
          <cell r="B2172">
            <v>0</v>
          </cell>
          <cell r="C2172">
            <v>0</v>
          </cell>
          <cell r="D2172">
            <v>0</v>
          </cell>
        </row>
        <row r="2173">
          <cell r="B2173">
            <v>0</v>
          </cell>
          <cell r="C2173">
            <v>0</v>
          </cell>
          <cell r="D2173">
            <v>0</v>
          </cell>
        </row>
        <row r="2174">
          <cell r="B2174">
            <v>0</v>
          </cell>
          <cell r="C2174">
            <v>0</v>
          </cell>
          <cell r="D2174">
            <v>0</v>
          </cell>
        </row>
        <row r="2175">
          <cell r="B2175">
            <v>0</v>
          </cell>
          <cell r="C2175">
            <v>0</v>
          </cell>
          <cell r="D2175">
            <v>0</v>
          </cell>
        </row>
        <row r="2176">
          <cell r="B2176">
            <v>0</v>
          </cell>
          <cell r="C2176">
            <v>0</v>
          </cell>
          <cell r="D2176">
            <v>0</v>
          </cell>
        </row>
        <row r="2177">
          <cell r="B2177">
            <v>0</v>
          </cell>
          <cell r="C2177">
            <v>0</v>
          </cell>
          <cell r="D2177">
            <v>0</v>
          </cell>
        </row>
        <row r="2178">
          <cell r="B2178">
            <v>0</v>
          </cell>
          <cell r="C2178">
            <v>0</v>
          </cell>
          <cell r="D2178">
            <v>0</v>
          </cell>
        </row>
        <row r="2179">
          <cell r="B2179">
            <v>0</v>
          </cell>
          <cell r="C2179">
            <v>0</v>
          </cell>
          <cell r="D2179">
            <v>0</v>
          </cell>
        </row>
        <row r="2180">
          <cell r="B2180">
            <v>0</v>
          </cell>
          <cell r="C2180">
            <v>0</v>
          </cell>
          <cell r="D2180">
            <v>0</v>
          </cell>
        </row>
        <row r="2181">
          <cell r="B2181">
            <v>0</v>
          </cell>
          <cell r="C2181">
            <v>0</v>
          </cell>
          <cell r="D2181">
            <v>0</v>
          </cell>
        </row>
        <row r="2182">
          <cell r="B2182">
            <v>0</v>
          </cell>
          <cell r="C2182">
            <v>0</v>
          </cell>
          <cell r="D2182">
            <v>0</v>
          </cell>
        </row>
        <row r="2183">
          <cell r="B2183">
            <v>0</v>
          </cell>
          <cell r="C2183">
            <v>0</v>
          </cell>
          <cell r="D2183">
            <v>0</v>
          </cell>
        </row>
        <row r="2184">
          <cell r="B2184">
            <v>0</v>
          </cell>
          <cell r="C2184">
            <v>0</v>
          </cell>
          <cell r="D2184">
            <v>0</v>
          </cell>
        </row>
        <row r="2185">
          <cell r="B2185">
            <v>0</v>
          </cell>
          <cell r="C2185">
            <v>0</v>
          </cell>
          <cell r="D2185">
            <v>0</v>
          </cell>
        </row>
        <row r="2186">
          <cell r="B2186">
            <v>0</v>
          </cell>
          <cell r="C2186">
            <v>0</v>
          </cell>
          <cell r="D2186">
            <v>0</v>
          </cell>
        </row>
        <row r="2187">
          <cell r="B2187">
            <v>0</v>
          </cell>
          <cell r="C2187">
            <v>0</v>
          </cell>
          <cell r="D2187">
            <v>0</v>
          </cell>
        </row>
        <row r="2188">
          <cell r="B2188">
            <v>0</v>
          </cell>
          <cell r="C2188">
            <v>0</v>
          </cell>
          <cell r="D2188">
            <v>0</v>
          </cell>
        </row>
        <row r="2189">
          <cell r="B2189">
            <v>0</v>
          </cell>
          <cell r="C2189">
            <v>0</v>
          </cell>
          <cell r="D2189">
            <v>0</v>
          </cell>
        </row>
        <row r="2190">
          <cell r="B2190">
            <v>0</v>
          </cell>
          <cell r="C2190">
            <v>0</v>
          </cell>
          <cell r="D2190">
            <v>0</v>
          </cell>
        </row>
        <row r="2191">
          <cell r="B2191">
            <v>0</v>
          </cell>
          <cell r="C2191">
            <v>0</v>
          </cell>
          <cell r="D2191">
            <v>0</v>
          </cell>
        </row>
        <row r="2192">
          <cell r="B2192">
            <v>0</v>
          </cell>
          <cell r="C2192">
            <v>0</v>
          </cell>
          <cell r="D2192">
            <v>0</v>
          </cell>
        </row>
        <row r="2193">
          <cell r="B2193">
            <v>0</v>
          </cell>
          <cell r="C2193">
            <v>0</v>
          </cell>
          <cell r="D2193">
            <v>0</v>
          </cell>
        </row>
        <row r="2194">
          <cell r="B2194">
            <v>0</v>
          </cell>
          <cell r="C2194">
            <v>0</v>
          </cell>
          <cell r="D2194">
            <v>0</v>
          </cell>
        </row>
        <row r="2195">
          <cell r="B2195">
            <v>0</v>
          </cell>
          <cell r="C2195">
            <v>0</v>
          </cell>
          <cell r="D2195">
            <v>0</v>
          </cell>
        </row>
        <row r="2196">
          <cell r="B2196">
            <v>0</v>
          </cell>
          <cell r="C2196">
            <v>0</v>
          </cell>
          <cell r="D2196">
            <v>0</v>
          </cell>
        </row>
        <row r="2197">
          <cell r="B2197">
            <v>0</v>
          </cell>
          <cell r="C2197">
            <v>0</v>
          </cell>
          <cell r="D2197">
            <v>0</v>
          </cell>
        </row>
        <row r="2198">
          <cell r="B2198">
            <v>0</v>
          </cell>
          <cell r="C2198">
            <v>0</v>
          </cell>
          <cell r="D2198">
            <v>0</v>
          </cell>
        </row>
        <row r="2199">
          <cell r="B2199">
            <v>0</v>
          </cell>
          <cell r="C2199">
            <v>0</v>
          </cell>
          <cell r="D2199">
            <v>0</v>
          </cell>
        </row>
        <row r="2200">
          <cell r="B2200">
            <v>0</v>
          </cell>
          <cell r="C2200">
            <v>0</v>
          </cell>
          <cell r="D2200">
            <v>0</v>
          </cell>
        </row>
        <row r="2201">
          <cell r="B2201">
            <v>0</v>
          </cell>
          <cell r="C2201">
            <v>0</v>
          </cell>
          <cell r="D2201">
            <v>0</v>
          </cell>
        </row>
        <row r="2202">
          <cell r="B2202">
            <v>0</v>
          </cell>
          <cell r="C2202">
            <v>0</v>
          </cell>
          <cell r="D2202">
            <v>0</v>
          </cell>
        </row>
        <row r="2203">
          <cell r="B2203">
            <v>0</v>
          </cell>
          <cell r="C2203">
            <v>0</v>
          </cell>
          <cell r="D2203">
            <v>0</v>
          </cell>
        </row>
        <row r="2204">
          <cell r="B2204">
            <v>0</v>
          </cell>
          <cell r="C2204">
            <v>0</v>
          </cell>
          <cell r="D2204">
            <v>0</v>
          </cell>
        </row>
        <row r="2205">
          <cell r="B2205">
            <v>0</v>
          </cell>
          <cell r="C2205">
            <v>0</v>
          </cell>
          <cell r="D2205">
            <v>0</v>
          </cell>
        </row>
        <row r="2206">
          <cell r="B2206">
            <v>0</v>
          </cell>
          <cell r="C2206">
            <v>0</v>
          </cell>
          <cell r="D2206">
            <v>0</v>
          </cell>
        </row>
        <row r="2207">
          <cell r="B2207">
            <v>0</v>
          </cell>
          <cell r="C2207">
            <v>0</v>
          </cell>
          <cell r="D2207">
            <v>0</v>
          </cell>
        </row>
        <row r="2208">
          <cell r="B2208">
            <v>0</v>
          </cell>
          <cell r="C2208">
            <v>0</v>
          </cell>
          <cell r="D2208">
            <v>0</v>
          </cell>
        </row>
        <row r="2209">
          <cell r="B2209">
            <v>0</v>
          </cell>
          <cell r="C2209">
            <v>0</v>
          </cell>
          <cell r="D2209">
            <v>0</v>
          </cell>
        </row>
        <row r="2210">
          <cell r="B2210">
            <v>0</v>
          </cell>
          <cell r="C2210">
            <v>0</v>
          </cell>
          <cell r="D2210">
            <v>0</v>
          </cell>
        </row>
        <row r="2211">
          <cell r="B2211">
            <v>0</v>
          </cell>
          <cell r="C2211">
            <v>0</v>
          </cell>
          <cell r="D2211">
            <v>0</v>
          </cell>
        </row>
        <row r="2212">
          <cell r="B2212">
            <v>0</v>
          </cell>
          <cell r="C2212">
            <v>0</v>
          </cell>
          <cell r="D2212">
            <v>0</v>
          </cell>
        </row>
        <row r="2213">
          <cell r="B2213">
            <v>0</v>
          </cell>
          <cell r="C2213">
            <v>0</v>
          </cell>
          <cell r="D2213">
            <v>0</v>
          </cell>
        </row>
        <row r="2214">
          <cell r="B2214">
            <v>0</v>
          </cell>
          <cell r="C2214">
            <v>0</v>
          </cell>
          <cell r="D2214">
            <v>0</v>
          </cell>
        </row>
        <row r="2215">
          <cell r="B2215">
            <v>0</v>
          </cell>
          <cell r="C2215">
            <v>0</v>
          </cell>
          <cell r="D2215">
            <v>0</v>
          </cell>
        </row>
        <row r="2216">
          <cell r="B2216">
            <v>0</v>
          </cell>
          <cell r="C2216">
            <v>0</v>
          </cell>
          <cell r="D2216">
            <v>0</v>
          </cell>
        </row>
        <row r="2217">
          <cell r="B2217">
            <v>0</v>
          </cell>
          <cell r="C2217">
            <v>0</v>
          </cell>
          <cell r="D2217">
            <v>0</v>
          </cell>
        </row>
        <row r="2218">
          <cell r="B2218">
            <v>0</v>
          </cell>
          <cell r="C2218">
            <v>0</v>
          </cell>
          <cell r="D2218">
            <v>0</v>
          </cell>
        </row>
        <row r="2219">
          <cell r="B2219">
            <v>0</v>
          </cell>
          <cell r="C2219">
            <v>0</v>
          </cell>
          <cell r="D2219">
            <v>0</v>
          </cell>
        </row>
        <row r="2220">
          <cell r="B2220">
            <v>0</v>
          </cell>
          <cell r="C2220">
            <v>0</v>
          </cell>
          <cell r="D2220">
            <v>0</v>
          </cell>
        </row>
        <row r="2221">
          <cell r="B2221">
            <v>0</v>
          </cell>
          <cell r="C2221">
            <v>0</v>
          </cell>
          <cell r="D2221">
            <v>0</v>
          </cell>
        </row>
        <row r="2222">
          <cell r="B2222">
            <v>0</v>
          </cell>
          <cell r="C2222">
            <v>0</v>
          </cell>
          <cell r="D2222">
            <v>0</v>
          </cell>
        </row>
        <row r="2223">
          <cell r="B2223">
            <v>0</v>
          </cell>
          <cell r="C2223">
            <v>0</v>
          </cell>
          <cell r="D2223">
            <v>0</v>
          </cell>
        </row>
        <row r="2224">
          <cell r="B2224">
            <v>0</v>
          </cell>
          <cell r="C2224">
            <v>0</v>
          </cell>
          <cell r="D2224">
            <v>0</v>
          </cell>
        </row>
        <row r="2225">
          <cell r="B2225">
            <v>0</v>
          </cell>
          <cell r="C2225">
            <v>0</v>
          </cell>
          <cell r="D2225">
            <v>0</v>
          </cell>
        </row>
        <row r="2226">
          <cell r="B2226">
            <v>0</v>
          </cell>
          <cell r="C2226">
            <v>0</v>
          </cell>
          <cell r="D2226">
            <v>0</v>
          </cell>
        </row>
        <row r="2227">
          <cell r="B2227">
            <v>0</v>
          </cell>
          <cell r="C2227">
            <v>0</v>
          </cell>
          <cell r="D2227">
            <v>0</v>
          </cell>
        </row>
        <row r="2228">
          <cell r="B2228">
            <v>0</v>
          </cell>
          <cell r="C2228">
            <v>0</v>
          </cell>
          <cell r="D2228">
            <v>0</v>
          </cell>
        </row>
        <row r="2229">
          <cell r="B2229">
            <v>0</v>
          </cell>
          <cell r="C2229">
            <v>0</v>
          </cell>
          <cell r="D2229">
            <v>0</v>
          </cell>
        </row>
        <row r="2230">
          <cell r="B2230">
            <v>0</v>
          </cell>
          <cell r="C2230">
            <v>0</v>
          </cell>
          <cell r="D2230">
            <v>0</v>
          </cell>
        </row>
        <row r="2231">
          <cell r="B2231">
            <v>0</v>
          </cell>
          <cell r="C2231">
            <v>0</v>
          </cell>
          <cell r="D2231">
            <v>0</v>
          </cell>
        </row>
        <row r="2232">
          <cell r="B2232">
            <v>0</v>
          </cell>
          <cell r="C2232">
            <v>0</v>
          </cell>
          <cell r="D2232">
            <v>0</v>
          </cell>
        </row>
        <row r="2233">
          <cell r="B2233">
            <v>0</v>
          </cell>
          <cell r="C2233">
            <v>0</v>
          </cell>
          <cell r="D2233">
            <v>0</v>
          </cell>
        </row>
        <row r="2234">
          <cell r="B2234">
            <v>0</v>
          </cell>
          <cell r="C2234">
            <v>0</v>
          </cell>
          <cell r="D2234">
            <v>0</v>
          </cell>
        </row>
        <row r="2235">
          <cell r="B2235">
            <v>0</v>
          </cell>
          <cell r="C2235">
            <v>0</v>
          </cell>
          <cell r="D2235">
            <v>0</v>
          </cell>
        </row>
        <row r="2236">
          <cell r="B2236">
            <v>0</v>
          </cell>
          <cell r="C2236">
            <v>0</v>
          </cell>
          <cell r="D2236">
            <v>0</v>
          </cell>
        </row>
        <row r="2237">
          <cell r="B2237">
            <v>0</v>
          </cell>
          <cell r="C2237">
            <v>0</v>
          </cell>
          <cell r="D2237">
            <v>0</v>
          </cell>
        </row>
        <row r="2238">
          <cell r="B2238">
            <v>0</v>
          </cell>
          <cell r="C2238">
            <v>0</v>
          </cell>
          <cell r="D2238">
            <v>0</v>
          </cell>
        </row>
        <row r="2239">
          <cell r="B2239">
            <v>0</v>
          </cell>
          <cell r="C2239">
            <v>0</v>
          </cell>
          <cell r="D2239">
            <v>0</v>
          </cell>
        </row>
        <row r="2240">
          <cell r="B2240">
            <v>0</v>
          </cell>
          <cell r="C2240">
            <v>0</v>
          </cell>
          <cell r="D2240">
            <v>0</v>
          </cell>
        </row>
        <row r="2241">
          <cell r="B2241">
            <v>0</v>
          </cell>
          <cell r="C2241">
            <v>0</v>
          </cell>
          <cell r="D2241">
            <v>0</v>
          </cell>
        </row>
        <row r="2242">
          <cell r="B2242">
            <v>0</v>
          </cell>
          <cell r="C2242">
            <v>0</v>
          </cell>
          <cell r="D2242">
            <v>0</v>
          </cell>
        </row>
        <row r="2243">
          <cell r="B2243">
            <v>0</v>
          </cell>
          <cell r="C2243">
            <v>0</v>
          </cell>
          <cell r="D2243">
            <v>0</v>
          </cell>
        </row>
        <row r="2244">
          <cell r="B2244">
            <v>0</v>
          </cell>
          <cell r="C2244">
            <v>0</v>
          </cell>
          <cell r="D2244">
            <v>0</v>
          </cell>
        </row>
        <row r="2245">
          <cell r="B2245">
            <v>0</v>
          </cell>
          <cell r="C2245">
            <v>0</v>
          </cell>
          <cell r="D2245">
            <v>0</v>
          </cell>
        </row>
        <row r="2246">
          <cell r="B2246">
            <v>0</v>
          </cell>
          <cell r="C2246">
            <v>0</v>
          </cell>
          <cell r="D2246">
            <v>0</v>
          </cell>
        </row>
        <row r="2247">
          <cell r="B2247">
            <v>0</v>
          </cell>
          <cell r="C2247">
            <v>0</v>
          </cell>
          <cell r="D2247">
            <v>0</v>
          </cell>
        </row>
        <row r="2248">
          <cell r="B2248">
            <v>0</v>
          </cell>
          <cell r="C2248">
            <v>0</v>
          </cell>
          <cell r="D2248">
            <v>0</v>
          </cell>
        </row>
        <row r="2249">
          <cell r="B2249">
            <v>0</v>
          </cell>
          <cell r="C2249">
            <v>0</v>
          </cell>
          <cell r="D2249">
            <v>0</v>
          </cell>
        </row>
        <row r="2250">
          <cell r="B2250">
            <v>0</v>
          </cell>
          <cell r="C2250">
            <v>0</v>
          </cell>
          <cell r="D2250">
            <v>0</v>
          </cell>
        </row>
        <row r="2251">
          <cell r="B2251">
            <v>0</v>
          </cell>
          <cell r="C2251">
            <v>0</v>
          </cell>
          <cell r="D2251">
            <v>0</v>
          </cell>
        </row>
        <row r="2252">
          <cell r="B2252">
            <v>0</v>
          </cell>
          <cell r="C2252">
            <v>0</v>
          </cell>
          <cell r="D2252">
            <v>0</v>
          </cell>
        </row>
        <row r="2253">
          <cell r="B2253">
            <v>0</v>
          </cell>
          <cell r="C2253">
            <v>0</v>
          </cell>
          <cell r="D2253">
            <v>0</v>
          </cell>
        </row>
        <row r="2254">
          <cell r="B2254">
            <v>0</v>
          </cell>
          <cell r="C2254">
            <v>0</v>
          </cell>
          <cell r="D2254">
            <v>0</v>
          </cell>
        </row>
        <row r="2255">
          <cell r="B2255">
            <v>0</v>
          </cell>
          <cell r="C2255">
            <v>0</v>
          </cell>
          <cell r="D2255">
            <v>0</v>
          </cell>
        </row>
        <row r="2256">
          <cell r="B2256">
            <v>0</v>
          </cell>
          <cell r="C2256">
            <v>0</v>
          </cell>
          <cell r="D2256">
            <v>0</v>
          </cell>
        </row>
        <row r="2257">
          <cell r="B2257">
            <v>0</v>
          </cell>
          <cell r="C2257">
            <v>0</v>
          </cell>
          <cell r="D2257">
            <v>0</v>
          </cell>
        </row>
        <row r="2258">
          <cell r="B2258">
            <v>0</v>
          </cell>
          <cell r="C2258">
            <v>0</v>
          </cell>
          <cell r="D2258">
            <v>0</v>
          </cell>
        </row>
        <row r="2259">
          <cell r="B2259">
            <v>0</v>
          </cell>
          <cell r="C2259">
            <v>0</v>
          </cell>
          <cell r="D2259">
            <v>0</v>
          </cell>
        </row>
        <row r="2260">
          <cell r="B2260">
            <v>0</v>
          </cell>
          <cell r="C2260">
            <v>0</v>
          </cell>
          <cell r="D2260">
            <v>0</v>
          </cell>
        </row>
        <row r="2261">
          <cell r="B2261">
            <v>0</v>
          </cell>
          <cell r="C2261">
            <v>0</v>
          </cell>
          <cell r="D2261">
            <v>0</v>
          </cell>
        </row>
        <row r="2262">
          <cell r="B2262">
            <v>0</v>
          </cell>
          <cell r="C2262">
            <v>0</v>
          </cell>
          <cell r="D2262">
            <v>0</v>
          </cell>
        </row>
        <row r="2263">
          <cell r="B2263">
            <v>0</v>
          </cell>
          <cell r="C2263">
            <v>0</v>
          </cell>
          <cell r="D2263">
            <v>0</v>
          </cell>
        </row>
        <row r="2264">
          <cell r="B2264">
            <v>0</v>
          </cell>
          <cell r="C2264">
            <v>0</v>
          </cell>
          <cell r="D2264">
            <v>0</v>
          </cell>
        </row>
        <row r="2265">
          <cell r="B2265">
            <v>0</v>
          </cell>
          <cell r="C2265">
            <v>0</v>
          </cell>
          <cell r="D2265">
            <v>0</v>
          </cell>
        </row>
        <row r="2266">
          <cell r="B2266">
            <v>0</v>
          </cell>
          <cell r="C2266">
            <v>0</v>
          </cell>
          <cell r="D2266">
            <v>0</v>
          </cell>
        </row>
        <row r="2267">
          <cell r="B2267">
            <v>0</v>
          </cell>
          <cell r="C2267">
            <v>0</v>
          </cell>
          <cell r="D2267">
            <v>0</v>
          </cell>
        </row>
        <row r="2268">
          <cell r="B2268">
            <v>0</v>
          </cell>
          <cell r="C2268">
            <v>0</v>
          </cell>
          <cell r="D2268">
            <v>0</v>
          </cell>
        </row>
        <row r="2269">
          <cell r="B2269">
            <v>0</v>
          </cell>
          <cell r="C2269">
            <v>0</v>
          </cell>
          <cell r="D2269">
            <v>0</v>
          </cell>
        </row>
        <row r="2270">
          <cell r="B2270">
            <v>0</v>
          </cell>
          <cell r="C2270">
            <v>0</v>
          </cell>
          <cell r="D2270">
            <v>0</v>
          </cell>
        </row>
        <row r="2271">
          <cell r="B2271">
            <v>0</v>
          </cell>
          <cell r="C2271">
            <v>0</v>
          </cell>
          <cell r="D2271">
            <v>0</v>
          </cell>
        </row>
        <row r="2272">
          <cell r="B2272">
            <v>0</v>
          </cell>
          <cell r="C2272">
            <v>0</v>
          </cell>
          <cell r="D2272">
            <v>0</v>
          </cell>
        </row>
        <row r="2273">
          <cell r="B2273">
            <v>0</v>
          </cell>
          <cell r="C2273">
            <v>0</v>
          </cell>
          <cell r="D2273">
            <v>0</v>
          </cell>
        </row>
        <row r="2274">
          <cell r="B2274">
            <v>0</v>
          </cell>
          <cell r="C2274">
            <v>0</v>
          </cell>
          <cell r="D2274">
            <v>0</v>
          </cell>
        </row>
        <row r="2275">
          <cell r="B2275">
            <v>0</v>
          </cell>
          <cell r="C2275">
            <v>0</v>
          </cell>
          <cell r="D2275">
            <v>0</v>
          </cell>
        </row>
        <row r="2276">
          <cell r="B2276">
            <v>0</v>
          </cell>
          <cell r="C2276">
            <v>0</v>
          </cell>
          <cell r="D2276">
            <v>0</v>
          </cell>
        </row>
        <row r="2277">
          <cell r="B2277">
            <v>0</v>
          </cell>
          <cell r="C2277">
            <v>0</v>
          </cell>
          <cell r="D2277">
            <v>0</v>
          </cell>
        </row>
        <row r="2278">
          <cell r="B2278">
            <v>0</v>
          </cell>
          <cell r="C2278">
            <v>0</v>
          </cell>
          <cell r="D2278">
            <v>0</v>
          </cell>
        </row>
        <row r="2279">
          <cell r="B2279">
            <v>0</v>
          </cell>
          <cell r="C2279">
            <v>0</v>
          </cell>
          <cell r="D2279">
            <v>0</v>
          </cell>
        </row>
        <row r="2280">
          <cell r="B2280">
            <v>0</v>
          </cell>
          <cell r="C2280">
            <v>0</v>
          </cell>
          <cell r="D2280">
            <v>0</v>
          </cell>
        </row>
        <row r="2281">
          <cell r="B2281">
            <v>0</v>
          </cell>
          <cell r="C2281">
            <v>0</v>
          </cell>
          <cell r="D2281">
            <v>0</v>
          </cell>
        </row>
        <row r="2282">
          <cell r="B2282">
            <v>0</v>
          </cell>
          <cell r="C2282">
            <v>0</v>
          </cell>
          <cell r="D2282">
            <v>0</v>
          </cell>
        </row>
        <row r="2283">
          <cell r="B2283">
            <v>0</v>
          </cell>
          <cell r="C2283">
            <v>0</v>
          </cell>
          <cell r="D2283">
            <v>0</v>
          </cell>
        </row>
        <row r="2284">
          <cell r="B2284">
            <v>0</v>
          </cell>
          <cell r="C2284">
            <v>0</v>
          </cell>
          <cell r="D2284">
            <v>0</v>
          </cell>
        </row>
        <row r="2285">
          <cell r="B2285">
            <v>0</v>
          </cell>
          <cell r="C2285">
            <v>0</v>
          </cell>
          <cell r="D2285">
            <v>0</v>
          </cell>
        </row>
        <row r="2286">
          <cell r="B2286">
            <v>0</v>
          </cell>
          <cell r="C2286">
            <v>0</v>
          </cell>
          <cell r="D2286">
            <v>0</v>
          </cell>
        </row>
        <row r="2287">
          <cell r="B2287">
            <v>0</v>
          </cell>
          <cell r="C2287">
            <v>0</v>
          </cell>
          <cell r="D2287">
            <v>0</v>
          </cell>
        </row>
        <row r="2288">
          <cell r="B2288">
            <v>0</v>
          </cell>
          <cell r="C2288">
            <v>0</v>
          </cell>
          <cell r="D2288">
            <v>0</v>
          </cell>
        </row>
        <row r="2289">
          <cell r="B2289">
            <v>0</v>
          </cell>
          <cell r="C2289">
            <v>0</v>
          </cell>
          <cell r="D2289">
            <v>0</v>
          </cell>
        </row>
        <row r="2290">
          <cell r="B2290">
            <v>0</v>
          </cell>
          <cell r="C2290">
            <v>0</v>
          </cell>
          <cell r="D2290">
            <v>0</v>
          </cell>
        </row>
        <row r="2291">
          <cell r="B2291">
            <v>0</v>
          </cell>
          <cell r="C2291">
            <v>0</v>
          </cell>
          <cell r="D2291">
            <v>0</v>
          </cell>
        </row>
        <row r="2292">
          <cell r="B2292">
            <v>0</v>
          </cell>
          <cell r="C2292">
            <v>0</v>
          </cell>
          <cell r="D2292">
            <v>0</v>
          </cell>
        </row>
        <row r="2293">
          <cell r="B2293">
            <v>0</v>
          </cell>
          <cell r="C2293">
            <v>0</v>
          </cell>
          <cell r="D2293">
            <v>0</v>
          </cell>
        </row>
        <row r="2294">
          <cell r="B2294">
            <v>0</v>
          </cell>
          <cell r="C2294">
            <v>0</v>
          </cell>
          <cell r="D2294">
            <v>0</v>
          </cell>
        </row>
        <row r="2295">
          <cell r="B2295">
            <v>0</v>
          </cell>
          <cell r="C2295">
            <v>0</v>
          </cell>
          <cell r="D2295">
            <v>0</v>
          </cell>
        </row>
        <row r="2296">
          <cell r="B2296">
            <v>0</v>
          </cell>
          <cell r="C2296">
            <v>0</v>
          </cell>
          <cell r="D2296">
            <v>0</v>
          </cell>
        </row>
        <row r="2297">
          <cell r="B2297">
            <v>0</v>
          </cell>
          <cell r="C2297">
            <v>0</v>
          </cell>
          <cell r="D2297">
            <v>0</v>
          </cell>
        </row>
        <row r="2298">
          <cell r="B2298">
            <v>0</v>
          </cell>
          <cell r="C2298">
            <v>0</v>
          </cell>
          <cell r="D2298">
            <v>0</v>
          </cell>
        </row>
        <row r="2299">
          <cell r="B2299">
            <v>0</v>
          </cell>
          <cell r="C2299">
            <v>0</v>
          </cell>
          <cell r="D2299">
            <v>0</v>
          </cell>
        </row>
        <row r="2300">
          <cell r="B2300">
            <v>0</v>
          </cell>
          <cell r="C2300">
            <v>0</v>
          </cell>
          <cell r="D2300">
            <v>0</v>
          </cell>
        </row>
        <row r="2301">
          <cell r="B2301">
            <v>0</v>
          </cell>
          <cell r="C2301">
            <v>0</v>
          </cell>
          <cell r="D2301">
            <v>0</v>
          </cell>
        </row>
        <row r="2302">
          <cell r="B2302">
            <v>0</v>
          </cell>
          <cell r="C2302">
            <v>0</v>
          </cell>
          <cell r="D2302">
            <v>0</v>
          </cell>
        </row>
        <row r="2303">
          <cell r="B2303">
            <v>0</v>
          </cell>
          <cell r="C2303">
            <v>0</v>
          </cell>
          <cell r="D2303">
            <v>0</v>
          </cell>
        </row>
        <row r="2304">
          <cell r="B2304">
            <v>0</v>
          </cell>
          <cell r="C2304">
            <v>0</v>
          </cell>
          <cell r="D2304">
            <v>0</v>
          </cell>
        </row>
        <row r="2305">
          <cell r="B2305">
            <v>0</v>
          </cell>
          <cell r="C2305">
            <v>0</v>
          </cell>
          <cell r="D2305">
            <v>0</v>
          </cell>
        </row>
        <row r="2306">
          <cell r="B2306">
            <v>0</v>
          </cell>
          <cell r="C2306">
            <v>0</v>
          </cell>
          <cell r="D2306">
            <v>0</v>
          </cell>
        </row>
        <row r="2307">
          <cell r="B2307">
            <v>0</v>
          </cell>
          <cell r="C2307">
            <v>0</v>
          </cell>
          <cell r="D2307">
            <v>0</v>
          </cell>
        </row>
        <row r="2308">
          <cell r="B2308">
            <v>0</v>
          </cell>
          <cell r="C2308">
            <v>0</v>
          </cell>
          <cell r="D2308">
            <v>0</v>
          </cell>
        </row>
        <row r="2309">
          <cell r="B2309">
            <v>0</v>
          </cell>
          <cell r="C2309">
            <v>0</v>
          </cell>
          <cell r="D2309">
            <v>0</v>
          </cell>
        </row>
        <row r="2310">
          <cell r="B2310">
            <v>0</v>
          </cell>
          <cell r="C2310">
            <v>0</v>
          </cell>
          <cell r="D2310">
            <v>0</v>
          </cell>
        </row>
        <row r="2311">
          <cell r="B2311">
            <v>0</v>
          </cell>
          <cell r="C2311">
            <v>0</v>
          </cell>
          <cell r="D2311">
            <v>0</v>
          </cell>
        </row>
        <row r="2312">
          <cell r="B2312">
            <v>0</v>
          </cell>
          <cell r="C2312">
            <v>0</v>
          </cell>
          <cell r="D2312">
            <v>0</v>
          </cell>
        </row>
        <row r="2313">
          <cell r="B2313">
            <v>0</v>
          </cell>
          <cell r="C2313">
            <v>0</v>
          </cell>
          <cell r="D2313">
            <v>0</v>
          </cell>
        </row>
        <row r="2314">
          <cell r="B2314">
            <v>0</v>
          </cell>
          <cell r="C2314">
            <v>0</v>
          </cell>
          <cell r="D2314">
            <v>0</v>
          </cell>
        </row>
        <row r="2315">
          <cell r="B2315">
            <v>0</v>
          </cell>
          <cell r="C2315">
            <v>0</v>
          </cell>
          <cell r="D2315">
            <v>0</v>
          </cell>
        </row>
        <row r="2316">
          <cell r="B2316">
            <v>0</v>
          </cell>
          <cell r="C2316">
            <v>0</v>
          </cell>
          <cell r="D2316">
            <v>0</v>
          </cell>
        </row>
        <row r="2317">
          <cell r="B2317">
            <v>0</v>
          </cell>
          <cell r="C2317">
            <v>0</v>
          </cell>
          <cell r="D2317">
            <v>0</v>
          </cell>
        </row>
        <row r="2318">
          <cell r="B2318">
            <v>0</v>
          </cell>
          <cell r="C2318">
            <v>0</v>
          </cell>
          <cell r="D2318">
            <v>0</v>
          </cell>
        </row>
        <row r="2319">
          <cell r="B2319">
            <v>0</v>
          </cell>
          <cell r="C2319">
            <v>0</v>
          </cell>
          <cell r="D2319">
            <v>0</v>
          </cell>
        </row>
        <row r="2320">
          <cell r="B2320">
            <v>0</v>
          </cell>
          <cell r="C2320">
            <v>0</v>
          </cell>
          <cell r="D2320">
            <v>0</v>
          </cell>
        </row>
        <row r="2321">
          <cell r="B2321">
            <v>0</v>
          </cell>
          <cell r="C2321">
            <v>0</v>
          </cell>
          <cell r="D2321">
            <v>0</v>
          </cell>
        </row>
        <row r="2322">
          <cell r="B2322">
            <v>0</v>
          </cell>
          <cell r="C2322">
            <v>0</v>
          </cell>
          <cell r="D2322">
            <v>0</v>
          </cell>
        </row>
        <row r="2323">
          <cell r="B2323">
            <v>0</v>
          </cell>
          <cell r="C2323">
            <v>0</v>
          </cell>
          <cell r="D2323">
            <v>0</v>
          </cell>
        </row>
        <row r="2324">
          <cell r="B2324">
            <v>0</v>
          </cell>
          <cell r="C2324">
            <v>0</v>
          </cell>
          <cell r="D2324">
            <v>0</v>
          </cell>
        </row>
        <row r="2325">
          <cell r="B2325">
            <v>0</v>
          </cell>
          <cell r="C2325">
            <v>0</v>
          </cell>
          <cell r="D2325">
            <v>0</v>
          </cell>
        </row>
        <row r="2326">
          <cell r="B2326">
            <v>0</v>
          </cell>
          <cell r="C2326">
            <v>0</v>
          </cell>
          <cell r="D2326">
            <v>0</v>
          </cell>
        </row>
        <row r="2327">
          <cell r="B2327">
            <v>0</v>
          </cell>
          <cell r="C2327">
            <v>0</v>
          </cell>
          <cell r="D2327">
            <v>0</v>
          </cell>
        </row>
        <row r="2328">
          <cell r="B2328">
            <v>0</v>
          </cell>
          <cell r="C2328">
            <v>0</v>
          </cell>
          <cell r="D2328">
            <v>0</v>
          </cell>
        </row>
        <row r="2329">
          <cell r="B2329">
            <v>0</v>
          </cell>
          <cell r="C2329">
            <v>0</v>
          </cell>
          <cell r="D2329">
            <v>0</v>
          </cell>
        </row>
        <row r="2330">
          <cell r="B2330">
            <v>0</v>
          </cell>
          <cell r="C2330">
            <v>0</v>
          </cell>
          <cell r="D2330">
            <v>0</v>
          </cell>
        </row>
        <row r="2331">
          <cell r="B2331">
            <v>0</v>
          </cell>
          <cell r="C2331">
            <v>0</v>
          </cell>
          <cell r="D2331">
            <v>0</v>
          </cell>
        </row>
        <row r="2332">
          <cell r="B2332">
            <v>0</v>
          </cell>
          <cell r="C2332">
            <v>0</v>
          </cell>
          <cell r="D2332">
            <v>0</v>
          </cell>
        </row>
        <row r="2333">
          <cell r="B2333">
            <v>0</v>
          </cell>
          <cell r="C2333">
            <v>0</v>
          </cell>
          <cell r="D2333">
            <v>0</v>
          </cell>
        </row>
        <row r="2334">
          <cell r="B2334">
            <v>0</v>
          </cell>
          <cell r="C2334">
            <v>0</v>
          </cell>
          <cell r="D2334">
            <v>0</v>
          </cell>
        </row>
        <row r="2335">
          <cell r="B2335">
            <v>0</v>
          </cell>
          <cell r="C2335">
            <v>0</v>
          </cell>
          <cell r="D2335">
            <v>0</v>
          </cell>
        </row>
        <row r="2336">
          <cell r="B2336">
            <v>0</v>
          </cell>
          <cell r="C2336">
            <v>0</v>
          </cell>
          <cell r="D2336">
            <v>0</v>
          </cell>
        </row>
        <row r="2337">
          <cell r="B2337">
            <v>0</v>
          </cell>
          <cell r="C2337">
            <v>0</v>
          </cell>
          <cell r="D2337">
            <v>0</v>
          </cell>
        </row>
        <row r="2338">
          <cell r="B2338">
            <v>0</v>
          </cell>
          <cell r="C2338">
            <v>0</v>
          </cell>
          <cell r="D2338">
            <v>0</v>
          </cell>
        </row>
        <row r="2339">
          <cell r="B2339">
            <v>0</v>
          </cell>
          <cell r="C2339">
            <v>0</v>
          </cell>
          <cell r="D2339">
            <v>0</v>
          </cell>
        </row>
        <row r="2340">
          <cell r="B2340">
            <v>0</v>
          </cell>
          <cell r="C2340">
            <v>0</v>
          </cell>
          <cell r="D2340">
            <v>0</v>
          </cell>
        </row>
        <row r="2341">
          <cell r="B2341">
            <v>0</v>
          </cell>
          <cell r="C2341">
            <v>0</v>
          </cell>
          <cell r="D2341">
            <v>0</v>
          </cell>
        </row>
        <row r="2342">
          <cell r="B2342">
            <v>0</v>
          </cell>
          <cell r="C2342">
            <v>0</v>
          </cell>
          <cell r="D2342">
            <v>0</v>
          </cell>
        </row>
        <row r="2343">
          <cell r="B2343">
            <v>0</v>
          </cell>
          <cell r="C2343">
            <v>0</v>
          </cell>
          <cell r="D2343">
            <v>0</v>
          </cell>
        </row>
        <row r="2344">
          <cell r="B2344">
            <v>0</v>
          </cell>
          <cell r="C2344">
            <v>0</v>
          </cell>
          <cell r="D2344">
            <v>0</v>
          </cell>
        </row>
        <row r="2345">
          <cell r="B2345">
            <v>0</v>
          </cell>
          <cell r="C2345">
            <v>0</v>
          </cell>
          <cell r="D2345">
            <v>0</v>
          </cell>
        </row>
        <row r="2346">
          <cell r="B2346">
            <v>0</v>
          </cell>
          <cell r="C2346">
            <v>0</v>
          </cell>
          <cell r="D2346">
            <v>0</v>
          </cell>
        </row>
        <row r="2347">
          <cell r="B2347">
            <v>0</v>
          </cell>
          <cell r="C2347">
            <v>0</v>
          </cell>
          <cell r="D2347">
            <v>0</v>
          </cell>
        </row>
        <row r="2348">
          <cell r="B2348">
            <v>0</v>
          </cell>
          <cell r="C2348">
            <v>0</v>
          </cell>
          <cell r="D2348">
            <v>0</v>
          </cell>
        </row>
        <row r="2349">
          <cell r="B2349">
            <v>0</v>
          </cell>
          <cell r="C2349">
            <v>0</v>
          </cell>
          <cell r="D2349">
            <v>0</v>
          </cell>
        </row>
        <row r="2350">
          <cell r="B2350">
            <v>0</v>
          </cell>
          <cell r="C2350">
            <v>0</v>
          </cell>
          <cell r="D2350">
            <v>0</v>
          </cell>
        </row>
        <row r="2351">
          <cell r="B2351">
            <v>0</v>
          </cell>
          <cell r="C2351">
            <v>0</v>
          </cell>
          <cell r="D2351">
            <v>0</v>
          </cell>
        </row>
        <row r="2352">
          <cell r="B2352">
            <v>0</v>
          </cell>
          <cell r="C2352">
            <v>0</v>
          </cell>
          <cell r="D2352">
            <v>0</v>
          </cell>
        </row>
        <row r="2353">
          <cell r="B2353">
            <v>0</v>
          </cell>
          <cell r="C2353">
            <v>0</v>
          </cell>
          <cell r="D2353">
            <v>0</v>
          </cell>
        </row>
        <row r="2354">
          <cell r="B2354">
            <v>0</v>
          </cell>
          <cell r="C2354">
            <v>0</v>
          </cell>
          <cell r="D2354">
            <v>0</v>
          </cell>
        </row>
        <row r="2355">
          <cell r="B2355">
            <v>0</v>
          </cell>
          <cell r="C2355">
            <v>0</v>
          </cell>
          <cell r="D2355">
            <v>0</v>
          </cell>
        </row>
        <row r="2356">
          <cell r="B2356">
            <v>0</v>
          </cell>
          <cell r="C2356">
            <v>0</v>
          </cell>
          <cell r="D2356">
            <v>0</v>
          </cell>
        </row>
        <row r="2357">
          <cell r="B2357">
            <v>0</v>
          </cell>
          <cell r="C2357">
            <v>0</v>
          </cell>
          <cell r="D2357">
            <v>0</v>
          </cell>
        </row>
        <row r="2358">
          <cell r="B2358">
            <v>0</v>
          </cell>
          <cell r="C2358">
            <v>0</v>
          </cell>
          <cell r="D2358">
            <v>0</v>
          </cell>
        </row>
        <row r="2359">
          <cell r="B2359">
            <v>0</v>
          </cell>
          <cell r="C2359">
            <v>0</v>
          </cell>
          <cell r="D2359">
            <v>0</v>
          </cell>
        </row>
        <row r="2360">
          <cell r="B2360">
            <v>0</v>
          </cell>
          <cell r="C2360">
            <v>0</v>
          </cell>
          <cell r="D2360">
            <v>0</v>
          </cell>
        </row>
        <row r="2361">
          <cell r="B2361">
            <v>0</v>
          </cell>
          <cell r="C2361">
            <v>0</v>
          </cell>
          <cell r="D2361">
            <v>0</v>
          </cell>
        </row>
        <row r="2362">
          <cell r="B2362">
            <v>0</v>
          </cell>
          <cell r="C2362">
            <v>0</v>
          </cell>
          <cell r="D2362">
            <v>0</v>
          </cell>
        </row>
        <row r="2363">
          <cell r="B2363">
            <v>0</v>
          </cell>
          <cell r="C2363">
            <v>0</v>
          </cell>
          <cell r="D2363">
            <v>0</v>
          </cell>
        </row>
        <row r="2364">
          <cell r="B2364">
            <v>0</v>
          </cell>
          <cell r="C2364">
            <v>0</v>
          </cell>
          <cell r="D2364">
            <v>0</v>
          </cell>
        </row>
        <row r="2365">
          <cell r="B2365">
            <v>0</v>
          </cell>
          <cell r="C2365">
            <v>0</v>
          </cell>
          <cell r="D2365">
            <v>0</v>
          </cell>
        </row>
        <row r="2366">
          <cell r="B2366">
            <v>0</v>
          </cell>
          <cell r="C2366">
            <v>0</v>
          </cell>
          <cell r="D2366">
            <v>0</v>
          </cell>
        </row>
        <row r="2367">
          <cell r="B2367">
            <v>0</v>
          </cell>
          <cell r="C2367">
            <v>0</v>
          </cell>
          <cell r="D2367">
            <v>0</v>
          </cell>
        </row>
        <row r="2368">
          <cell r="B2368">
            <v>0</v>
          </cell>
          <cell r="C2368">
            <v>0</v>
          </cell>
          <cell r="D2368">
            <v>0</v>
          </cell>
        </row>
        <row r="2369">
          <cell r="B2369">
            <v>0</v>
          </cell>
          <cell r="C2369">
            <v>0</v>
          </cell>
          <cell r="D2369">
            <v>0</v>
          </cell>
        </row>
        <row r="2370">
          <cell r="B2370">
            <v>0</v>
          </cell>
          <cell r="C2370">
            <v>0</v>
          </cell>
          <cell r="D2370">
            <v>0</v>
          </cell>
        </row>
        <row r="2371">
          <cell r="B2371">
            <v>0</v>
          </cell>
          <cell r="C2371">
            <v>0</v>
          </cell>
          <cell r="D2371">
            <v>0</v>
          </cell>
        </row>
        <row r="2372">
          <cell r="B2372">
            <v>0</v>
          </cell>
          <cell r="C2372">
            <v>0</v>
          </cell>
          <cell r="D2372">
            <v>0</v>
          </cell>
        </row>
        <row r="2373">
          <cell r="B2373">
            <v>0</v>
          </cell>
          <cell r="C2373">
            <v>0</v>
          </cell>
          <cell r="D2373">
            <v>0</v>
          </cell>
        </row>
        <row r="2374">
          <cell r="B2374">
            <v>0</v>
          </cell>
          <cell r="C2374">
            <v>0</v>
          </cell>
          <cell r="D2374">
            <v>0</v>
          </cell>
        </row>
        <row r="2375">
          <cell r="B2375">
            <v>0</v>
          </cell>
          <cell r="C2375">
            <v>0</v>
          </cell>
          <cell r="D2375">
            <v>0</v>
          </cell>
        </row>
        <row r="2376">
          <cell r="B2376">
            <v>0</v>
          </cell>
          <cell r="C2376">
            <v>0</v>
          </cell>
          <cell r="D2376">
            <v>0</v>
          </cell>
        </row>
        <row r="2377">
          <cell r="B2377">
            <v>0</v>
          </cell>
          <cell r="C2377">
            <v>0</v>
          </cell>
          <cell r="D2377">
            <v>0</v>
          </cell>
        </row>
        <row r="2378">
          <cell r="B2378">
            <v>0</v>
          </cell>
          <cell r="C2378">
            <v>0</v>
          </cell>
          <cell r="D2378">
            <v>0</v>
          </cell>
        </row>
        <row r="2379">
          <cell r="B2379">
            <v>0</v>
          </cell>
          <cell r="C2379">
            <v>0</v>
          </cell>
          <cell r="D2379">
            <v>0</v>
          </cell>
        </row>
        <row r="2380">
          <cell r="B2380">
            <v>0</v>
          </cell>
          <cell r="C2380">
            <v>0</v>
          </cell>
          <cell r="D2380">
            <v>0</v>
          </cell>
        </row>
        <row r="2381">
          <cell r="B2381">
            <v>0</v>
          </cell>
          <cell r="C2381">
            <v>0</v>
          </cell>
          <cell r="D2381">
            <v>0</v>
          </cell>
        </row>
        <row r="2382">
          <cell r="B2382">
            <v>0</v>
          </cell>
          <cell r="C2382">
            <v>0</v>
          </cell>
          <cell r="D2382">
            <v>0</v>
          </cell>
        </row>
        <row r="2383">
          <cell r="B2383">
            <v>0</v>
          </cell>
          <cell r="C2383">
            <v>0</v>
          </cell>
          <cell r="D2383">
            <v>0</v>
          </cell>
        </row>
        <row r="2384">
          <cell r="B2384">
            <v>0</v>
          </cell>
          <cell r="C2384">
            <v>0</v>
          </cell>
          <cell r="D2384">
            <v>0</v>
          </cell>
        </row>
        <row r="2385">
          <cell r="B2385">
            <v>0</v>
          </cell>
          <cell r="C2385">
            <v>0</v>
          </cell>
          <cell r="D2385">
            <v>0</v>
          </cell>
        </row>
        <row r="2386">
          <cell r="B2386">
            <v>0</v>
          </cell>
          <cell r="C2386">
            <v>0</v>
          </cell>
          <cell r="D2386">
            <v>0</v>
          </cell>
        </row>
        <row r="2387">
          <cell r="B2387">
            <v>0</v>
          </cell>
          <cell r="C2387">
            <v>0</v>
          </cell>
          <cell r="D2387">
            <v>0</v>
          </cell>
        </row>
        <row r="2388">
          <cell r="B2388">
            <v>0</v>
          </cell>
          <cell r="C2388">
            <v>0</v>
          </cell>
          <cell r="D2388">
            <v>0</v>
          </cell>
        </row>
        <row r="2389">
          <cell r="B2389">
            <v>0</v>
          </cell>
          <cell r="C2389">
            <v>0</v>
          </cell>
          <cell r="D2389">
            <v>0</v>
          </cell>
        </row>
        <row r="2390">
          <cell r="B2390">
            <v>0</v>
          </cell>
          <cell r="C2390">
            <v>0</v>
          </cell>
          <cell r="D2390">
            <v>0</v>
          </cell>
        </row>
        <row r="2391">
          <cell r="B2391">
            <v>0</v>
          </cell>
          <cell r="C2391">
            <v>0</v>
          </cell>
          <cell r="D2391">
            <v>0</v>
          </cell>
        </row>
        <row r="2392">
          <cell r="B2392">
            <v>0</v>
          </cell>
          <cell r="C2392">
            <v>0</v>
          </cell>
          <cell r="D2392">
            <v>0</v>
          </cell>
        </row>
        <row r="2393">
          <cell r="B2393">
            <v>0</v>
          </cell>
          <cell r="C2393">
            <v>0</v>
          </cell>
          <cell r="D2393">
            <v>0</v>
          </cell>
        </row>
        <row r="2394">
          <cell r="B2394">
            <v>0</v>
          </cell>
          <cell r="C2394">
            <v>0</v>
          </cell>
          <cell r="D2394">
            <v>0</v>
          </cell>
        </row>
        <row r="2395">
          <cell r="B2395">
            <v>0</v>
          </cell>
          <cell r="C2395">
            <v>0</v>
          </cell>
          <cell r="D2395">
            <v>0</v>
          </cell>
        </row>
        <row r="2396">
          <cell r="B2396">
            <v>0</v>
          </cell>
          <cell r="C2396">
            <v>0</v>
          </cell>
          <cell r="D2396">
            <v>0</v>
          </cell>
        </row>
        <row r="2397">
          <cell r="B2397">
            <v>0</v>
          </cell>
          <cell r="C2397">
            <v>0</v>
          </cell>
          <cell r="D2397">
            <v>0</v>
          </cell>
        </row>
        <row r="2398">
          <cell r="B2398">
            <v>0</v>
          </cell>
          <cell r="C2398">
            <v>0</v>
          </cell>
          <cell r="D2398">
            <v>0</v>
          </cell>
        </row>
        <row r="2399">
          <cell r="B2399">
            <v>0</v>
          </cell>
          <cell r="C2399">
            <v>0</v>
          </cell>
          <cell r="D2399">
            <v>0</v>
          </cell>
        </row>
        <row r="2400">
          <cell r="B2400">
            <v>0</v>
          </cell>
          <cell r="C2400">
            <v>0</v>
          </cell>
          <cell r="D2400">
            <v>0</v>
          </cell>
        </row>
        <row r="2401">
          <cell r="B2401">
            <v>0</v>
          </cell>
          <cell r="C2401">
            <v>0</v>
          </cell>
          <cell r="D2401">
            <v>0</v>
          </cell>
        </row>
        <row r="2402">
          <cell r="B2402">
            <v>0</v>
          </cell>
          <cell r="C2402">
            <v>0</v>
          </cell>
          <cell r="D2402">
            <v>0</v>
          </cell>
        </row>
        <row r="2403">
          <cell r="B2403">
            <v>0</v>
          </cell>
          <cell r="C2403">
            <v>0</v>
          </cell>
          <cell r="D2403">
            <v>0</v>
          </cell>
        </row>
        <row r="2404">
          <cell r="B2404">
            <v>0</v>
          </cell>
          <cell r="C2404">
            <v>0</v>
          </cell>
          <cell r="D2404">
            <v>0</v>
          </cell>
        </row>
        <row r="2405">
          <cell r="B2405">
            <v>0</v>
          </cell>
          <cell r="C2405">
            <v>0</v>
          </cell>
          <cell r="D2405">
            <v>0</v>
          </cell>
        </row>
        <row r="2406">
          <cell r="B2406">
            <v>0</v>
          </cell>
          <cell r="C2406">
            <v>0</v>
          </cell>
          <cell r="D2406">
            <v>0</v>
          </cell>
        </row>
        <row r="2407">
          <cell r="B2407">
            <v>0</v>
          </cell>
          <cell r="C2407">
            <v>0</v>
          </cell>
          <cell r="D2407">
            <v>0</v>
          </cell>
        </row>
        <row r="2408">
          <cell r="B2408">
            <v>0</v>
          </cell>
          <cell r="C2408">
            <v>0</v>
          </cell>
          <cell r="D2408">
            <v>0</v>
          </cell>
        </row>
        <row r="2409">
          <cell r="B2409">
            <v>0</v>
          </cell>
          <cell r="C2409">
            <v>0</v>
          </cell>
          <cell r="D2409">
            <v>0</v>
          </cell>
        </row>
        <row r="2410">
          <cell r="B2410">
            <v>0</v>
          </cell>
          <cell r="C2410">
            <v>0</v>
          </cell>
          <cell r="D2410">
            <v>0</v>
          </cell>
        </row>
        <row r="2411">
          <cell r="B2411">
            <v>0</v>
          </cell>
          <cell r="C2411">
            <v>0</v>
          </cell>
          <cell r="D2411">
            <v>0</v>
          </cell>
        </row>
        <row r="2412">
          <cell r="B2412">
            <v>0</v>
          </cell>
          <cell r="C2412">
            <v>0</v>
          </cell>
          <cell r="D2412">
            <v>0</v>
          </cell>
        </row>
        <row r="2413">
          <cell r="B2413">
            <v>0</v>
          </cell>
          <cell r="C2413">
            <v>0</v>
          </cell>
          <cell r="D2413">
            <v>0</v>
          </cell>
        </row>
        <row r="2414">
          <cell r="B2414">
            <v>0</v>
          </cell>
          <cell r="C2414">
            <v>0</v>
          </cell>
          <cell r="D2414">
            <v>0</v>
          </cell>
        </row>
        <row r="2415">
          <cell r="B2415">
            <v>0</v>
          </cell>
          <cell r="C2415">
            <v>0</v>
          </cell>
          <cell r="D2415">
            <v>0</v>
          </cell>
        </row>
        <row r="2416">
          <cell r="B2416">
            <v>0</v>
          </cell>
          <cell r="C2416">
            <v>0</v>
          </cell>
          <cell r="D2416">
            <v>0</v>
          </cell>
        </row>
        <row r="2417">
          <cell r="B2417">
            <v>0</v>
          </cell>
          <cell r="C2417">
            <v>0</v>
          </cell>
          <cell r="D2417">
            <v>0</v>
          </cell>
        </row>
        <row r="2418">
          <cell r="B2418">
            <v>0</v>
          </cell>
          <cell r="C2418">
            <v>0</v>
          </cell>
          <cell r="D2418">
            <v>0</v>
          </cell>
        </row>
        <row r="2419">
          <cell r="B2419">
            <v>0</v>
          </cell>
          <cell r="C2419">
            <v>0</v>
          </cell>
          <cell r="D2419">
            <v>0</v>
          </cell>
        </row>
        <row r="2420">
          <cell r="B2420">
            <v>0</v>
          </cell>
          <cell r="C2420">
            <v>0</v>
          </cell>
          <cell r="D2420">
            <v>0</v>
          </cell>
        </row>
        <row r="2421">
          <cell r="B2421">
            <v>0</v>
          </cell>
          <cell r="C2421">
            <v>0</v>
          </cell>
          <cell r="D2421">
            <v>0</v>
          </cell>
        </row>
        <row r="2422">
          <cell r="B2422">
            <v>0</v>
          </cell>
          <cell r="C2422">
            <v>0</v>
          </cell>
          <cell r="D2422">
            <v>0</v>
          </cell>
        </row>
        <row r="2423">
          <cell r="B2423">
            <v>0</v>
          </cell>
          <cell r="C2423">
            <v>0</v>
          </cell>
          <cell r="D2423">
            <v>0</v>
          </cell>
        </row>
        <row r="2424">
          <cell r="B2424">
            <v>0</v>
          </cell>
          <cell r="C2424">
            <v>0</v>
          </cell>
          <cell r="D2424">
            <v>0</v>
          </cell>
        </row>
        <row r="2425">
          <cell r="B2425">
            <v>0</v>
          </cell>
          <cell r="C2425">
            <v>0</v>
          </cell>
          <cell r="D2425">
            <v>0</v>
          </cell>
        </row>
        <row r="2426">
          <cell r="B2426">
            <v>0</v>
          </cell>
          <cell r="C2426">
            <v>0</v>
          </cell>
          <cell r="D2426">
            <v>0</v>
          </cell>
        </row>
        <row r="2427">
          <cell r="B2427">
            <v>0</v>
          </cell>
          <cell r="C2427">
            <v>0</v>
          </cell>
          <cell r="D2427">
            <v>0</v>
          </cell>
        </row>
        <row r="2428">
          <cell r="B2428">
            <v>0</v>
          </cell>
          <cell r="C2428">
            <v>0</v>
          </cell>
          <cell r="D2428">
            <v>0</v>
          </cell>
        </row>
        <row r="2429">
          <cell r="B2429">
            <v>0</v>
          </cell>
          <cell r="C2429">
            <v>0</v>
          </cell>
          <cell r="D2429">
            <v>0</v>
          </cell>
        </row>
        <row r="2430">
          <cell r="B2430">
            <v>0</v>
          </cell>
          <cell r="C2430">
            <v>0</v>
          </cell>
          <cell r="D2430">
            <v>0</v>
          </cell>
        </row>
        <row r="2431">
          <cell r="B2431">
            <v>0</v>
          </cell>
          <cell r="C2431">
            <v>0</v>
          </cell>
          <cell r="D2431">
            <v>0</v>
          </cell>
        </row>
        <row r="2432">
          <cell r="B2432">
            <v>0</v>
          </cell>
          <cell r="C2432">
            <v>0</v>
          </cell>
          <cell r="D2432">
            <v>0</v>
          </cell>
        </row>
        <row r="2433">
          <cell r="B2433">
            <v>0</v>
          </cell>
          <cell r="C2433">
            <v>0</v>
          </cell>
          <cell r="D2433">
            <v>0</v>
          </cell>
        </row>
        <row r="2434">
          <cell r="B2434">
            <v>0</v>
          </cell>
          <cell r="C2434">
            <v>0</v>
          </cell>
          <cell r="D2434">
            <v>0</v>
          </cell>
        </row>
        <row r="2435">
          <cell r="B2435">
            <v>0</v>
          </cell>
          <cell r="C2435">
            <v>0</v>
          </cell>
          <cell r="D2435">
            <v>0</v>
          </cell>
        </row>
        <row r="2436">
          <cell r="B2436">
            <v>0</v>
          </cell>
          <cell r="C2436">
            <v>0</v>
          </cell>
          <cell r="D2436">
            <v>0</v>
          </cell>
        </row>
        <row r="2437">
          <cell r="B2437">
            <v>0</v>
          </cell>
          <cell r="C2437">
            <v>0</v>
          </cell>
          <cell r="D2437">
            <v>0</v>
          </cell>
        </row>
        <row r="2438">
          <cell r="B2438">
            <v>0</v>
          </cell>
          <cell r="C2438">
            <v>0</v>
          </cell>
          <cell r="D2438">
            <v>0</v>
          </cell>
        </row>
        <row r="2439">
          <cell r="B2439">
            <v>0</v>
          </cell>
          <cell r="C2439">
            <v>0</v>
          </cell>
          <cell r="D2439">
            <v>0</v>
          </cell>
        </row>
        <row r="2440">
          <cell r="B2440">
            <v>0</v>
          </cell>
          <cell r="C2440">
            <v>0</v>
          </cell>
          <cell r="D2440">
            <v>0</v>
          </cell>
        </row>
        <row r="2441">
          <cell r="B2441">
            <v>0</v>
          </cell>
          <cell r="C2441">
            <v>0</v>
          </cell>
          <cell r="D2441">
            <v>0</v>
          </cell>
        </row>
        <row r="2442">
          <cell r="B2442">
            <v>0</v>
          </cell>
          <cell r="C2442">
            <v>0</v>
          </cell>
          <cell r="D2442">
            <v>0</v>
          </cell>
        </row>
        <row r="2443">
          <cell r="B2443">
            <v>0</v>
          </cell>
          <cell r="C2443">
            <v>0</v>
          </cell>
          <cell r="D2443">
            <v>0</v>
          </cell>
        </row>
        <row r="2444">
          <cell r="B2444">
            <v>0</v>
          </cell>
          <cell r="C2444">
            <v>0</v>
          </cell>
          <cell r="D2444">
            <v>0</v>
          </cell>
        </row>
        <row r="2445">
          <cell r="B2445">
            <v>0</v>
          </cell>
          <cell r="C2445">
            <v>0</v>
          </cell>
          <cell r="D2445">
            <v>0</v>
          </cell>
        </row>
        <row r="2446">
          <cell r="B2446">
            <v>0</v>
          </cell>
          <cell r="C2446">
            <v>0</v>
          </cell>
          <cell r="D2446">
            <v>0</v>
          </cell>
        </row>
        <row r="2447">
          <cell r="B2447">
            <v>0</v>
          </cell>
          <cell r="C2447">
            <v>0</v>
          </cell>
          <cell r="D2447">
            <v>0</v>
          </cell>
        </row>
        <row r="2448">
          <cell r="B2448">
            <v>0</v>
          </cell>
          <cell r="C2448">
            <v>0</v>
          </cell>
          <cell r="D2448">
            <v>0</v>
          </cell>
        </row>
        <row r="2449">
          <cell r="B2449">
            <v>0</v>
          </cell>
          <cell r="C2449">
            <v>0</v>
          </cell>
          <cell r="D2449">
            <v>0</v>
          </cell>
        </row>
        <row r="2450">
          <cell r="B2450">
            <v>0</v>
          </cell>
          <cell r="C2450">
            <v>0</v>
          </cell>
          <cell r="D2450">
            <v>0</v>
          </cell>
        </row>
        <row r="2451">
          <cell r="B2451">
            <v>0</v>
          </cell>
          <cell r="C2451">
            <v>0</v>
          </cell>
          <cell r="D2451">
            <v>0</v>
          </cell>
        </row>
        <row r="2452">
          <cell r="B2452">
            <v>0</v>
          </cell>
          <cell r="C2452">
            <v>0</v>
          </cell>
          <cell r="D2452">
            <v>0</v>
          </cell>
        </row>
        <row r="2453">
          <cell r="B2453">
            <v>0</v>
          </cell>
          <cell r="C2453">
            <v>0</v>
          </cell>
          <cell r="D2453">
            <v>0</v>
          </cell>
        </row>
        <row r="2454">
          <cell r="B2454">
            <v>0</v>
          </cell>
          <cell r="C2454">
            <v>0</v>
          </cell>
          <cell r="D2454">
            <v>0</v>
          </cell>
        </row>
        <row r="2455">
          <cell r="B2455">
            <v>0</v>
          </cell>
          <cell r="C2455">
            <v>0</v>
          </cell>
          <cell r="D2455">
            <v>0</v>
          </cell>
        </row>
        <row r="2456">
          <cell r="B2456">
            <v>0</v>
          </cell>
          <cell r="C2456">
            <v>0</v>
          </cell>
          <cell r="D2456">
            <v>0</v>
          </cell>
        </row>
        <row r="2457">
          <cell r="B2457">
            <v>0</v>
          </cell>
          <cell r="C2457">
            <v>0</v>
          </cell>
          <cell r="D2457">
            <v>0</v>
          </cell>
        </row>
        <row r="2458">
          <cell r="B2458">
            <v>0</v>
          </cell>
          <cell r="C2458">
            <v>0</v>
          </cell>
          <cell r="D2458">
            <v>0</v>
          </cell>
        </row>
        <row r="2459">
          <cell r="B2459">
            <v>0</v>
          </cell>
          <cell r="C2459">
            <v>0</v>
          </cell>
          <cell r="D2459">
            <v>0</v>
          </cell>
        </row>
        <row r="2460">
          <cell r="B2460">
            <v>0</v>
          </cell>
          <cell r="C2460">
            <v>0</v>
          </cell>
          <cell r="D2460">
            <v>0</v>
          </cell>
        </row>
        <row r="2461">
          <cell r="B2461">
            <v>0</v>
          </cell>
          <cell r="C2461">
            <v>0</v>
          </cell>
          <cell r="D2461">
            <v>0</v>
          </cell>
        </row>
        <row r="2462">
          <cell r="B2462">
            <v>0</v>
          </cell>
          <cell r="C2462">
            <v>0</v>
          </cell>
          <cell r="D2462">
            <v>0</v>
          </cell>
        </row>
        <row r="2463">
          <cell r="B2463">
            <v>0</v>
          </cell>
          <cell r="C2463">
            <v>0</v>
          </cell>
          <cell r="D2463">
            <v>0</v>
          </cell>
        </row>
        <row r="2464">
          <cell r="B2464">
            <v>0</v>
          </cell>
          <cell r="C2464">
            <v>0</v>
          </cell>
          <cell r="D2464">
            <v>0</v>
          </cell>
        </row>
        <row r="2465">
          <cell r="B2465">
            <v>0</v>
          </cell>
          <cell r="C2465">
            <v>0</v>
          </cell>
          <cell r="D2465">
            <v>0</v>
          </cell>
        </row>
        <row r="2466">
          <cell r="B2466">
            <v>0</v>
          </cell>
          <cell r="C2466">
            <v>0</v>
          </cell>
          <cell r="D2466">
            <v>0</v>
          </cell>
        </row>
        <row r="2467">
          <cell r="B2467">
            <v>0</v>
          </cell>
          <cell r="C2467">
            <v>0</v>
          </cell>
          <cell r="D2467">
            <v>0</v>
          </cell>
        </row>
        <row r="2468">
          <cell r="B2468">
            <v>0</v>
          </cell>
          <cell r="C2468">
            <v>0</v>
          </cell>
          <cell r="D2468">
            <v>0</v>
          </cell>
        </row>
        <row r="2469">
          <cell r="B2469">
            <v>0</v>
          </cell>
          <cell r="C2469">
            <v>0</v>
          </cell>
          <cell r="D2469">
            <v>0</v>
          </cell>
        </row>
        <row r="2470">
          <cell r="B2470">
            <v>0</v>
          </cell>
          <cell r="C2470">
            <v>0</v>
          </cell>
          <cell r="D2470">
            <v>0</v>
          </cell>
        </row>
        <row r="2471">
          <cell r="B2471">
            <v>0</v>
          </cell>
          <cell r="C2471">
            <v>0</v>
          </cell>
          <cell r="D2471">
            <v>0</v>
          </cell>
        </row>
        <row r="2472">
          <cell r="B2472">
            <v>0</v>
          </cell>
          <cell r="C2472">
            <v>0</v>
          </cell>
          <cell r="D2472">
            <v>0</v>
          </cell>
        </row>
        <row r="2473">
          <cell r="B2473">
            <v>0</v>
          </cell>
          <cell r="C2473">
            <v>0</v>
          </cell>
          <cell r="D2473">
            <v>0</v>
          </cell>
        </row>
        <row r="2474">
          <cell r="B2474">
            <v>0</v>
          </cell>
          <cell r="C2474">
            <v>0</v>
          </cell>
          <cell r="D2474">
            <v>0</v>
          </cell>
        </row>
        <row r="2475">
          <cell r="B2475">
            <v>0</v>
          </cell>
          <cell r="C2475">
            <v>0</v>
          </cell>
          <cell r="D2475">
            <v>0</v>
          </cell>
        </row>
        <row r="2476">
          <cell r="B2476">
            <v>0</v>
          </cell>
          <cell r="C2476">
            <v>0</v>
          </cell>
          <cell r="D2476">
            <v>0</v>
          </cell>
        </row>
        <row r="2477">
          <cell r="B2477">
            <v>0</v>
          </cell>
          <cell r="C2477">
            <v>0</v>
          </cell>
          <cell r="D2477">
            <v>0</v>
          </cell>
        </row>
        <row r="2478">
          <cell r="B2478">
            <v>0</v>
          </cell>
          <cell r="C2478">
            <v>0</v>
          </cell>
          <cell r="D2478">
            <v>0</v>
          </cell>
        </row>
        <row r="2479">
          <cell r="B2479">
            <v>0</v>
          </cell>
          <cell r="C2479">
            <v>0</v>
          </cell>
          <cell r="D2479">
            <v>0</v>
          </cell>
        </row>
        <row r="2480">
          <cell r="B2480">
            <v>0</v>
          </cell>
          <cell r="C2480">
            <v>0</v>
          </cell>
          <cell r="D2480">
            <v>0</v>
          </cell>
        </row>
        <row r="2481">
          <cell r="B2481">
            <v>0</v>
          </cell>
          <cell r="C2481">
            <v>0</v>
          </cell>
          <cell r="D2481">
            <v>0</v>
          </cell>
        </row>
        <row r="2482">
          <cell r="B2482">
            <v>0</v>
          </cell>
          <cell r="C2482">
            <v>0</v>
          </cell>
          <cell r="D2482">
            <v>0</v>
          </cell>
        </row>
        <row r="2483">
          <cell r="B2483">
            <v>0</v>
          </cell>
          <cell r="C2483">
            <v>0</v>
          </cell>
          <cell r="D2483">
            <v>0</v>
          </cell>
        </row>
        <row r="2484">
          <cell r="B2484">
            <v>0</v>
          </cell>
          <cell r="C2484">
            <v>0</v>
          </cell>
          <cell r="D2484">
            <v>0</v>
          </cell>
        </row>
        <row r="2485">
          <cell r="B2485">
            <v>0</v>
          </cell>
          <cell r="C2485">
            <v>0</v>
          </cell>
          <cell r="D2485">
            <v>0</v>
          </cell>
        </row>
        <row r="2486">
          <cell r="B2486">
            <v>0</v>
          </cell>
          <cell r="C2486">
            <v>0</v>
          </cell>
          <cell r="D2486">
            <v>0</v>
          </cell>
        </row>
        <row r="2487">
          <cell r="B2487">
            <v>0</v>
          </cell>
          <cell r="C2487">
            <v>0</v>
          </cell>
          <cell r="D2487">
            <v>0</v>
          </cell>
        </row>
        <row r="2488">
          <cell r="B2488">
            <v>0</v>
          </cell>
          <cell r="C2488">
            <v>0</v>
          </cell>
          <cell r="D2488">
            <v>0</v>
          </cell>
        </row>
        <row r="2489">
          <cell r="B2489">
            <v>0</v>
          </cell>
          <cell r="C2489">
            <v>0</v>
          </cell>
          <cell r="D2489">
            <v>0</v>
          </cell>
        </row>
        <row r="2490">
          <cell r="B2490">
            <v>0</v>
          </cell>
          <cell r="C2490">
            <v>0</v>
          </cell>
          <cell r="D2490">
            <v>0</v>
          </cell>
        </row>
        <row r="2491">
          <cell r="B2491">
            <v>0</v>
          </cell>
          <cell r="C2491">
            <v>0</v>
          </cell>
          <cell r="D2491">
            <v>0</v>
          </cell>
        </row>
        <row r="2492">
          <cell r="B2492">
            <v>0</v>
          </cell>
          <cell r="C2492">
            <v>0</v>
          </cell>
          <cell r="D2492">
            <v>0</v>
          </cell>
        </row>
        <row r="2493">
          <cell r="B2493">
            <v>0</v>
          </cell>
          <cell r="C2493">
            <v>0</v>
          </cell>
          <cell r="D2493">
            <v>0</v>
          </cell>
        </row>
        <row r="2494">
          <cell r="B2494">
            <v>0</v>
          </cell>
          <cell r="C2494">
            <v>0</v>
          </cell>
          <cell r="D2494">
            <v>0</v>
          </cell>
        </row>
        <row r="2495">
          <cell r="B2495">
            <v>0</v>
          </cell>
          <cell r="C2495">
            <v>0</v>
          </cell>
          <cell r="D2495">
            <v>0</v>
          </cell>
        </row>
        <row r="2496">
          <cell r="B2496">
            <v>0</v>
          </cell>
          <cell r="C2496">
            <v>0</v>
          </cell>
          <cell r="D2496">
            <v>0</v>
          </cell>
        </row>
        <row r="2497">
          <cell r="B2497">
            <v>0</v>
          </cell>
          <cell r="C2497">
            <v>0</v>
          </cell>
          <cell r="D2497">
            <v>0</v>
          </cell>
        </row>
        <row r="2498">
          <cell r="B2498">
            <v>0</v>
          </cell>
          <cell r="C2498">
            <v>0</v>
          </cell>
          <cell r="D2498">
            <v>0</v>
          </cell>
        </row>
        <row r="2499">
          <cell r="B2499">
            <v>0</v>
          </cell>
          <cell r="C2499">
            <v>0</v>
          </cell>
          <cell r="D2499">
            <v>0</v>
          </cell>
        </row>
        <row r="2500">
          <cell r="B2500">
            <v>0</v>
          </cell>
          <cell r="C2500">
            <v>0</v>
          </cell>
          <cell r="D2500">
            <v>0</v>
          </cell>
        </row>
        <row r="2501">
          <cell r="B2501">
            <v>0</v>
          </cell>
          <cell r="C2501">
            <v>0</v>
          </cell>
          <cell r="D2501">
            <v>0</v>
          </cell>
        </row>
        <row r="2502">
          <cell r="B2502">
            <v>0</v>
          </cell>
          <cell r="C2502">
            <v>0</v>
          </cell>
          <cell r="D2502">
            <v>0</v>
          </cell>
        </row>
        <row r="2503">
          <cell r="B2503">
            <v>0</v>
          </cell>
          <cell r="C2503">
            <v>0</v>
          </cell>
          <cell r="D2503">
            <v>0</v>
          </cell>
        </row>
        <row r="2504">
          <cell r="B2504">
            <v>0</v>
          </cell>
          <cell r="C2504">
            <v>0</v>
          </cell>
          <cell r="D2504">
            <v>0</v>
          </cell>
        </row>
        <row r="2505">
          <cell r="B2505">
            <v>0</v>
          </cell>
          <cell r="C2505">
            <v>0</v>
          </cell>
          <cell r="D2505">
            <v>0</v>
          </cell>
        </row>
        <row r="2506">
          <cell r="B2506">
            <v>0</v>
          </cell>
          <cell r="C2506">
            <v>0</v>
          </cell>
          <cell r="D2506">
            <v>0</v>
          </cell>
        </row>
        <row r="2507">
          <cell r="B2507">
            <v>0</v>
          </cell>
          <cell r="C2507">
            <v>0</v>
          </cell>
          <cell r="D2507">
            <v>0</v>
          </cell>
        </row>
        <row r="2508">
          <cell r="B2508">
            <v>0</v>
          </cell>
          <cell r="C2508">
            <v>0</v>
          </cell>
          <cell r="D2508">
            <v>0</v>
          </cell>
        </row>
        <row r="2509">
          <cell r="B2509">
            <v>0</v>
          </cell>
          <cell r="C2509">
            <v>0</v>
          </cell>
          <cell r="D2509">
            <v>0</v>
          </cell>
        </row>
        <row r="2510">
          <cell r="B2510">
            <v>0</v>
          </cell>
          <cell r="C2510">
            <v>0</v>
          </cell>
          <cell r="D2510">
            <v>0</v>
          </cell>
        </row>
        <row r="2511">
          <cell r="B2511">
            <v>0</v>
          </cell>
          <cell r="C2511">
            <v>0</v>
          </cell>
          <cell r="D2511">
            <v>0</v>
          </cell>
        </row>
        <row r="2512">
          <cell r="B2512">
            <v>0</v>
          </cell>
          <cell r="C2512">
            <v>0</v>
          </cell>
          <cell r="D2512">
            <v>0</v>
          </cell>
        </row>
        <row r="2513">
          <cell r="B2513">
            <v>0</v>
          </cell>
          <cell r="C2513">
            <v>0</v>
          </cell>
          <cell r="D2513">
            <v>0</v>
          </cell>
        </row>
        <row r="2514">
          <cell r="B2514">
            <v>0</v>
          </cell>
          <cell r="C2514">
            <v>0</v>
          </cell>
          <cell r="D2514">
            <v>0</v>
          </cell>
        </row>
        <row r="2515">
          <cell r="B2515">
            <v>0</v>
          </cell>
          <cell r="C2515">
            <v>0</v>
          </cell>
          <cell r="D2515">
            <v>0</v>
          </cell>
        </row>
        <row r="2516">
          <cell r="B2516">
            <v>0</v>
          </cell>
          <cell r="C2516">
            <v>0</v>
          </cell>
          <cell r="D2516">
            <v>0</v>
          </cell>
        </row>
        <row r="2517">
          <cell r="B2517">
            <v>0</v>
          </cell>
          <cell r="C2517">
            <v>0</v>
          </cell>
          <cell r="D2517">
            <v>0</v>
          </cell>
        </row>
        <row r="2518">
          <cell r="B2518">
            <v>0</v>
          </cell>
          <cell r="C2518">
            <v>0</v>
          </cell>
          <cell r="D2518">
            <v>0</v>
          </cell>
        </row>
        <row r="2519">
          <cell r="B2519">
            <v>0</v>
          </cell>
          <cell r="C2519">
            <v>0</v>
          </cell>
          <cell r="D2519">
            <v>0</v>
          </cell>
        </row>
        <row r="2520">
          <cell r="B2520">
            <v>0</v>
          </cell>
          <cell r="C2520">
            <v>0</v>
          </cell>
          <cell r="D2520">
            <v>0</v>
          </cell>
        </row>
        <row r="2521">
          <cell r="B2521">
            <v>0</v>
          </cell>
          <cell r="C2521">
            <v>0</v>
          </cell>
          <cell r="D2521">
            <v>0</v>
          </cell>
        </row>
        <row r="2522">
          <cell r="B2522">
            <v>0</v>
          </cell>
          <cell r="C2522">
            <v>0</v>
          </cell>
          <cell r="D2522">
            <v>0</v>
          </cell>
        </row>
        <row r="2523">
          <cell r="B2523">
            <v>0</v>
          </cell>
          <cell r="C2523">
            <v>0</v>
          </cell>
          <cell r="D2523">
            <v>0</v>
          </cell>
        </row>
        <row r="2524">
          <cell r="B2524">
            <v>0</v>
          </cell>
          <cell r="C2524">
            <v>0</v>
          </cell>
          <cell r="D2524">
            <v>0</v>
          </cell>
        </row>
        <row r="2525">
          <cell r="B2525">
            <v>0</v>
          </cell>
          <cell r="C2525">
            <v>0</v>
          </cell>
          <cell r="D2525">
            <v>0</v>
          </cell>
        </row>
        <row r="2526">
          <cell r="B2526">
            <v>0</v>
          </cell>
          <cell r="C2526">
            <v>0</v>
          </cell>
          <cell r="D2526">
            <v>0</v>
          </cell>
        </row>
        <row r="2527">
          <cell r="B2527">
            <v>0</v>
          </cell>
          <cell r="C2527">
            <v>0</v>
          </cell>
          <cell r="D2527">
            <v>0</v>
          </cell>
        </row>
        <row r="2528">
          <cell r="B2528">
            <v>0</v>
          </cell>
          <cell r="C2528">
            <v>0</v>
          </cell>
          <cell r="D2528">
            <v>0</v>
          </cell>
        </row>
        <row r="2529">
          <cell r="B2529">
            <v>0</v>
          </cell>
          <cell r="C2529">
            <v>0</v>
          </cell>
          <cell r="D2529">
            <v>0</v>
          </cell>
        </row>
        <row r="2530">
          <cell r="B2530">
            <v>0</v>
          </cell>
          <cell r="C2530">
            <v>0</v>
          </cell>
          <cell r="D2530">
            <v>0</v>
          </cell>
        </row>
        <row r="2531">
          <cell r="B2531">
            <v>0</v>
          </cell>
          <cell r="C2531">
            <v>0</v>
          </cell>
          <cell r="D2531">
            <v>0</v>
          </cell>
        </row>
        <row r="2532">
          <cell r="B2532">
            <v>0</v>
          </cell>
          <cell r="C2532">
            <v>0</v>
          </cell>
          <cell r="D2532">
            <v>0</v>
          </cell>
        </row>
        <row r="2533">
          <cell r="B2533">
            <v>0</v>
          </cell>
          <cell r="C2533">
            <v>0</v>
          </cell>
          <cell r="D2533">
            <v>0</v>
          </cell>
        </row>
        <row r="2534">
          <cell r="B2534">
            <v>0</v>
          </cell>
          <cell r="C2534">
            <v>0</v>
          </cell>
          <cell r="D2534">
            <v>0</v>
          </cell>
        </row>
        <row r="2535">
          <cell r="B2535">
            <v>0</v>
          </cell>
          <cell r="C2535">
            <v>0</v>
          </cell>
          <cell r="D2535">
            <v>0</v>
          </cell>
        </row>
        <row r="2536">
          <cell r="B2536">
            <v>0</v>
          </cell>
          <cell r="C2536">
            <v>0</v>
          </cell>
          <cell r="D2536">
            <v>0</v>
          </cell>
        </row>
        <row r="2537">
          <cell r="B2537">
            <v>0</v>
          </cell>
          <cell r="C2537">
            <v>0</v>
          </cell>
          <cell r="D2537">
            <v>0</v>
          </cell>
        </row>
        <row r="2538">
          <cell r="B2538">
            <v>0</v>
          </cell>
          <cell r="C2538">
            <v>0</v>
          </cell>
          <cell r="D2538">
            <v>0</v>
          </cell>
        </row>
        <row r="2539">
          <cell r="B2539">
            <v>0</v>
          </cell>
          <cell r="C2539">
            <v>0</v>
          </cell>
          <cell r="D2539">
            <v>0</v>
          </cell>
        </row>
        <row r="2540">
          <cell r="B2540">
            <v>0</v>
          </cell>
          <cell r="C2540">
            <v>0</v>
          </cell>
          <cell r="D2540">
            <v>0</v>
          </cell>
        </row>
        <row r="2541">
          <cell r="B2541">
            <v>0</v>
          </cell>
          <cell r="C2541">
            <v>0</v>
          </cell>
          <cell r="D2541">
            <v>0</v>
          </cell>
        </row>
        <row r="2542">
          <cell r="B2542">
            <v>0</v>
          </cell>
          <cell r="C2542">
            <v>0</v>
          </cell>
          <cell r="D2542">
            <v>0</v>
          </cell>
        </row>
        <row r="2543">
          <cell r="B2543">
            <v>0</v>
          </cell>
          <cell r="C2543">
            <v>0</v>
          </cell>
          <cell r="D2543">
            <v>0</v>
          </cell>
        </row>
        <row r="2544">
          <cell r="B2544">
            <v>0</v>
          </cell>
          <cell r="C2544">
            <v>0</v>
          </cell>
          <cell r="D2544">
            <v>0</v>
          </cell>
        </row>
        <row r="2545">
          <cell r="B2545">
            <v>0</v>
          </cell>
          <cell r="C2545">
            <v>0</v>
          </cell>
          <cell r="D2545">
            <v>0</v>
          </cell>
        </row>
        <row r="2546">
          <cell r="B2546">
            <v>0</v>
          </cell>
          <cell r="C2546">
            <v>0</v>
          </cell>
          <cell r="D2546">
            <v>0</v>
          </cell>
        </row>
        <row r="2547">
          <cell r="B2547">
            <v>0</v>
          </cell>
          <cell r="C2547">
            <v>0</v>
          </cell>
          <cell r="D2547">
            <v>0</v>
          </cell>
        </row>
        <row r="2548">
          <cell r="B2548">
            <v>0</v>
          </cell>
          <cell r="C2548">
            <v>0</v>
          </cell>
          <cell r="D2548">
            <v>0</v>
          </cell>
        </row>
        <row r="2549">
          <cell r="B2549">
            <v>0</v>
          </cell>
          <cell r="C2549">
            <v>0</v>
          </cell>
          <cell r="D2549">
            <v>0</v>
          </cell>
        </row>
        <row r="2550">
          <cell r="B2550">
            <v>0</v>
          </cell>
          <cell r="C2550">
            <v>0</v>
          </cell>
          <cell r="D2550">
            <v>0</v>
          </cell>
        </row>
        <row r="2551">
          <cell r="B2551">
            <v>0</v>
          </cell>
          <cell r="C2551">
            <v>0</v>
          </cell>
          <cell r="D2551">
            <v>0</v>
          </cell>
        </row>
        <row r="2552">
          <cell r="B2552">
            <v>0</v>
          </cell>
          <cell r="C2552">
            <v>0</v>
          </cell>
          <cell r="D2552">
            <v>0</v>
          </cell>
        </row>
        <row r="2553">
          <cell r="B2553">
            <v>0</v>
          </cell>
          <cell r="C2553">
            <v>0</v>
          </cell>
          <cell r="D2553">
            <v>0</v>
          </cell>
        </row>
        <row r="2554">
          <cell r="B2554">
            <v>0</v>
          </cell>
          <cell r="C2554">
            <v>0</v>
          </cell>
          <cell r="D2554">
            <v>0</v>
          </cell>
        </row>
        <row r="2555">
          <cell r="B2555">
            <v>0</v>
          </cell>
          <cell r="C2555">
            <v>0</v>
          </cell>
          <cell r="D2555">
            <v>0</v>
          </cell>
        </row>
        <row r="2556">
          <cell r="B2556">
            <v>0</v>
          </cell>
          <cell r="C2556">
            <v>0</v>
          </cell>
          <cell r="D2556">
            <v>0</v>
          </cell>
        </row>
        <row r="2557">
          <cell r="B2557">
            <v>0</v>
          </cell>
          <cell r="C2557">
            <v>0</v>
          </cell>
          <cell r="D2557">
            <v>0</v>
          </cell>
        </row>
        <row r="2558">
          <cell r="B2558">
            <v>0</v>
          </cell>
          <cell r="C2558">
            <v>0</v>
          </cell>
          <cell r="D2558">
            <v>0</v>
          </cell>
        </row>
        <row r="2559">
          <cell r="B2559">
            <v>0</v>
          </cell>
          <cell r="C2559">
            <v>0</v>
          </cell>
          <cell r="D2559">
            <v>0</v>
          </cell>
        </row>
        <row r="2560">
          <cell r="B2560">
            <v>0</v>
          </cell>
          <cell r="C2560">
            <v>0</v>
          </cell>
          <cell r="D2560">
            <v>0</v>
          </cell>
        </row>
        <row r="2561">
          <cell r="B2561">
            <v>0</v>
          </cell>
          <cell r="C2561">
            <v>0</v>
          </cell>
          <cell r="D2561">
            <v>0</v>
          </cell>
        </row>
        <row r="2562">
          <cell r="B2562">
            <v>0</v>
          </cell>
          <cell r="C2562">
            <v>0</v>
          </cell>
          <cell r="D2562">
            <v>0</v>
          </cell>
        </row>
        <row r="2563">
          <cell r="B2563">
            <v>0</v>
          </cell>
          <cell r="C2563">
            <v>0</v>
          </cell>
          <cell r="D2563">
            <v>0</v>
          </cell>
        </row>
        <row r="2564">
          <cell r="B2564">
            <v>0</v>
          </cell>
          <cell r="C2564">
            <v>0</v>
          </cell>
          <cell r="D2564">
            <v>0</v>
          </cell>
        </row>
        <row r="2565">
          <cell r="B2565">
            <v>0</v>
          </cell>
          <cell r="C2565">
            <v>0</v>
          </cell>
          <cell r="D2565">
            <v>0</v>
          </cell>
        </row>
        <row r="2566">
          <cell r="B2566">
            <v>0</v>
          </cell>
          <cell r="C2566">
            <v>0</v>
          </cell>
          <cell r="D2566">
            <v>0</v>
          </cell>
        </row>
        <row r="2567">
          <cell r="B2567">
            <v>0</v>
          </cell>
          <cell r="C2567">
            <v>0</v>
          </cell>
          <cell r="D2567">
            <v>0</v>
          </cell>
        </row>
        <row r="2568">
          <cell r="B2568">
            <v>0</v>
          </cell>
          <cell r="C2568">
            <v>0</v>
          </cell>
          <cell r="D2568">
            <v>0</v>
          </cell>
        </row>
        <row r="2569">
          <cell r="B2569">
            <v>0</v>
          </cell>
          <cell r="C2569">
            <v>0</v>
          </cell>
          <cell r="D2569">
            <v>0</v>
          </cell>
        </row>
        <row r="2570">
          <cell r="B2570">
            <v>0</v>
          </cell>
          <cell r="C2570">
            <v>0</v>
          </cell>
          <cell r="D2570">
            <v>0</v>
          </cell>
        </row>
        <row r="2571">
          <cell r="B2571">
            <v>0</v>
          </cell>
          <cell r="C2571">
            <v>0</v>
          </cell>
          <cell r="D2571">
            <v>0</v>
          </cell>
        </row>
        <row r="2572">
          <cell r="B2572">
            <v>0</v>
          </cell>
          <cell r="C2572">
            <v>0</v>
          </cell>
          <cell r="D2572">
            <v>0</v>
          </cell>
        </row>
        <row r="2573">
          <cell r="B2573">
            <v>0</v>
          </cell>
          <cell r="C2573">
            <v>0</v>
          </cell>
          <cell r="D2573">
            <v>0</v>
          </cell>
        </row>
        <row r="2574">
          <cell r="B2574">
            <v>0</v>
          </cell>
          <cell r="C2574">
            <v>0</v>
          </cell>
          <cell r="D2574">
            <v>0</v>
          </cell>
        </row>
        <row r="2575">
          <cell r="B2575">
            <v>0</v>
          </cell>
          <cell r="C2575">
            <v>0</v>
          </cell>
          <cell r="D2575">
            <v>0</v>
          </cell>
        </row>
        <row r="2576">
          <cell r="B2576">
            <v>0</v>
          </cell>
          <cell r="C2576">
            <v>0</v>
          </cell>
          <cell r="D2576">
            <v>0</v>
          </cell>
        </row>
        <row r="2577">
          <cell r="B2577">
            <v>0</v>
          </cell>
          <cell r="C2577">
            <v>0</v>
          </cell>
          <cell r="D2577">
            <v>0</v>
          </cell>
        </row>
        <row r="2578">
          <cell r="B2578">
            <v>0</v>
          </cell>
          <cell r="C2578">
            <v>0</v>
          </cell>
          <cell r="D2578">
            <v>0</v>
          </cell>
        </row>
        <row r="2579">
          <cell r="B2579">
            <v>0</v>
          </cell>
          <cell r="C2579">
            <v>0</v>
          </cell>
          <cell r="D2579">
            <v>0</v>
          </cell>
        </row>
        <row r="2580">
          <cell r="B2580">
            <v>0</v>
          </cell>
          <cell r="C2580">
            <v>0</v>
          </cell>
          <cell r="D2580">
            <v>0</v>
          </cell>
        </row>
        <row r="2581">
          <cell r="B2581">
            <v>0</v>
          </cell>
          <cell r="C2581">
            <v>0</v>
          </cell>
          <cell r="D2581">
            <v>0</v>
          </cell>
        </row>
        <row r="2582">
          <cell r="B2582">
            <v>0</v>
          </cell>
          <cell r="C2582">
            <v>0</v>
          </cell>
          <cell r="D2582">
            <v>0</v>
          </cell>
        </row>
        <row r="2583">
          <cell r="B2583">
            <v>0</v>
          </cell>
          <cell r="C2583">
            <v>0</v>
          </cell>
          <cell r="D2583">
            <v>0</v>
          </cell>
        </row>
        <row r="2584">
          <cell r="B2584">
            <v>0</v>
          </cell>
          <cell r="C2584">
            <v>0</v>
          </cell>
          <cell r="D2584">
            <v>0</v>
          </cell>
        </row>
        <row r="2585">
          <cell r="B2585">
            <v>0</v>
          </cell>
          <cell r="C2585">
            <v>0</v>
          </cell>
          <cell r="D2585">
            <v>0</v>
          </cell>
        </row>
        <row r="2586">
          <cell r="B2586">
            <v>0</v>
          </cell>
          <cell r="C2586">
            <v>0</v>
          </cell>
          <cell r="D2586">
            <v>0</v>
          </cell>
        </row>
        <row r="2587">
          <cell r="B2587">
            <v>0</v>
          </cell>
          <cell r="C2587">
            <v>0</v>
          </cell>
          <cell r="D2587">
            <v>0</v>
          </cell>
        </row>
        <row r="2588">
          <cell r="B2588">
            <v>0</v>
          </cell>
          <cell r="C2588">
            <v>0</v>
          </cell>
          <cell r="D2588">
            <v>0</v>
          </cell>
        </row>
        <row r="2589">
          <cell r="B2589">
            <v>0</v>
          </cell>
          <cell r="C2589">
            <v>0</v>
          </cell>
          <cell r="D2589">
            <v>0</v>
          </cell>
        </row>
        <row r="2590">
          <cell r="B2590">
            <v>0</v>
          </cell>
          <cell r="C2590">
            <v>0</v>
          </cell>
          <cell r="D2590">
            <v>0</v>
          </cell>
        </row>
        <row r="2591">
          <cell r="B2591">
            <v>0</v>
          </cell>
          <cell r="C2591">
            <v>0</v>
          </cell>
          <cell r="D2591">
            <v>0</v>
          </cell>
        </row>
        <row r="2592">
          <cell r="B2592">
            <v>0</v>
          </cell>
          <cell r="C2592">
            <v>0</v>
          </cell>
          <cell r="D2592">
            <v>0</v>
          </cell>
        </row>
        <row r="2593">
          <cell r="B2593">
            <v>0</v>
          </cell>
          <cell r="C2593">
            <v>0</v>
          </cell>
          <cell r="D2593">
            <v>0</v>
          </cell>
        </row>
        <row r="2594">
          <cell r="B2594">
            <v>0</v>
          </cell>
          <cell r="C2594">
            <v>0</v>
          </cell>
          <cell r="D2594">
            <v>0</v>
          </cell>
        </row>
        <row r="2595">
          <cell r="B2595">
            <v>0</v>
          </cell>
          <cell r="C2595">
            <v>0</v>
          </cell>
          <cell r="D2595">
            <v>0</v>
          </cell>
        </row>
        <row r="2596">
          <cell r="B2596">
            <v>0</v>
          </cell>
          <cell r="C2596">
            <v>0</v>
          </cell>
          <cell r="D2596">
            <v>0</v>
          </cell>
        </row>
        <row r="2597">
          <cell r="B2597">
            <v>0</v>
          </cell>
          <cell r="C2597">
            <v>0</v>
          </cell>
          <cell r="D2597">
            <v>0</v>
          </cell>
        </row>
        <row r="2598">
          <cell r="B2598">
            <v>0</v>
          </cell>
          <cell r="C2598">
            <v>0</v>
          </cell>
          <cell r="D2598">
            <v>0</v>
          </cell>
        </row>
        <row r="2599">
          <cell r="B2599">
            <v>0</v>
          </cell>
          <cell r="C2599">
            <v>0</v>
          </cell>
          <cell r="D2599">
            <v>0</v>
          </cell>
        </row>
        <row r="2600">
          <cell r="B2600">
            <v>0</v>
          </cell>
          <cell r="C2600">
            <v>0</v>
          </cell>
          <cell r="D2600">
            <v>0</v>
          </cell>
        </row>
        <row r="2601">
          <cell r="B2601">
            <v>0</v>
          </cell>
          <cell r="C2601">
            <v>0</v>
          </cell>
          <cell r="D2601">
            <v>0</v>
          </cell>
        </row>
        <row r="2602">
          <cell r="B2602">
            <v>0</v>
          </cell>
          <cell r="C2602">
            <v>0</v>
          </cell>
          <cell r="D2602">
            <v>0</v>
          </cell>
        </row>
        <row r="2603">
          <cell r="B2603">
            <v>0</v>
          </cell>
          <cell r="C2603">
            <v>0</v>
          </cell>
          <cell r="D2603">
            <v>0</v>
          </cell>
        </row>
        <row r="2604">
          <cell r="B2604">
            <v>0</v>
          </cell>
          <cell r="C2604">
            <v>0</v>
          </cell>
          <cell r="D2604">
            <v>0</v>
          </cell>
        </row>
        <row r="2605">
          <cell r="B2605">
            <v>0</v>
          </cell>
          <cell r="C2605">
            <v>0</v>
          </cell>
          <cell r="D2605">
            <v>0</v>
          </cell>
        </row>
        <row r="2606">
          <cell r="B2606">
            <v>0</v>
          </cell>
          <cell r="C2606">
            <v>0</v>
          </cell>
          <cell r="D2606">
            <v>0</v>
          </cell>
        </row>
        <row r="2607">
          <cell r="B2607">
            <v>0</v>
          </cell>
          <cell r="C2607">
            <v>0</v>
          </cell>
          <cell r="D2607">
            <v>0</v>
          </cell>
        </row>
        <row r="2608">
          <cell r="B2608">
            <v>0</v>
          </cell>
          <cell r="C2608">
            <v>0</v>
          </cell>
          <cell r="D2608">
            <v>0</v>
          </cell>
        </row>
        <row r="2609">
          <cell r="B2609">
            <v>0</v>
          </cell>
          <cell r="C2609">
            <v>0</v>
          </cell>
          <cell r="D2609">
            <v>0</v>
          </cell>
        </row>
        <row r="2610">
          <cell r="B2610">
            <v>0</v>
          </cell>
          <cell r="C2610">
            <v>0</v>
          </cell>
          <cell r="D2610">
            <v>0</v>
          </cell>
        </row>
        <row r="2611">
          <cell r="B2611">
            <v>0</v>
          </cell>
          <cell r="C2611">
            <v>0</v>
          </cell>
          <cell r="D2611">
            <v>0</v>
          </cell>
        </row>
        <row r="2612">
          <cell r="B2612">
            <v>0</v>
          </cell>
          <cell r="C2612">
            <v>0</v>
          </cell>
          <cell r="D2612">
            <v>0</v>
          </cell>
        </row>
        <row r="2613">
          <cell r="B2613">
            <v>0</v>
          </cell>
          <cell r="C2613">
            <v>0</v>
          </cell>
          <cell r="D2613">
            <v>0</v>
          </cell>
        </row>
        <row r="2614">
          <cell r="B2614">
            <v>0</v>
          </cell>
          <cell r="C2614">
            <v>0</v>
          </cell>
          <cell r="D2614">
            <v>0</v>
          </cell>
        </row>
        <row r="2615">
          <cell r="B2615">
            <v>0</v>
          </cell>
          <cell r="C2615">
            <v>0</v>
          </cell>
          <cell r="D2615">
            <v>0</v>
          </cell>
        </row>
        <row r="2616">
          <cell r="B2616">
            <v>0</v>
          </cell>
          <cell r="C2616">
            <v>0</v>
          </cell>
          <cell r="D2616">
            <v>0</v>
          </cell>
        </row>
        <row r="2617">
          <cell r="B2617">
            <v>0</v>
          </cell>
          <cell r="C2617">
            <v>0</v>
          </cell>
          <cell r="D2617">
            <v>0</v>
          </cell>
        </row>
        <row r="2618">
          <cell r="B2618">
            <v>0</v>
          </cell>
          <cell r="C2618">
            <v>0</v>
          </cell>
          <cell r="D2618">
            <v>0</v>
          </cell>
        </row>
        <row r="2619">
          <cell r="B2619">
            <v>0</v>
          </cell>
          <cell r="C2619">
            <v>0</v>
          </cell>
          <cell r="D2619">
            <v>0</v>
          </cell>
        </row>
        <row r="2620">
          <cell r="B2620">
            <v>0</v>
          </cell>
          <cell r="C2620">
            <v>0</v>
          </cell>
          <cell r="D2620">
            <v>0</v>
          </cell>
        </row>
        <row r="2621">
          <cell r="B2621">
            <v>0</v>
          </cell>
          <cell r="C2621">
            <v>0</v>
          </cell>
          <cell r="D2621">
            <v>0</v>
          </cell>
        </row>
        <row r="2622">
          <cell r="B2622">
            <v>0</v>
          </cell>
          <cell r="C2622">
            <v>0</v>
          </cell>
          <cell r="D2622">
            <v>0</v>
          </cell>
        </row>
        <row r="2623">
          <cell r="B2623">
            <v>0</v>
          </cell>
          <cell r="C2623">
            <v>0</v>
          </cell>
          <cell r="D2623">
            <v>0</v>
          </cell>
        </row>
        <row r="2624">
          <cell r="B2624">
            <v>0</v>
          </cell>
          <cell r="C2624">
            <v>0</v>
          </cell>
          <cell r="D2624">
            <v>0</v>
          </cell>
        </row>
        <row r="2625">
          <cell r="B2625">
            <v>0</v>
          </cell>
          <cell r="C2625">
            <v>0</v>
          </cell>
          <cell r="D2625">
            <v>0</v>
          </cell>
        </row>
        <row r="2626">
          <cell r="B2626">
            <v>0</v>
          </cell>
          <cell r="C2626">
            <v>0</v>
          </cell>
          <cell r="D2626">
            <v>0</v>
          </cell>
        </row>
        <row r="2627">
          <cell r="B2627">
            <v>0</v>
          </cell>
          <cell r="C2627">
            <v>0</v>
          </cell>
          <cell r="D2627">
            <v>0</v>
          </cell>
        </row>
        <row r="2628">
          <cell r="B2628">
            <v>0</v>
          </cell>
          <cell r="C2628">
            <v>0</v>
          </cell>
          <cell r="D2628">
            <v>0</v>
          </cell>
        </row>
        <row r="2629">
          <cell r="B2629">
            <v>0</v>
          </cell>
          <cell r="C2629">
            <v>0</v>
          </cell>
          <cell r="D2629">
            <v>0</v>
          </cell>
        </row>
        <row r="2630">
          <cell r="B2630">
            <v>0</v>
          </cell>
          <cell r="C2630">
            <v>0</v>
          </cell>
          <cell r="D2630">
            <v>0</v>
          </cell>
        </row>
        <row r="2631">
          <cell r="B2631">
            <v>0</v>
          </cell>
          <cell r="C2631">
            <v>0</v>
          </cell>
          <cell r="D2631">
            <v>0</v>
          </cell>
        </row>
        <row r="2632">
          <cell r="B2632">
            <v>0</v>
          </cell>
          <cell r="C2632">
            <v>0</v>
          </cell>
          <cell r="D2632">
            <v>0</v>
          </cell>
        </row>
        <row r="2633">
          <cell r="B2633">
            <v>0</v>
          </cell>
          <cell r="C2633">
            <v>0</v>
          </cell>
          <cell r="D2633">
            <v>0</v>
          </cell>
        </row>
        <row r="2634">
          <cell r="B2634">
            <v>0</v>
          </cell>
          <cell r="C2634">
            <v>0</v>
          </cell>
          <cell r="D2634">
            <v>0</v>
          </cell>
        </row>
        <row r="2635">
          <cell r="B2635">
            <v>0</v>
          </cell>
          <cell r="C2635">
            <v>0</v>
          </cell>
          <cell r="D2635">
            <v>0</v>
          </cell>
        </row>
        <row r="2636">
          <cell r="B2636">
            <v>0</v>
          </cell>
          <cell r="C2636">
            <v>0</v>
          </cell>
          <cell r="D2636">
            <v>0</v>
          </cell>
        </row>
        <row r="2637">
          <cell r="B2637">
            <v>0</v>
          </cell>
          <cell r="C2637">
            <v>0</v>
          </cell>
          <cell r="D2637">
            <v>0</v>
          </cell>
        </row>
        <row r="2638">
          <cell r="B2638">
            <v>0</v>
          </cell>
          <cell r="C2638">
            <v>0</v>
          </cell>
          <cell r="D2638">
            <v>0</v>
          </cell>
        </row>
        <row r="2639">
          <cell r="B2639">
            <v>0</v>
          </cell>
          <cell r="C2639">
            <v>0</v>
          </cell>
          <cell r="D2639">
            <v>0</v>
          </cell>
        </row>
        <row r="2640">
          <cell r="B2640">
            <v>0</v>
          </cell>
          <cell r="C2640">
            <v>0</v>
          </cell>
          <cell r="D2640">
            <v>0</v>
          </cell>
        </row>
        <row r="2641">
          <cell r="B2641">
            <v>0</v>
          </cell>
          <cell r="C2641">
            <v>0</v>
          </cell>
          <cell r="D2641">
            <v>0</v>
          </cell>
        </row>
        <row r="2642">
          <cell r="B2642">
            <v>0</v>
          </cell>
          <cell r="C2642">
            <v>0</v>
          </cell>
          <cell r="D2642">
            <v>0</v>
          </cell>
        </row>
        <row r="2643">
          <cell r="B2643">
            <v>0</v>
          </cell>
          <cell r="C2643">
            <v>0</v>
          </cell>
          <cell r="D2643">
            <v>0</v>
          </cell>
        </row>
        <row r="2644">
          <cell r="B2644">
            <v>0</v>
          </cell>
          <cell r="C2644">
            <v>0</v>
          </cell>
          <cell r="D2644">
            <v>0</v>
          </cell>
        </row>
        <row r="2645">
          <cell r="B2645">
            <v>0</v>
          </cell>
          <cell r="C2645">
            <v>0</v>
          </cell>
          <cell r="D2645">
            <v>0</v>
          </cell>
        </row>
        <row r="2646">
          <cell r="B2646">
            <v>0</v>
          </cell>
          <cell r="C2646">
            <v>0</v>
          </cell>
          <cell r="D2646">
            <v>0</v>
          </cell>
        </row>
        <row r="2647">
          <cell r="B2647">
            <v>0</v>
          </cell>
          <cell r="C2647">
            <v>0</v>
          </cell>
          <cell r="D2647">
            <v>0</v>
          </cell>
        </row>
        <row r="2648">
          <cell r="B2648">
            <v>0</v>
          </cell>
          <cell r="C2648">
            <v>0</v>
          </cell>
          <cell r="D2648">
            <v>0</v>
          </cell>
        </row>
        <row r="2649">
          <cell r="B2649">
            <v>0</v>
          </cell>
          <cell r="C2649">
            <v>0</v>
          </cell>
          <cell r="D2649">
            <v>0</v>
          </cell>
        </row>
        <row r="2650">
          <cell r="B2650">
            <v>0</v>
          </cell>
          <cell r="C2650">
            <v>0</v>
          </cell>
          <cell r="D2650">
            <v>0</v>
          </cell>
        </row>
        <row r="2651">
          <cell r="B2651">
            <v>0</v>
          </cell>
          <cell r="C2651">
            <v>0</v>
          </cell>
          <cell r="D2651">
            <v>0</v>
          </cell>
        </row>
        <row r="2652">
          <cell r="B2652">
            <v>0</v>
          </cell>
          <cell r="C2652">
            <v>0</v>
          </cell>
          <cell r="D2652">
            <v>0</v>
          </cell>
        </row>
        <row r="2653">
          <cell r="B2653">
            <v>0</v>
          </cell>
          <cell r="C2653">
            <v>0</v>
          </cell>
          <cell r="D2653">
            <v>0</v>
          </cell>
        </row>
        <row r="2654">
          <cell r="B2654">
            <v>0</v>
          </cell>
          <cell r="C2654">
            <v>0</v>
          </cell>
          <cell r="D2654">
            <v>0</v>
          </cell>
        </row>
        <row r="2655">
          <cell r="B2655">
            <v>0</v>
          </cell>
          <cell r="C2655">
            <v>0</v>
          </cell>
          <cell r="D2655">
            <v>0</v>
          </cell>
        </row>
        <row r="2656">
          <cell r="B2656">
            <v>0</v>
          </cell>
          <cell r="C2656">
            <v>0</v>
          </cell>
          <cell r="D2656">
            <v>0</v>
          </cell>
        </row>
        <row r="2657">
          <cell r="B2657">
            <v>0</v>
          </cell>
          <cell r="C2657">
            <v>0</v>
          </cell>
          <cell r="D2657">
            <v>0</v>
          </cell>
        </row>
        <row r="2658">
          <cell r="B2658">
            <v>0</v>
          </cell>
          <cell r="C2658">
            <v>0</v>
          </cell>
          <cell r="D2658">
            <v>0</v>
          </cell>
        </row>
        <row r="2659">
          <cell r="B2659">
            <v>0</v>
          </cell>
          <cell r="C2659">
            <v>0</v>
          </cell>
          <cell r="D2659">
            <v>0</v>
          </cell>
        </row>
        <row r="2660">
          <cell r="B2660">
            <v>0</v>
          </cell>
          <cell r="C2660">
            <v>0</v>
          </cell>
          <cell r="D2660">
            <v>0</v>
          </cell>
        </row>
        <row r="2661">
          <cell r="B2661">
            <v>0</v>
          </cell>
          <cell r="C2661">
            <v>0</v>
          </cell>
          <cell r="D2661">
            <v>0</v>
          </cell>
        </row>
        <row r="2662">
          <cell r="B2662">
            <v>0</v>
          </cell>
          <cell r="C2662">
            <v>0</v>
          </cell>
          <cell r="D2662">
            <v>0</v>
          </cell>
        </row>
        <row r="2663">
          <cell r="B2663">
            <v>0</v>
          </cell>
          <cell r="C2663">
            <v>0</v>
          </cell>
          <cell r="D2663">
            <v>0</v>
          </cell>
        </row>
        <row r="2664">
          <cell r="B2664">
            <v>0</v>
          </cell>
          <cell r="C2664">
            <v>0</v>
          </cell>
          <cell r="D2664">
            <v>0</v>
          </cell>
        </row>
        <row r="2665">
          <cell r="B2665">
            <v>0</v>
          </cell>
          <cell r="C2665">
            <v>0</v>
          </cell>
          <cell r="D2665">
            <v>0</v>
          </cell>
        </row>
        <row r="2666">
          <cell r="B2666">
            <v>0</v>
          </cell>
          <cell r="C2666">
            <v>0</v>
          </cell>
          <cell r="D2666">
            <v>0</v>
          </cell>
        </row>
        <row r="2667">
          <cell r="B2667">
            <v>0</v>
          </cell>
          <cell r="C2667">
            <v>0</v>
          </cell>
          <cell r="D2667">
            <v>0</v>
          </cell>
        </row>
        <row r="2668">
          <cell r="B2668">
            <v>0</v>
          </cell>
          <cell r="C2668">
            <v>0</v>
          </cell>
          <cell r="D2668">
            <v>0</v>
          </cell>
        </row>
        <row r="2669">
          <cell r="B2669">
            <v>0</v>
          </cell>
          <cell r="C2669">
            <v>0</v>
          </cell>
          <cell r="D2669">
            <v>0</v>
          </cell>
        </row>
        <row r="2670">
          <cell r="B2670">
            <v>0</v>
          </cell>
          <cell r="C2670">
            <v>0</v>
          </cell>
          <cell r="D2670">
            <v>0</v>
          </cell>
        </row>
        <row r="2671">
          <cell r="B2671">
            <v>0</v>
          </cell>
          <cell r="C2671">
            <v>0</v>
          </cell>
          <cell r="D2671">
            <v>0</v>
          </cell>
        </row>
        <row r="2672">
          <cell r="B2672">
            <v>0</v>
          </cell>
          <cell r="C2672">
            <v>0</v>
          </cell>
          <cell r="D2672">
            <v>0</v>
          </cell>
        </row>
        <row r="2673">
          <cell r="B2673">
            <v>0</v>
          </cell>
          <cell r="C2673">
            <v>0</v>
          </cell>
          <cell r="D2673">
            <v>0</v>
          </cell>
        </row>
        <row r="2674">
          <cell r="B2674">
            <v>0</v>
          </cell>
          <cell r="C2674">
            <v>0</v>
          </cell>
          <cell r="D2674">
            <v>0</v>
          </cell>
        </row>
        <row r="2675">
          <cell r="B2675">
            <v>0</v>
          </cell>
          <cell r="C2675">
            <v>0</v>
          </cell>
          <cell r="D2675">
            <v>0</v>
          </cell>
        </row>
        <row r="2676">
          <cell r="B2676">
            <v>0</v>
          </cell>
          <cell r="C2676">
            <v>0</v>
          </cell>
          <cell r="D2676">
            <v>0</v>
          </cell>
        </row>
        <row r="2677">
          <cell r="B2677">
            <v>0</v>
          </cell>
          <cell r="C2677">
            <v>0</v>
          </cell>
          <cell r="D2677">
            <v>0</v>
          </cell>
        </row>
        <row r="2678">
          <cell r="B2678">
            <v>0</v>
          </cell>
          <cell r="C2678">
            <v>0</v>
          </cell>
          <cell r="D2678">
            <v>0</v>
          </cell>
        </row>
        <row r="2679">
          <cell r="B2679">
            <v>0</v>
          </cell>
          <cell r="C2679">
            <v>0</v>
          </cell>
          <cell r="D2679">
            <v>0</v>
          </cell>
        </row>
        <row r="2680">
          <cell r="B2680">
            <v>0</v>
          </cell>
          <cell r="C2680">
            <v>0</v>
          </cell>
          <cell r="D2680">
            <v>0</v>
          </cell>
        </row>
        <row r="2681">
          <cell r="B2681">
            <v>0</v>
          </cell>
          <cell r="C2681">
            <v>0</v>
          </cell>
          <cell r="D2681">
            <v>0</v>
          </cell>
        </row>
        <row r="2682">
          <cell r="B2682">
            <v>0</v>
          </cell>
          <cell r="C2682">
            <v>0</v>
          </cell>
          <cell r="D2682">
            <v>0</v>
          </cell>
        </row>
        <row r="2683">
          <cell r="B2683">
            <v>0</v>
          </cell>
          <cell r="C2683">
            <v>0</v>
          </cell>
          <cell r="D2683">
            <v>0</v>
          </cell>
        </row>
        <row r="2684">
          <cell r="B2684">
            <v>0</v>
          </cell>
          <cell r="C2684">
            <v>0</v>
          </cell>
          <cell r="D2684">
            <v>0</v>
          </cell>
        </row>
        <row r="2685">
          <cell r="B2685">
            <v>0</v>
          </cell>
          <cell r="C2685">
            <v>0</v>
          </cell>
          <cell r="D2685">
            <v>0</v>
          </cell>
        </row>
        <row r="2686">
          <cell r="B2686">
            <v>0</v>
          </cell>
          <cell r="C2686">
            <v>0</v>
          </cell>
          <cell r="D2686">
            <v>0</v>
          </cell>
        </row>
        <row r="2687">
          <cell r="B2687">
            <v>0</v>
          </cell>
          <cell r="C2687">
            <v>0</v>
          </cell>
          <cell r="D2687">
            <v>0</v>
          </cell>
        </row>
        <row r="2688">
          <cell r="B2688">
            <v>0</v>
          </cell>
          <cell r="C2688">
            <v>0</v>
          </cell>
          <cell r="D2688">
            <v>0</v>
          </cell>
        </row>
        <row r="2689">
          <cell r="B2689">
            <v>0</v>
          </cell>
          <cell r="C2689">
            <v>0</v>
          </cell>
          <cell r="D2689">
            <v>0</v>
          </cell>
        </row>
        <row r="2690">
          <cell r="B2690">
            <v>0</v>
          </cell>
          <cell r="C2690">
            <v>0</v>
          </cell>
          <cell r="D2690">
            <v>0</v>
          </cell>
        </row>
        <row r="2691">
          <cell r="B2691">
            <v>0</v>
          </cell>
          <cell r="C2691">
            <v>0</v>
          </cell>
          <cell r="D2691">
            <v>0</v>
          </cell>
        </row>
        <row r="2692">
          <cell r="B2692">
            <v>0</v>
          </cell>
          <cell r="C2692">
            <v>0</v>
          </cell>
          <cell r="D2692">
            <v>0</v>
          </cell>
        </row>
        <row r="2693">
          <cell r="B2693">
            <v>0</v>
          </cell>
          <cell r="C2693">
            <v>0</v>
          </cell>
          <cell r="D2693">
            <v>0</v>
          </cell>
        </row>
        <row r="2694">
          <cell r="B2694">
            <v>0</v>
          </cell>
          <cell r="C2694">
            <v>0</v>
          </cell>
          <cell r="D2694">
            <v>0</v>
          </cell>
        </row>
        <row r="2695">
          <cell r="B2695">
            <v>0</v>
          </cell>
          <cell r="C2695">
            <v>0</v>
          </cell>
          <cell r="D2695">
            <v>0</v>
          </cell>
        </row>
        <row r="2696">
          <cell r="B2696">
            <v>0</v>
          </cell>
          <cell r="C2696">
            <v>0</v>
          </cell>
          <cell r="D2696">
            <v>0</v>
          </cell>
        </row>
        <row r="2697">
          <cell r="B2697">
            <v>0</v>
          </cell>
          <cell r="C2697">
            <v>0</v>
          </cell>
          <cell r="D2697">
            <v>0</v>
          </cell>
        </row>
        <row r="2698">
          <cell r="B2698">
            <v>0</v>
          </cell>
          <cell r="C2698">
            <v>0</v>
          </cell>
          <cell r="D2698">
            <v>0</v>
          </cell>
        </row>
        <row r="2699">
          <cell r="B2699">
            <v>0</v>
          </cell>
          <cell r="C2699">
            <v>0</v>
          </cell>
          <cell r="D2699">
            <v>0</v>
          </cell>
        </row>
        <row r="2700">
          <cell r="B2700">
            <v>0</v>
          </cell>
          <cell r="C2700">
            <v>0</v>
          </cell>
          <cell r="D2700">
            <v>0</v>
          </cell>
        </row>
        <row r="2701">
          <cell r="B2701">
            <v>0</v>
          </cell>
          <cell r="C2701">
            <v>0</v>
          </cell>
          <cell r="D2701">
            <v>0</v>
          </cell>
        </row>
        <row r="2702">
          <cell r="B2702">
            <v>0</v>
          </cell>
          <cell r="C2702">
            <v>0</v>
          </cell>
          <cell r="D2702">
            <v>0</v>
          </cell>
        </row>
        <row r="2703">
          <cell r="B2703">
            <v>0</v>
          </cell>
          <cell r="C2703">
            <v>0</v>
          </cell>
          <cell r="D2703">
            <v>0</v>
          </cell>
        </row>
        <row r="2704">
          <cell r="B2704">
            <v>0</v>
          </cell>
          <cell r="C2704">
            <v>0</v>
          </cell>
          <cell r="D2704">
            <v>0</v>
          </cell>
        </row>
        <row r="2705">
          <cell r="B2705">
            <v>0</v>
          </cell>
          <cell r="C2705">
            <v>0</v>
          </cell>
          <cell r="D2705">
            <v>0</v>
          </cell>
        </row>
        <row r="2706">
          <cell r="B2706">
            <v>0</v>
          </cell>
          <cell r="C2706">
            <v>0</v>
          </cell>
          <cell r="D2706">
            <v>0</v>
          </cell>
        </row>
        <row r="2707">
          <cell r="B2707">
            <v>0</v>
          </cell>
          <cell r="C2707">
            <v>0</v>
          </cell>
          <cell r="D2707">
            <v>0</v>
          </cell>
        </row>
        <row r="2708">
          <cell r="B2708">
            <v>0</v>
          </cell>
          <cell r="C2708">
            <v>0</v>
          </cell>
          <cell r="D2708">
            <v>0</v>
          </cell>
        </row>
        <row r="2709">
          <cell r="B2709">
            <v>0</v>
          </cell>
          <cell r="C2709">
            <v>0</v>
          </cell>
          <cell r="D2709">
            <v>0</v>
          </cell>
        </row>
        <row r="2710">
          <cell r="B2710">
            <v>0</v>
          </cell>
          <cell r="C2710">
            <v>0</v>
          </cell>
          <cell r="D2710">
            <v>0</v>
          </cell>
        </row>
        <row r="2711">
          <cell r="B2711">
            <v>0</v>
          </cell>
          <cell r="C2711">
            <v>0</v>
          </cell>
          <cell r="D2711">
            <v>0</v>
          </cell>
        </row>
        <row r="2712">
          <cell r="B2712">
            <v>0</v>
          </cell>
          <cell r="C2712">
            <v>0</v>
          </cell>
          <cell r="D2712">
            <v>0</v>
          </cell>
        </row>
        <row r="2713">
          <cell r="B2713">
            <v>0</v>
          </cell>
          <cell r="C2713">
            <v>0</v>
          </cell>
          <cell r="D2713">
            <v>0</v>
          </cell>
        </row>
        <row r="2714">
          <cell r="B2714">
            <v>0</v>
          </cell>
          <cell r="C2714">
            <v>0</v>
          </cell>
          <cell r="D2714">
            <v>0</v>
          </cell>
        </row>
        <row r="2715">
          <cell r="B2715">
            <v>0</v>
          </cell>
          <cell r="C2715">
            <v>0</v>
          </cell>
          <cell r="D2715">
            <v>0</v>
          </cell>
        </row>
        <row r="2716">
          <cell r="B2716">
            <v>0</v>
          </cell>
          <cell r="C2716">
            <v>0</v>
          </cell>
          <cell r="D2716">
            <v>0</v>
          </cell>
        </row>
        <row r="2717">
          <cell r="B2717">
            <v>0</v>
          </cell>
          <cell r="C2717">
            <v>0</v>
          </cell>
          <cell r="D2717">
            <v>0</v>
          </cell>
        </row>
        <row r="2718">
          <cell r="B2718">
            <v>0</v>
          </cell>
          <cell r="C2718">
            <v>0</v>
          </cell>
          <cell r="D2718">
            <v>0</v>
          </cell>
        </row>
        <row r="2719">
          <cell r="B2719">
            <v>0</v>
          </cell>
          <cell r="C2719">
            <v>0</v>
          </cell>
          <cell r="D2719">
            <v>0</v>
          </cell>
        </row>
        <row r="2720">
          <cell r="B2720">
            <v>0</v>
          </cell>
          <cell r="C2720">
            <v>0</v>
          </cell>
          <cell r="D2720">
            <v>0</v>
          </cell>
        </row>
        <row r="2721">
          <cell r="B2721">
            <v>0</v>
          </cell>
          <cell r="C2721">
            <v>0</v>
          </cell>
          <cell r="D2721">
            <v>0</v>
          </cell>
        </row>
        <row r="2722">
          <cell r="B2722">
            <v>0</v>
          </cell>
          <cell r="C2722">
            <v>0</v>
          </cell>
          <cell r="D2722">
            <v>0</v>
          </cell>
        </row>
        <row r="2723">
          <cell r="B2723">
            <v>0</v>
          </cell>
          <cell r="C2723">
            <v>0</v>
          </cell>
          <cell r="D2723">
            <v>0</v>
          </cell>
        </row>
        <row r="2724">
          <cell r="B2724">
            <v>0</v>
          </cell>
          <cell r="C2724">
            <v>0</v>
          </cell>
          <cell r="D2724">
            <v>0</v>
          </cell>
        </row>
        <row r="2725">
          <cell r="B2725">
            <v>0</v>
          </cell>
          <cell r="C2725">
            <v>0</v>
          </cell>
          <cell r="D2725">
            <v>0</v>
          </cell>
        </row>
        <row r="2726">
          <cell r="B2726">
            <v>0</v>
          </cell>
          <cell r="C2726">
            <v>0</v>
          </cell>
          <cell r="D2726">
            <v>0</v>
          </cell>
        </row>
        <row r="2727">
          <cell r="B2727">
            <v>0</v>
          </cell>
          <cell r="C2727">
            <v>0</v>
          </cell>
          <cell r="D2727">
            <v>0</v>
          </cell>
        </row>
        <row r="2728">
          <cell r="B2728">
            <v>0</v>
          </cell>
          <cell r="C2728">
            <v>0</v>
          </cell>
          <cell r="D2728">
            <v>0</v>
          </cell>
        </row>
        <row r="2729">
          <cell r="B2729">
            <v>0</v>
          </cell>
          <cell r="C2729">
            <v>0</v>
          </cell>
          <cell r="D2729">
            <v>0</v>
          </cell>
        </row>
        <row r="2730">
          <cell r="B2730">
            <v>0</v>
          </cell>
          <cell r="C2730">
            <v>0</v>
          </cell>
          <cell r="D2730">
            <v>0</v>
          </cell>
        </row>
        <row r="2731">
          <cell r="B2731">
            <v>0</v>
          </cell>
          <cell r="C2731">
            <v>0</v>
          </cell>
          <cell r="D2731">
            <v>0</v>
          </cell>
        </row>
        <row r="2732">
          <cell r="B2732">
            <v>0</v>
          </cell>
          <cell r="C2732">
            <v>0</v>
          </cell>
          <cell r="D2732">
            <v>0</v>
          </cell>
        </row>
        <row r="2733">
          <cell r="B2733">
            <v>0</v>
          </cell>
          <cell r="C2733">
            <v>0</v>
          </cell>
          <cell r="D2733">
            <v>0</v>
          </cell>
        </row>
        <row r="2734">
          <cell r="B2734">
            <v>0</v>
          </cell>
          <cell r="C2734">
            <v>0</v>
          </cell>
          <cell r="D2734">
            <v>0</v>
          </cell>
        </row>
        <row r="2735">
          <cell r="B2735">
            <v>0</v>
          </cell>
          <cell r="C2735">
            <v>0</v>
          </cell>
          <cell r="D2735">
            <v>0</v>
          </cell>
        </row>
        <row r="2736">
          <cell r="B2736">
            <v>0</v>
          </cell>
          <cell r="C2736">
            <v>0</v>
          </cell>
          <cell r="D2736">
            <v>0</v>
          </cell>
        </row>
        <row r="2737">
          <cell r="B2737">
            <v>0</v>
          </cell>
          <cell r="C2737">
            <v>0</v>
          </cell>
          <cell r="D2737">
            <v>0</v>
          </cell>
        </row>
        <row r="2738">
          <cell r="B2738">
            <v>0</v>
          </cell>
          <cell r="C2738">
            <v>0</v>
          </cell>
          <cell r="D2738">
            <v>0</v>
          </cell>
        </row>
        <row r="2739">
          <cell r="B2739">
            <v>0</v>
          </cell>
          <cell r="C2739">
            <v>0</v>
          </cell>
          <cell r="D2739">
            <v>0</v>
          </cell>
        </row>
        <row r="2740">
          <cell r="B2740">
            <v>0</v>
          </cell>
          <cell r="C2740">
            <v>0</v>
          </cell>
          <cell r="D2740">
            <v>0</v>
          </cell>
        </row>
        <row r="2741">
          <cell r="B2741">
            <v>0</v>
          </cell>
          <cell r="C2741">
            <v>0</v>
          </cell>
          <cell r="D2741">
            <v>0</v>
          </cell>
        </row>
        <row r="2742">
          <cell r="B2742">
            <v>0</v>
          </cell>
          <cell r="C2742">
            <v>0</v>
          </cell>
          <cell r="D2742">
            <v>0</v>
          </cell>
        </row>
        <row r="2743">
          <cell r="B2743">
            <v>0</v>
          </cell>
          <cell r="C2743">
            <v>0</v>
          </cell>
          <cell r="D2743">
            <v>0</v>
          </cell>
        </row>
        <row r="2744">
          <cell r="B2744">
            <v>0</v>
          </cell>
          <cell r="C2744">
            <v>0</v>
          </cell>
          <cell r="D2744">
            <v>0</v>
          </cell>
        </row>
        <row r="2745">
          <cell r="B2745">
            <v>0</v>
          </cell>
          <cell r="C2745">
            <v>0</v>
          </cell>
          <cell r="D2745">
            <v>0</v>
          </cell>
        </row>
        <row r="2746">
          <cell r="B2746">
            <v>0</v>
          </cell>
          <cell r="C2746">
            <v>0</v>
          </cell>
          <cell r="D2746">
            <v>0</v>
          </cell>
        </row>
        <row r="2747">
          <cell r="B2747">
            <v>0</v>
          </cell>
          <cell r="C2747">
            <v>0</v>
          </cell>
          <cell r="D2747">
            <v>0</v>
          </cell>
        </row>
        <row r="2748">
          <cell r="B2748">
            <v>0</v>
          </cell>
          <cell r="C2748">
            <v>0</v>
          </cell>
          <cell r="D2748">
            <v>0</v>
          </cell>
        </row>
        <row r="2749">
          <cell r="B2749">
            <v>0</v>
          </cell>
          <cell r="C2749">
            <v>0</v>
          </cell>
          <cell r="D2749">
            <v>0</v>
          </cell>
        </row>
        <row r="2750">
          <cell r="B2750">
            <v>0</v>
          </cell>
          <cell r="C2750">
            <v>0</v>
          </cell>
          <cell r="D2750">
            <v>0</v>
          </cell>
        </row>
        <row r="2751">
          <cell r="B2751">
            <v>0</v>
          </cell>
          <cell r="C2751">
            <v>0</v>
          </cell>
          <cell r="D2751">
            <v>0</v>
          </cell>
        </row>
        <row r="2752">
          <cell r="B2752">
            <v>0</v>
          </cell>
          <cell r="C2752">
            <v>0</v>
          </cell>
          <cell r="D2752">
            <v>0</v>
          </cell>
        </row>
        <row r="2753">
          <cell r="B2753">
            <v>0</v>
          </cell>
          <cell r="C2753">
            <v>0</v>
          </cell>
          <cell r="D2753">
            <v>0</v>
          </cell>
        </row>
        <row r="2754">
          <cell r="B2754">
            <v>0</v>
          </cell>
          <cell r="C2754">
            <v>0</v>
          </cell>
          <cell r="D2754">
            <v>0</v>
          </cell>
        </row>
        <row r="2755">
          <cell r="B2755">
            <v>0</v>
          </cell>
          <cell r="C2755">
            <v>0</v>
          </cell>
          <cell r="D2755">
            <v>0</v>
          </cell>
        </row>
        <row r="2756">
          <cell r="B2756">
            <v>0</v>
          </cell>
          <cell r="C2756">
            <v>0</v>
          </cell>
          <cell r="D2756">
            <v>0</v>
          </cell>
        </row>
        <row r="2757">
          <cell r="B2757">
            <v>0</v>
          </cell>
          <cell r="C2757">
            <v>0</v>
          </cell>
          <cell r="D2757">
            <v>0</v>
          </cell>
        </row>
        <row r="2758">
          <cell r="B2758">
            <v>0</v>
          </cell>
          <cell r="C2758">
            <v>0</v>
          </cell>
          <cell r="D2758">
            <v>0</v>
          </cell>
        </row>
        <row r="2759">
          <cell r="B2759">
            <v>0</v>
          </cell>
          <cell r="C2759">
            <v>0</v>
          </cell>
          <cell r="D2759">
            <v>0</v>
          </cell>
        </row>
        <row r="2760">
          <cell r="B2760">
            <v>0</v>
          </cell>
          <cell r="C2760">
            <v>0</v>
          </cell>
          <cell r="D2760">
            <v>0</v>
          </cell>
        </row>
        <row r="2761">
          <cell r="B2761">
            <v>0</v>
          </cell>
          <cell r="C2761">
            <v>0</v>
          </cell>
          <cell r="D2761">
            <v>0</v>
          </cell>
        </row>
        <row r="2762">
          <cell r="B2762">
            <v>0</v>
          </cell>
          <cell r="C2762">
            <v>0</v>
          </cell>
          <cell r="D2762">
            <v>0</v>
          </cell>
        </row>
        <row r="2763">
          <cell r="B2763">
            <v>0</v>
          </cell>
          <cell r="C2763">
            <v>0</v>
          </cell>
          <cell r="D2763">
            <v>0</v>
          </cell>
        </row>
        <row r="2764">
          <cell r="B2764">
            <v>0</v>
          </cell>
          <cell r="C2764">
            <v>0</v>
          </cell>
          <cell r="D2764">
            <v>0</v>
          </cell>
        </row>
        <row r="2765">
          <cell r="B2765">
            <v>0</v>
          </cell>
          <cell r="C2765">
            <v>0</v>
          </cell>
          <cell r="D2765">
            <v>0</v>
          </cell>
        </row>
        <row r="2766">
          <cell r="B2766">
            <v>0</v>
          </cell>
          <cell r="C2766">
            <v>0</v>
          </cell>
          <cell r="D2766">
            <v>0</v>
          </cell>
        </row>
        <row r="2767">
          <cell r="B2767">
            <v>0</v>
          </cell>
          <cell r="C2767">
            <v>0</v>
          </cell>
          <cell r="D2767">
            <v>0</v>
          </cell>
        </row>
        <row r="2768">
          <cell r="B2768">
            <v>0</v>
          </cell>
          <cell r="C2768">
            <v>0</v>
          </cell>
          <cell r="D2768">
            <v>0</v>
          </cell>
        </row>
        <row r="2769">
          <cell r="B2769">
            <v>0</v>
          </cell>
          <cell r="C2769">
            <v>0</v>
          </cell>
          <cell r="D2769">
            <v>0</v>
          </cell>
        </row>
        <row r="2770">
          <cell r="B2770">
            <v>0</v>
          </cell>
          <cell r="C2770">
            <v>0</v>
          </cell>
          <cell r="D2770">
            <v>0</v>
          </cell>
        </row>
        <row r="2771">
          <cell r="B2771">
            <v>0</v>
          </cell>
          <cell r="C2771">
            <v>0</v>
          </cell>
          <cell r="D2771">
            <v>0</v>
          </cell>
        </row>
        <row r="2772">
          <cell r="B2772">
            <v>0</v>
          </cell>
          <cell r="C2772">
            <v>0</v>
          </cell>
          <cell r="D2772">
            <v>0</v>
          </cell>
        </row>
        <row r="2773">
          <cell r="B2773">
            <v>0</v>
          </cell>
          <cell r="C2773">
            <v>0</v>
          </cell>
          <cell r="D2773">
            <v>0</v>
          </cell>
        </row>
        <row r="2774">
          <cell r="B2774">
            <v>0</v>
          </cell>
          <cell r="C2774">
            <v>0</v>
          </cell>
          <cell r="D2774">
            <v>0</v>
          </cell>
        </row>
        <row r="2775">
          <cell r="B2775">
            <v>0</v>
          </cell>
          <cell r="C2775">
            <v>0</v>
          </cell>
          <cell r="D2775">
            <v>0</v>
          </cell>
        </row>
        <row r="2776">
          <cell r="B2776">
            <v>0</v>
          </cell>
          <cell r="C2776">
            <v>0</v>
          </cell>
          <cell r="D2776">
            <v>0</v>
          </cell>
        </row>
        <row r="2777">
          <cell r="B2777">
            <v>0</v>
          </cell>
          <cell r="C2777">
            <v>0</v>
          </cell>
          <cell r="D2777">
            <v>0</v>
          </cell>
        </row>
        <row r="2778">
          <cell r="B2778">
            <v>0</v>
          </cell>
          <cell r="C2778">
            <v>0</v>
          </cell>
          <cell r="D2778">
            <v>0</v>
          </cell>
        </row>
        <row r="2779">
          <cell r="B2779">
            <v>0</v>
          </cell>
          <cell r="C2779">
            <v>0</v>
          </cell>
          <cell r="D2779">
            <v>0</v>
          </cell>
        </row>
        <row r="2780">
          <cell r="B2780">
            <v>0</v>
          </cell>
          <cell r="C2780">
            <v>0</v>
          </cell>
          <cell r="D2780">
            <v>0</v>
          </cell>
        </row>
        <row r="2781">
          <cell r="B2781">
            <v>0</v>
          </cell>
          <cell r="C2781">
            <v>0</v>
          </cell>
          <cell r="D2781">
            <v>0</v>
          </cell>
        </row>
        <row r="2782">
          <cell r="B2782">
            <v>0</v>
          </cell>
          <cell r="C2782">
            <v>0</v>
          </cell>
          <cell r="D2782">
            <v>0</v>
          </cell>
        </row>
        <row r="2783">
          <cell r="B2783">
            <v>0</v>
          </cell>
          <cell r="C2783">
            <v>0</v>
          </cell>
          <cell r="D2783">
            <v>0</v>
          </cell>
        </row>
        <row r="2784">
          <cell r="B2784">
            <v>0</v>
          </cell>
          <cell r="C2784">
            <v>0</v>
          </cell>
          <cell r="D2784">
            <v>0</v>
          </cell>
        </row>
        <row r="2785">
          <cell r="B2785">
            <v>0</v>
          </cell>
          <cell r="C2785">
            <v>0</v>
          </cell>
          <cell r="D2785">
            <v>0</v>
          </cell>
        </row>
        <row r="2786">
          <cell r="B2786">
            <v>0</v>
          </cell>
          <cell r="C2786">
            <v>0</v>
          </cell>
          <cell r="D2786">
            <v>0</v>
          </cell>
        </row>
        <row r="2787">
          <cell r="B2787">
            <v>0</v>
          </cell>
          <cell r="C2787">
            <v>0</v>
          </cell>
          <cell r="D2787">
            <v>0</v>
          </cell>
        </row>
        <row r="2788">
          <cell r="B2788">
            <v>0</v>
          </cell>
          <cell r="C2788">
            <v>0</v>
          </cell>
          <cell r="D2788">
            <v>0</v>
          </cell>
        </row>
        <row r="2789">
          <cell r="B2789">
            <v>0</v>
          </cell>
          <cell r="C2789">
            <v>0</v>
          </cell>
          <cell r="D2789">
            <v>0</v>
          </cell>
        </row>
        <row r="2790">
          <cell r="B2790">
            <v>0</v>
          </cell>
          <cell r="C2790">
            <v>0</v>
          </cell>
          <cell r="D2790">
            <v>0</v>
          </cell>
        </row>
        <row r="2791">
          <cell r="B2791">
            <v>0</v>
          </cell>
          <cell r="C2791">
            <v>0</v>
          </cell>
          <cell r="D2791">
            <v>0</v>
          </cell>
        </row>
        <row r="2792">
          <cell r="B2792">
            <v>0</v>
          </cell>
          <cell r="C2792">
            <v>0</v>
          </cell>
          <cell r="D2792">
            <v>0</v>
          </cell>
        </row>
        <row r="2793">
          <cell r="B2793">
            <v>0</v>
          </cell>
          <cell r="C2793">
            <v>0</v>
          </cell>
          <cell r="D2793">
            <v>0</v>
          </cell>
        </row>
        <row r="2794">
          <cell r="B2794">
            <v>0</v>
          </cell>
          <cell r="C2794">
            <v>0</v>
          </cell>
          <cell r="D2794">
            <v>0</v>
          </cell>
        </row>
        <row r="2795">
          <cell r="B2795">
            <v>0</v>
          </cell>
          <cell r="C2795">
            <v>0</v>
          </cell>
          <cell r="D2795">
            <v>0</v>
          </cell>
        </row>
        <row r="2796">
          <cell r="B2796">
            <v>0</v>
          </cell>
          <cell r="C2796">
            <v>0</v>
          </cell>
          <cell r="D2796">
            <v>0</v>
          </cell>
        </row>
        <row r="2797">
          <cell r="B2797">
            <v>0</v>
          </cell>
          <cell r="C2797">
            <v>0</v>
          </cell>
          <cell r="D2797">
            <v>0</v>
          </cell>
        </row>
        <row r="2798">
          <cell r="B2798">
            <v>0</v>
          </cell>
          <cell r="C2798">
            <v>0</v>
          </cell>
          <cell r="D2798">
            <v>0</v>
          </cell>
        </row>
        <row r="2799">
          <cell r="B2799">
            <v>0</v>
          </cell>
          <cell r="C2799">
            <v>0</v>
          </cell>
          <cell r="D2799">
            <v>0</v>
          </cell>
        </row>
        <row r="2800">
          <cell r="B2800">
            <v>0</v>
          </cell>
          <cell r="C2800">
            <v>0</v>
          </cell>
          <cell r="D2800">
            <v>0</v>
          </cell>
        </row>
        <row r="2801">
          <cell r="B2801">
            <v>0</v>
          </cell>
          <cell r="C2801">
            <v>0</v>
          </cell>
          <cell r="D2801">
            <v>0</v>
          </cell>
        </row>
        <row r="2802">
          <cell r="B2802">
            <v>0</v>
          </cell>
          <cell r="C2802">
            <v>0</v>
          </cell>
          <cell r="D2802">
            <v>0</v>
          </cell>
        </row>
        <row r="2803">
          <cell r="B2803">
            <v>0</v>
          </cell>
          <cell r="C2803">
            <v>0</v>
          </cell>
          <cell r="D2803">
            <v>0</v>
          </cell>
        </row>
        <row r="2804">
          <cell r="B2804">
            <v>0</v>
          </cell>
          <cell r="C2804">
            <v>0</v>
          </cell>
          <cell r="D2804">
            <v>0</v>
          </cell>
        </row>
        <row r="2805">
          <cell r="B2805">
            <v>0</v>
          </cell>
          <cell r="C2805">
            <v>0</v>
          </cell>
          <cell r="D2805">
            <v>0</v>
          </cell>
        </row>
        <row r="2806">
          <cell r="B2806">
            <v>0</v>
          </cell>
          <cell r="C2806">
            <v>0</v>
          </cell>
          <cell r="D2806">
            <v>0</v>
          </cell>
        </row>
        <row r="2807">
          <cell r="B2807">
            <v>0</v>
          </cell>
          <cell r="C2807">
            <v>0</v>
          </cell>
          <cell r="D2807">
            <v>0</v>
          </cell>
        </row>
        <row r="2808">
          <cell r="B2808">
            <v>0</v>
          </cell>
          <cell r="C2808">
            <v>0</v>
          </cell>
          <cell r="D2808">
            <v>0</v>
          </cell>
        </row>
        <row r="2809">
          <cell r="B2809">
            <v>0</v>
          </cell>
          <cell r="C2809">
            <v>0</v>
          </cell>
          <cell r="D2809">
            <v>0</v>
          </cell>
        </row>
        <row r="2810">
          <cell r="B2810">
            <v>0</v>
          </cell>
          <cell r="C2810">
            <v>0</v>
          </cell>
          <cell r="D2810">
            <v>0</v>
          </cell>
        </row>
        <row r="2811">
          <cell r="B2811">
            <v>0</v>
          </cell>
          <cell r="C2811">
            <v>0</v>
          </cell>
          <cell r="D2811">
            <v>0</v>
          </cell>
        </row>
        <row r="2812">
          <cell r="B2812">
            <v>0</v>
          </cell>
          <cell r="C2812">
            <v>0</v>
          </cell>
          <cell r="D2812">
            <v>0</v>
          </cell>
        </row>
        <row r="2813">
          <cell r="B2813">
            <v>0</v>
          </cell>
          <cell r="C2813">
            <v>0</v>
          </cell>
          <cell r="D2813">
            <v>0</v>
          </cell>
        </row>
        <row r="2814">
          <cell r="B2814">
            <v>0</v>
          </cell>
          <cell r="C2814">
            <v>0</v>
          </cell>
          <cell r="D2814">
            <v>0</v>
          </cell>
        </row>
        <row r="2815">
          <cell r="B2815">
            <v>0</v>
          </cell>
          <cell r="C2815">
            <v>0</v>
          </cell>
          <cell r="D2815">
            <v>0</v>
          </cell>
        </row>
        <row r="2816">
          <cell r="B2816">
            <v>0</v>
          </cell>
          <cell r="C2816">
            <v>0</v>
          </cell>
          <cell r="D2816">
            <v>0</v>
          </cell>
        </row>
        <row r="2817">
          <cell r="B2817">
            <v>0</v>
          </cell>
          <cell r="C2817">
            <v>0</v>
          </cell>
          <cell r="D2817">
            <v>0</v>
          </cell>
        </row>
        <row r="2818">
          <cell r="B2818">
            <v>0</v>
          </cell>
          <cell r="C2818">
            <v>0</v>
          </cell>
          <cell r="D2818">
            <v>0</v>
          </cell>
        </row>
        <row r="2819">
          <cell r="B2819">
            <v>0</v>
          </cell>
          <cell r="C2819">
            <v>0</v>
          </cell>
          <cell r="D2819">
            <v>0</v>
          </cell>
        </row>
        <row r="2820">
          <cell r="B2820">
            <v>0</v>
          </cell>
          <cell r="C2820">
            <v>0</v>
          </cell>
          <cell r="D2820">
            <v>0</v>
          </cell>
        </row>
        <row r="2821">
          <cell r="B2821">
            <v>0</v>
          </cell>
          <cell r="C2821">
            <v>0</v>
          </cell>
          <cell r="D2821">
            <v>0</v>
          </cell>
        </row>
        <row r="2822">
          <cell r="B2822">
            <v>0</v>
          </cell>
          <cell r="C2822">
            <v>0</v>
          </cell>
          <cell r="D2822">
            <v>0</v>
          </cell>
        </row>
        <row r="2823">
          <cell r="B2823">
            <v>0</v>
          </cell>
          <cell r="C2823">
            <v>0</v>
          </cell>
          <cell r="D2823">
            <v>0</v>
          </cell>
        </row>
        <row r="2824">
          <cell r="B2824">
            <v>0</v>
          </cell>
          <cell r="C2824">
            <v>0</v>
          </cell>
          <cell r="D2824">
            <v>0</v>
          </cell>
        </row>
        <row r="2825">
          <cell r="B2825">
            <v>0</v>
          </cell>
          <cell r="C2825">
            <v>0</v>
          </cell>
          <cell r="D2825">
            <v>0</v>
          </cell>
        </row>
        <row r="2826">
          <cell r="B2826">
            <v>0</v>
          </cell>
          <cell r="C2826">
            <v>0</v>
          </cell>
          <cell r="D2826">
            <v>0</v>
          </cell>
        </row>
        <row r="2827">
          <cell r="B2827">
            <v>0</v>
          </cell>
          <cell r="C2827">
            <v>0</v>
          </cell>
          <cell r="D2827">
            <v>0</v>
          </cell>
        </row>
        <row r="2828">
          <cell r="B2828">
            <v>0</v>
          </cell>
          <cell r="C2828">
            <v>0</v>
          </cell>
          <cell r="D2828">
            <v>0</v>
          </cell>
        </row>
        <row r="2829">
          <cell r="B2829">
            <v>0</v>
          </cell>
          <cell r="C2829">
            <v>0</v>
          </cell>
          <cell r="D2829">
            <v>0</v>
          </cell>
        </row>
        <row r="2830">
          <cell r="B2830">
            <v>0</v>
          </cell>
          <cell r="C2830">
            <v>0</v>
          </cell>
          <cell r="D2830">
            <v>0</v>
          </cell>
        </row>
        <row r="2831">
          <cell r="B2831">
            <v>0</v>
          </cell>
          <cell r="C2831">
            <v>0</v>
          </cell>
          <cell r="D2831">
            <v>0</v>
          </cell>
        </row>
        <row r="2832">
          <cell r="B2832">
            <v>0</v>
          </cell>
          <cell r="C2832">
            <v>0</v>
          </cell>
          <cell r="D2832">
            <v>0</v>
          </cell>
        </row>
        <row r="2833">
          <cell r="B2833">
            <v>0</v>
          </cell>
          <cell r="C2833">
            <v>0</v>
          </cell>
          <cell r="D2833">
            <v>0</v>
          </cell>
        </row>
        <row r="2834">
          <cell r="B2834">
            <v>0</v>
          </cell>
          <cell r="C2834">
            <v>0</v>
          </cell>
          <cell r="D2834">
            <v>0</v>
          </cell>
        </row>
        <row r="2835">
          <cell r="B2835">
            <v>0</v>
          </cell>
          <cell r="C2835">
            <v>0</v>
          </cell>
          <cell r="D2835">
            <v>0</v>
          </cell>
        </row>
        <row r="2836">
          <cell r="B2836">
            <v>0</v>
          </cell>
          <cell r="C2836">
            <v>0</v>
          </cell>
          <cell r="D2836">
            <v>0</v>
          </cell>
        </row>
        <row r="2837">
          <cell r="B2837">
            <v>0</v>
          </cell>
          <cell r="C2837">
            <v>0</v>
          </cell>
          <cell r="D2837">
            <v>0</v>
          </cell>
        </row>
        <row r="2838">
          <cell r="B2838">
            <v>0</v>
          </cell>
          <cell r="C2838">
            <v>0</v>
          </cell>
          <cell r="D2838">
            <v>0</v>
          </cell>
        </row>
        <row r="2839">
          <cell r="B2839">
            <v>0</v>
          </cell>
          <cell r="C2839">
            <v>0</v>
          </cell>
          <cell r="D2839">
            <v>0</v>
          </cell>
        </row>
        <row r="2840">
          <cell r="B2840">
            <v>0</v>
          </cell>
          <cell r="C2840">
            <v>0</v>
          </cell>
          <cell r="D2840">
            <v>0</v>
          </cell>
        </row>
        <row r="2841">
          <cell r="B2841">
            <v>0</v>
          </cell>
          <cell r="C2841">
            <v>0</v>
          </cell>
          <cell r="D2841">
            <v>0</v>
          </cell>
        </row>
        <row r="2842">
          <cell r="B2842">
            <v>0</v>
          </cell>
          <cell r="C2842">
            <v>0</v>
          </cell>
          <cell r="D2842">
            <v>0</v>
          </cell>
        </row>
        <row r="2843">
          <cell r="B2843">
            <v>0</v>
          </cell>
          <cell r="C2843">
            <v>0</v>
          </cell>
          <cell r="D2843">
            <v>0</v>
          </cell>
        </row>
        <row r="2844">
          <cell r="B2844">
            <v>0</v>
          </cell>
          <cell r="C2844">
            <v>0</v>
          </cell>
          <cell r="D2844">
            <v>0</v>
          </cell>
        </row>
        <row r="2845">
          <cell r="B2845">
            <v>0</v>
          </cell>
          <cell r="C2845">
            <v>0</v>
          </cell>
          <cell r="D2845">
            <v>0</v>
          </cell>
        </row>
        <row r="2846">
          <cell r="B2846">
            <v>0</v>
          </cell>
          <cell r="C2846">
            <v>0</v>
          </cell>
          <cell r="D2846">
            <v>0</v>
          </cell>
        </row>
        <row r="2847">
          <cell r="B2847">
            <v>0</v>
          </cell>
          <cell r="C2847">
            <v>0</v>
          </cell>
          <cell r="D2847">
            <v>0</v>
          </cell>
        </row>
        <row r="2848">
          <cell r="B2848">
            <v>0</v>
          </cell>
          <cell r="C2848">
            <v>0</v>
          </cell>
          <cell r="D2848">
            <v>0</v>
          </cell>
        </row>
        <row r="2849">
          <cell r="B2849">
            <v>0</v>
          </cell>
          <cell r="C2849">
            <v>0</v>
          </cell>
          <cell r="D2849">
            <v>0</v>
          </cell>
        </row>
        <row r="2850">
          <cell r="B2850">
            <v>0</v>
          </cell>
          <cell r="C2850">
            <v>0</v>
          </cell>
          <cell r="D2850">
            <v>0</v>
          </cell>
        </row>
        <row r="2851">
          <cell r="B2851">
            <v>0</v>
          </cell>
          <cell r="C2851">
            <v>0</v>
          </cell>
          <cell r="D2851">
            <v>0</v>
          </cell>
        </row>
        <row r="2852">
          <cell r="B2852">
            <v>0</v>
          </cell>
          <cell r="C2852">
            <v>0</v>
          </cell>
          <cell r="D2852">
            <v>0</v>
          </cell>
        </row>
        <row r="2853">
          <cell r="B2853">
            <v>0</v>
          </cell>
          <cell r="C2853">
            <v>0</v>
          </cell>
          <cell r="D2853">
            <v>0</v>
          </cell>
        </row>
        <row r="2854">
          <cell r="B2854">
            <v>0</v>
          </cell>
          <cell r="C2854">
            <v>0</v>
          </cell>
          <cell r="D2854">
            <v>0</v>
          </cell>
        </row>
        <row r="2855">
          <cell r="B2855">
            <v>0</v>
          </cell>
          <cell r="C2855">
            <v>0</v>
          </cell>
          <cell r="D2855">
            <v>0</v>
          </cell>
        </row>
        <row r="2856">
          <cell r="B2856">
            <v>0</v>
          </cell>
          <cell r="C2856">
            <v>0</v>
          </cell>
          <cell r="D2856">
            <v>0</v>
          </cell>
        </row>
        <row r="2857">
          <cell r="B2857">
            <v>0</v>
          </cell>
          <cell r="C2857">
            <v>0</v>
          </cell>
          <cell r="D2857">
            <v>0</v>
          </cell>
        </row>
        <row r="2858">
          <cell r="B2858">
            <v>0</v>
          </cell>
          <cell r="C2858">
            <v>0</v>
          </cell>
          <cell r="D2858">
            <v>0</v>
          </cell>
        </row>
        <row r="2859">
          <cell r="B2859">
            <v>0</v>
          </cell>
          <cell r="C2859">
            <v>0</v>
          </cell>
          <cell r="D2859">
            <v>0</v>
          </cell>
        </row>
        <row r="2860">
          <cell r="B2860">
            <v>0</v>
          </cell>
          <cell r="C2860">
            <v>0</v>
          </cell>
          <cell r="D2860">
            <v>0</v>
          </cell>
        </row>
        <row r="2861">
          <cell r="B2861">
            <v>0</v>
          </cell>
          <cell r="C2861">
            <v>0</v>
          </cell>
          <cell r="D2861">
            <v>0</v>
          </cell>
        </row>
        <row r="2862">
          <cell r="B2862">
            <v>0</v>
          </cell>
          <cell r="C2862">
            <v>0</v>
          </cell>
          <cell r="D2862">
            <v>0</v>
          </cell>
        </row>
        <row r="2863">
          <cell r="B2863">
            <v>0</v>
          </cell>
          <cell r="C2863">
            <v>0</v>
          </cell>
          <cell r="D2863">
            <v>0</v>
          </cell>
        </row>
        <row r="2864">
          <cell r="B2864">
            <v>0</v>
          </cell>
          <cell r="C2864">
            <v>0</v>
          </cell>
          <cell r="D2864">
            <v>0</v>
          </cell>
        </row>
        <row r="2865">
          <cell r="B2865">
            <v>0</v>
          </cell>
          <cell r="C2865">
            <v>0</v>
          </cell>
          <cell r="D2865">
            <v>0</v>
          </cell>
        </row>
        <row r="2866">
          <cell r="B2866">
            <v>0</v>
          </cell>
          <cell r="C2866">
            <v>0</v>
          </cell>
          <cell r="D2866">
            <v>0</v>
          </cell>
        </row>
        <row r="2867">
          <cell r="B2867">
            <v>0</v>
          </cell>
          <cell r="C2867">
            <v>0</v>
          </cell>
          <cell r="D2867">
            <v>0</v>
          </cell>
        </row>
        <row r="2868">
          <cell r="B2868">
            <v>0</v>
          </cell>
          <cell r="C2868">
            <v>0</v>
          </cell>
          <cell r="D2868">
            <v>0</v>
          </cell>
        </row>
        <row r="2869">
          <cell r="B2869">
            <v>0</v>
          </cell>
          <cell r="C2869">
            <v>0</v>
          </cell>
          <cell r="D2869">
            <v>0</v>
          </cell>
        </row>
        <row r="2870">
          <cell r="B2870">
            <v>0</v>
          </cell>
          <cell r="C2870">
            <v>0</v>
          </cell>
          <cell r="D2870">
            <v>0</v>
          </cell>
        </row>
        <row r="2871">
          <cell r="B2871">
            <v>0</v>
          </cell>
          <cell r="C2871">
            <v>0</v>
          </cell>
          <cell r="D2871">
            <v>0</v>
          </cell>
        </row>
        <row r="2872">
          <cell r="B2872">
            <v>0</v>
          </cell>
          <cell r="C2872">
            <v>0</v>
          </cell>
          <cell r="D2872">
            <v>0</v>
          </cell>
        </row>
        <row r="2873">
          <cell r="B2873">
            <v>0</v>
          </cell>
          <cell r="C2873">
            <v>0</v>
          </cell>
          <cell r="D2873">
            <v>0</v>
          </cell>
        </row>
        <row r="2874">
          <cell r="B2874">
            <v>0</v>
          </cell>
          <cell r="C2874">
            <v>0</v>
          </cell>
          <cell r="D2874">
            <v>0</v>
          </cell>
        </row>
        <row r="2875">
          <cell r="B2875">
            <v>0</v>
          </cell>
          <cell r="C2875">
            <v>0</v>
          </cell>
          <cell r="D2875">
            <v>0</v>
          </cell>
        </row>
        <row r="2876">
          <cell r="B2876">
            <v>0</v>
          </cell>
          <cell r="C2876">
            <v>0</v>
          </cell>
          <cell r="D2876">
            <v>0</v>
          </cell>
        </row>
        <row r="2877">
          <cell r="B2877">
            <v>0</v>
          </cell>
          <cell r="C2877">
            <v>0</v>
          </cell>
          <cell r="D2877">
            <v>0</v>
          </cell>
        </row>
        <row r="2878">
          <cell r="B2878">
            <v>0</v>
          </cell>
          <cell r="C2878">
            <v>0</v>
          </cell>
          <cell r="D2878">
            <v>0</v>
          </cell>
        </row>
        <row r="2879">
          <cell r="B2879">
            <v>0</v>
          </cell>
          <cell r="C2879">
            <v>0</v>
          </cell>
          <cell r="D2879">
            <v>0</v>
          </cell>
        </row>
        <row r="2880">
          <cell r="B2880">
            <v>0</v>
          </cell>
          <cell r="C2880">
            <v>0</v>
          </cell>
          <cell r="D2880">
            <v>0</v>
          </cell>
        </row>
        <row r="2881">
          <cell r="B2881">
            <v>0</v>
          </cell>
          <cell r="C2881">
            <v>0</v>
          </cell>
          <cell r="D2881">
            <v>0</v>
          </cell>
        </row>
        <row r="2882">
          <cell r="B2882">
            <v>0</v>
          </cell>
          <cell r="C2882">
            <v>0</v>
          </cell>
          <cell r="D2882">
            <v>0</v>
          </cell>
        </row>
        <row r="2883">
          <cell r="B2883">
            <v>0</v>
          </cell>
          <cell r="C2883">
            <v>0</v>
          </cell>
          <cell r="D2883">
            <v>0</v>
          </cell>
        </row>
        <row r="2884">
          <cell r="B2884">
            <v>0</v>
          </cell>
          <cell r="C2884">
            <v>0</v>
          </cell>
          <cell r="D2884">
            <v>0</v>
          </cell>
        </row>
        <row r="2885">
          <cell r="B2885">
            <v>0</v>
          </cell>
          <cell r="C2885">
            <v>0</v>
          </cell>
          <cell r="D2885">
            <v>0</v>
          </cell>
        </row>
        <row r="2886">
          <cell r="B2886">
            <v>0</v>
          </cell>
          <cell r="C2886">
            <v>0</v>
          </cell>
          <cell r="D2886">
            <v>0</v>
          </cell>
        </row>
        <row r="2887">
          <cell r="B2887">
            <v>0</v>
          </cell>
          <cell r="C2887">
            <v>0</v>
          </cell>
          <cell r="D2887">
            <v>0</v>
          </cell>
        </row>
        <row r="2888">
          <cell r="B2888">
            <v>0</v>
          </cell>
          <cell r="C2888">
            <v>0</v>
          </cell>
          <cell r="D2888">
            <v>0</v>
          </cell>
        </row>
        <row r="2889">
          <cell r="B2889">
            <v>0</v>
          </cell>
          <cell r="C2889">
            <v>0</v>
          </cell>
          <cell r="D2889">
            <v>0</v>
          </cell>
        </row>
        <row r="2890">
          <cell r="B2890">
            <v>0</v>
          </cell>
          <cell r="C2890">
            <v>0</v>
          </cell>
          <cell r="D2890">
            <v>0</v>
          </cell>
        </row>
        <row r="2891">
          <cell r="B2891">
            <v>0</v>
          </cell>
          <cell r="C2891">
            <v>0</v>
          </cell>
          <cell r="D2891">
            <v>0</v>
          </cell>
        </row>
        <row r="2892">
          <cell r="B2892">
            <v>0</v>
          </cell>
          <cell r="C2892">
            <v>0</v>
          </cell>
          <cell r="D2892">
            <v>0</v>
          </cell>
        </row>
        <row r="2893">
          <cell r="B2893">
            <v>0</v>
          </cell>
          <cell r="C2893">
            <v>0</v>
          </cell>
          <cell r="D2893">
            <v>0</v>
          </cell>
        </row>
        <row r="2894">
          <cell r="B2894">
            <v>0</v>
          </cell>
          <cell r="C2894">
            <v>0</v>
          </cell>
          <cell r="D2894">
            <v>0</v>
          </cell>
        </row>
        <row r="2895">
          <cell r="B2895">
            <v>0</v>
          </cell>
          <cell r="C2895">
            <v>0</v>
          </cell>
          <cell r="D2895">
            <v>0</v>
          </cell>
        </row>
        <row r="2896">
          <cell r="B2896">
            <v>0</v>
          </cell>
          <cell r="C2896">
            <v>0</v>
          </cell>
          <cell r="D2896">
            <v>0</v>
          </cell>
        </row>
        <row r="2897">
          <cell r="B2897">
            <v>0</v>
          </cell>
          <cell r="C2897">
            <v>0</v>
          </cell>
          <cell r="D2897">
            <v>0</v>
          </cell>
        </row>
        <row r="2898">
          <cell r="B2898">
            <v>0</v>
          </cell>
          <cell r="C2898">
            <v>0</v>
          </cell>
          <cell r="D2898">
            <v>0</v>
          </cell>
        </row>
        <row r="2899">
          <cell r="B2899">
            <v>0</v>
          </cell>
          <cell r="C2899">
            <v>0</v>
          </cell>
          <cell r="D2899">
            <v>0</v>
          </cell>
        </row>
        <row r="2900">
          <cell r="B2900">
            <v>0</v>
          </cell>
          <cell r="C2900">
            <v>0</v>
          </cell>
          <cell r="D2900">
            <v>0</v>
          </cell>
        </row>
        <row r="2901">
          <cell r="B2901">
            <v>0</v>
          </cell>
          <cell r="C2901">
            <v>0</v>
          </cell>
          <cell r="D2901">
            <v>0</v>
          </cell>
        </row>
        <row r="2902">
          <cell r="B2902">
            <v>0</v>
          </cell>
          <cell r="C2902">
            <v>0</v>
          </cell>
          <cell r="D2902">
            <v>0</v>
          </cell>
        </row>
        <row r="2903">
          <cell r="B2903">
            <v>0</v>
          </cell>
          <cell r="C2903">
            <v>0</v>
          </cell>
          <cell r="D2903">
            <v>0</v>
          </cell>
        </row>
        <row r="2904">
          <cell r="B2904">
            <v>0</v>
          </cell>
          <cell r="C2904">
            <v>0</v>
          </cell>
          <cell r="D2904">
            <v>0</v>
          </cell>
        </row>
        <row r="2905">
          <cell r="B2905">
            <v>0</v>
          </cell>
          <cell r="C2905">
            <v>0</v>
          </cell>
          <cell r="D2905">
            <v>0</v>
          </cell>
        </row>
        <row r="2906">
          <cell r="B2906">
            <v>0</v>
          </cell>
          <cell r="C2906">
            <v>0</v>
          </cell>
          <cell r="D2906">
            <v>0</v>
          </cell>
        </row>
        <row r="2907">
          <cell r="B2907">
            <v>0</v>
          </cell>
          <cell r="C2907">
            <v>0</v>
          </cell>
          <cell r="D2907">
            <v>0</v>
          </cell>
        </row>
        <row r="2908">
          <cell r="B2908">
            <v>0</v>
          </cell>
          <cell r="C2908">
            <v>0</v>
          </cell>
          <cell r="D2908">
            <v>0</v>
          </cell>
        </row>
        <row r="2909">
          <cell r="B2909">
            <v>0</v>
          </cell>
          <cell r="C2909">
            <v>0</v>
          </cell>
          <cell r="D2909">
            <v>0</v>
          </cell>
        </row>
        <row r="2910">
          <cell r="B2910">
            <v>0</v>
          </cell>
          <cell r="C2910">
            <v>0</v>
          </cell>
          <cell r="D2910">
            <v>0</v>
          </cell>
        </row>
        <row r="2911">
          <cell r="B2911">
            <v>0</v>
          </cell>
          <cell r="C2911">
            <v>0</v>
          </cell>
          <cell r="D2911">
            <v>0</v>
          </cell>
        </row>
        <row r="2912">
          <cell r="B2912">
            <v>0</v>
          </cell>
          <cell r="C2912">
            <v>0</v>
          </cell>
          <cell r="D2912">
            <v>0</v>
          </cell>
        </row>
        <row r="2913">
          <cell r="B2913">
            <v>0</v>
          </cell>
          <cell r="C2913">
            <v>0</v>
          </cell>
          <cell r="D2913">
            <v>0</v>
          </cell>
        </row>
        <row r="2914">
          <cell r="B2914">
            <v>0</v>
          </cell>
          <cell r="C2914">
            <v>0</v>
          </cell>
          <cell r="D2914">
            <v>0</v>
          </cell>
        </row>
        <row r="2915">
          <cell r="B2915">
            <v>0</v>
          </cell>
          <cell r="C2915">
            <v>0</v>
          </cell>
          <cell r="D2915">
            <v>0</v>
          </cell>
        </row>
        <row r="2916">
          <cell r="B2916">
            <v>0</v>
          </cell>
          <cell r="C2916">
            <v>0</v>
          </cell>
          <cell r="D2916">
            <v>0</v>
          </cell>
        </row>
        <row r="2917">
          <cell r="B2917">
            <v>0</v>
          </cell>
          <cell r="C2917">
            <v>0</v>
          </cell>
          <cell r="D2917">
            <v>0</v>
          </cell>
        </row>
        <row r="2918">
          <cell r="B2918">
            <v>0</v>
          </cell>
          <cell r="C2918">
            <v>0</v>
          </cell>
          <cell r="D2918">
            <v>0</v>
          </cell>
        </row>
        <row r="2919">
          <cell r="B2919">
            <v>0</v>
          </cell>
          <cell r="C2919">
            <v>0</v>
          </cell>
          <cell r="D2919">
            <v>0</v>
          </cell>
        </row>
        <row r="2920">
          <cell r="B2920">
            <v>0</v>
          </cell>
          <cell r="C2920">
            <v>0</v>
          </cell>
          <cell r="D2920">
            <v>0</v>
          </cell>
        </row>
        <row r="2921">
          <cell r="B2921">
            <v>0</v>
          </cell>
          <cell r="C2921">
            <v>0</v>
          </cell>
          <cell r="D2921">
            <v>0</v>
          </cell>
        </row>
        <row r="2922">
          <cell r="B2922">
            <v>0</v>
          </cell>
          <cell r="C2922">
            <v>0</v>
          </cell>
          <cell r="D2922">
            <v>0</v>
          </cell>
        </row>
        <row r="2923">
          <cell r="B2923">
            <v>0</v>
          </cell>
          <cell r="C2923">
            <v>0</v>
          </cell>
          <cell r="D2923">
            <v>0</v>
          </cell>
        </row>
        <row r="2924">
          <cell r="B2924">
            <v>0</v>
          </cell>
          <cell r="C2924">
            <v>0</v>
          </cell>
          <cell r="D2924">
            <v>0</v>
          </cell>
        </row>
        <row r="2925">
          <cell r="B2925">
            <v>0</v>
          </cell>
          <cell r="C2925">
            <v>0</v>
          </cell>
          <cell r="D2925">
            <v>0</v>
          </cell>
        </row>
        <row r="2926">
          <cell r="B2926">
            <v>0</v>
          </cell>
          <cell r="C2926">
            <v>0</v>
          </cell>
          <cell r="D2926">
            <v>0</v>
          </cell>
        </row>
        <row r="2927">
          <cell r="B2927">
            <v>0</v>
          </cell>
          <cell r="C2927">
            <v>0</v>
          </cell>
          <cell r="D2927">
            <v>0</v>
          </cell>
        </row>
        <row r="2928">
          <cell r="B2928">
            <v>0</v>
          </cell>
          <cell r="C2928">
            <v>0</v>
          </cell>
          <cell r="D2928">
            <v>0</v>
          </cell>
        </row>
        <row r="2929">
          <cell r="B2929">
            <v>0</v>
          </cell>
          <cell r="C2929">
            <v>0</v>
          </cell>
          <cell r="D2929">
            <v>0</v>
          </cell>
        </row>
        <row r="2930">
          <cell r="B2930">
            <v>0</v>
          </cell>
          <cell r="C2930">
            <v>0</v>
          </cell>
          <cell r="D2930">
            <v>0</v>
          </cell>
        </row>
        <row r="2931">
          <cell r="B2931">
            <v>0</v>
          </cell>
          <cell r="C2931">
            <v>0</v>
          </cell>
          <cell r="D2931">
            <v>0</v>
          </cell>
        </row>
        <row r="2932">
          <cell r="B2932">
            <v>0</v>
          </cell>
          <cell r="C2932">
            <v>0</v>
          </cell>
          <cell r="D2932">
            <v>0</v>
          </cell>
        </row>
        <row r="2933">
          <cell r="B2933">
            <v>0</v>
          </cell>
          <cell r="C2933">
            <v>0</v>
          </cell>
          <cell r="D2933">
            <v>0</v>
          </cell>
        </row>
        <row r="2934">
          <cell r="B2934">
            <v>0</v>
          </cell>
          <cell r="C2934">
            <v>0</v>
          </cell>
          <cell r="D2934">
            <v>0</v>
          </cell>
        </row>
        <row r="2935">
          <cell r="B2935">
            <v>0</v>
          </cell>
          <cell r="C2935">
            <v>0</v>
          </cell>
          <cell r="D2935">
            <v>0</v>
          </cell>
        </row>
        <row r="2936">
          <cell r="B2936">
            <v>0</v>
          </cell>
          <cell r="C2936">
            <v>0</v>
          </cell>
          <cell r="D2936">
            <v>0</v>
          </cell>
        </row>
        <row r="2937">
          <cell r="B2937">
            <v>0</v>
          </cell>
          <cell r="C2937">
            <v>0</v>
          </cell>
          <cell r="D2937">
            <v>0</v>
          </cell>
        </row>
        <row r="2938">
          <cell r="B2938">
            <v>0</v>
          </cell>
          <cell r="C2938">
            <v>0</v>
          </cell>
          <cell r="D2938">
            <v>0</v>
          </cell>
        </row>
        <row r="2939">
          <cell r="B2939">
            <v>0</v>
          </cell>
          <cell r="C2939">
            <v>0</v>
          </cell>
          <cell r="D2939">
            <v>0</v>
          </cell>
        </row>
        <row r="2940">
          <cell r="B2940">
            <v>0</v>
          </cell>
          <cell r="C2940">
            <v>0</v>
          </cell>
          <cell r="D2940">
            <v>0</v>
          </cell>
        </row>
        <row r="2941">
          <cell r="B2941">
            <v>0</v>
          </cell>
          <cell r="C2941">
            <v>0</v>
          </cell>
          <cell r="D2941">
            <v>0</v>
          </cell>
        </row>
        <row r="2942">
          <cell r="B2942">
            <v>0</v>
          </cell>
          <cell r="C2942">
            <v>0</v>
          </cell>
          <cell r="D2942">
            <v>0</v>
          </cell>
        </row>
        <row r="2943">
          <cell r="B2943">
            <v>0</v>
          </cell>
          <cell r="C2943">
            <v>0</v>
          </cell>
          <cell r="D2943">
            <v>0</v>
          </cell>
        </row>
        <row r="2944">
          <cell r="B2944">
            <v>0</v>
          </cell>
          <cell r="C2944">
            <v>0</v>
          </cell>
          <cell r="D2944">
            <v>0</v>
          </cell>
        </row>
        <row r="2945">
          <cell r="B2945">
            <v>0</v>
          </cell>
          <cell r="C2945">
            <v>0</v>
          </cell>
          <cell r="D2945">
            <v>0</v>
          </cell>
        </row>
        <row r="2946">
          <cell r="B2946">
            <v>0</v>
          </cell>
          <cell r="C2946">
            <v>0</v>
          </cell>
          <cell r="D2946">
            <v>0</v>
          </cell>
        </row>
        <row r="2947">
          <cell r="B2947">
            <v>0</v>
          </cell>
          <cell r="C2947">
            <v>0</v>
          </cell>
          <cell r="D2947">
            <v>0</v>
          </cell>
        </row>
        <row r="2948">
          <cell r="B2948">
            <v>0</v>
          </cell>
          <cell r="C2948">
            <v>0</v>
          </cell>
          <cell r="D2948">
            <v>0</v>
          </cell>
        </row>
        <row r="2949">
          <cell r="B2949">
            <v>0</v>
          </cell>
          <cell r="C2949">
            <v>0</v>
          </cell>
          <cell r="D2949">
            <v>0</v>
          </cell>
        </row>
        <row r="2950">
          <cell r="B2950">
            <v>0</v>
          </cell>
          <cell r="C2950">
            <v>0</v>
          </cell>
          <cell r="D2950">
            <v>0</v>
          </cell>
        </row>
        <row r="2951">
          <cell r="B2951">
            <v>0</v>
          </cell>
          <cell r="C2951">
            <v>0</v>
          </cell>
          <cell r="D2951">
            <v>0</v>
          </cell>
        </row>
        <row r="2952">
          <cell r="B2952">
            <v>0</v>
          </cell>
          <cell r="C2952">
            <v>0</v>
          </cell>
          <cell r="D2952">
            <v>0</v>
          </cell>
        </row>
        <row r="2953">
          <cell r="B2953">
            <v>0</v>
          </cell>
          <cell r="C2953">
            <v>0</v>
          </cell>
          <cell r="D2953">
            <v>0</v>
          </cell>
        </row>
        <row r="2954">
          <cell r="B2954">
            <v>0</v>
          </cell>
          <cell r="C2954">
            <v>0</v>
          </cell>
          <cell r="D2954">
            <v>0</v>
          </cell>
        </row>
        <row r="2955">
          <cell r="B2955">
            <v>0</v>
          </cell>
          <cell r="C2955">
            <v>0</v>
          </cell>
          <cell r="D2955">
            <v>0</v>
          </cell>
        </row>
        <row r="2956">
          <cell r="B2956">
            <v>0</v>
          </cell>
          <cell r="C2956">
            <v>0</v>
          </cell>
          <cell r="D2956">
            <v>0</v>
          </cell>
        </row>
        <row r="2957">
          <cell r="B2957">
            <v>0</v>
          </cell>
          <cell r="C2957">
            <v>0</v>
          </cell>
          <cell r="D2957">
            <v>0</v>
          </cell>
        </row>
        <row r="2958">
          <cell r="B2958">
            <v>0</v>
          </cell>
          <cell r="C2958">
            <v>0</v>
          </cell>
          <cell r="D2958">
            <v>0</v>
          </cell>
        </row>
        <row r="2959">
          <cell r="B2959">
            <v>0</v>
          </cell>
          <cell r="C2959">
            <v>0</v>
          </cell>
          <cell r="D2959">
            <v>0</v>
          </cell>
        </row>
        <row r="2960">
          <cell r="B2960">
            <v>0</v>
          </cell>
          <cell r="C2960">
            <v>0</v>
          </cell>
          <cell r="D2960">
            <v>0</v>
          </cell>
        </row>
        <row r="2961">
          <cell r="B2961">
            <v>0</v>
          </cell>
          <cell r="C2961">
            <v>0</v>
          </cell>
          <cell r="D2961">
            <v>0</v>
          </cell>
        </row>
        <row r="2962">
          <cell r="B2962">
            <v>0</v>
          </cell>
          <cell r="C2962">
            <v>0</v>
          </cell>
          <cell r="D2962">
            <v>0</v>
          </cell>
        </row>
        <row r="2963">
          <cell r="B2963">
            <v>0</v>
          </cell>
          <cell r="C2963">
            <v>0</v>
          </cell>
          <cell r="D2963">
            <v>0</v>
          </cell>
        </row>
        <row r="2964">
          <cell r="B2964">
            <v>0</v>
          </cell>
          <cell r="C2964">
            <v>0</v>
          </cell>
          <cell r="D2964">
            <v>0</v>
          </cell>
        </row>
        <row r="2965">
          <cell r="B2965">
            <v>0</v>
          </cell>
          <cell r="C2965">
            <v>0</v>
          </cell>
          <cell r="D2965">
            <v>0</v>
          </cell>
        </row>
        <row r="2966">
          <cell r="B2966">
            <v>0</v>
          </cell>
          <cell r="C2966">
            <v>0</v>
          </cell>
          <cell r="D2966">
            <v>0</v>
          </cell>
        </row>
        <row r="2967">
          <cell r="B2967">
            <v>0</v>
          </cell>
          <cell r="C2967">
            <v>0</v>
          </cell>
          <cell r="D2967">
            <v>0</v>
          </cell>
        </row>
        <row r="2968">
          <cell r="B2968">
            <v>0</v>
          </cell>
          <cell r="C2968">
            <v>0</v>
          </cell>
          <cell r="D2968">
            <v>0</v>
          </cell>
        </row>
        <row r="2969">
          <cell r="B2969">
            <v>0</v>
          </cell>
          <cell r="C2969">
            <v>0</v>
          </cell>
          <cell r="D2969">
            <v>0</v>
          </cell>
        </row>
        <row r="2970">
          <cell r="B2970">
            <v>0</v>
          </cell>
          <cell r="C2970">
            <v>0</v>
          </cell>
          <cell r="D2970">
            <v>0</v>
          </cell>
        </row>
        <row r="2971">
          <cell r="B2971">
            <v>0</v>
          </cell>
          <cell r="C2971">
            <v>0</v>
          </cell>
          <cell r="D2971">
            <v>0</v>
          </cell>
        </row>
        <row r="2972">
          <cell r="B2972">
            <v>0</v>
          </cell>
          <cell r="C2972">
            <v>0</v>
          </cell>
          <cell r="D2972">
            <v>0</v>
          </cell>
        </row>
        <row r="2973">
          <cell r="B2973">
            <v>0</v>
          </cell>
          <cell r="C2973">
            <v>0</v>
          </cell>
          <cell r="D2973">
            <v>0</v>
          </cell>
        </row>
        <row r="2974">
          <cell r="B2974">
            <v>0</v>
          </cell>
          <cell r="C2974">
            <v>0</v>
          </cell>
          <cell r="D2974">
            <v>0</v>
          </cell>
        </row>
        <row r="2975">
          <cell r="B2975">
            <v>0</v>
          </cell>
          <cell r="C2975">
            <v>0</v>
          </cell>
          <cell r="D2975">
            <v>0</v>
          </cell>
        </row>
        <row r="2976">
          <cell r="B2976">
            <v>0</v>
          </cell>
          <cell r="C2976">
            <v>0</v>
          </cell>
          <cell r="D2976">
            <v>0</v>
          </cell>
        </row>
        <row r="2977">
          <cell r="B2977">
            <v>0</v>
          </cell>
          <cell r="C2977">
            <v>0</v>
          </cell>
          <cell r="D2977">
            <v>0</v>
          </cell>
        </row>
        <row r="2978">
          <cell r="B2978">
            <v>0</v>
          </cell>
          <cell r="C2978">
            <v>0</v>
          </cell>
          <cell r="D2978">
            <v>0</v>
          </cell>
        </row>
        <row r="2979">
          <cell r="B2979">
            <v>0</v>
          </cell>
          <cell r="C2979">
            <v>0</v>
          </cell>
          <cell r="D2979">
            <v>0</v>
          </cell>
        </row>
        <row r="2980">
          <cell r="B2980">
            <v>0</v>
          </cell>
          <cell r="C2980">
            <v>0</v>
          </cell>
          <cell r="D2980">
            <v>0</v>
          </cell>
        </row>
        <row r="2981">
          <cell r="B2981">
            <v>0</v>
          </cell>
          <cell r="C2981">
            <v>0</v>
          </cell>
          <cell r="D2981">
            <v>0</v>
          </cell>
        </row>
        <row r="2982">
          <cell r="B2982">
            <v>0</v>
          </cell>
          <cell r="C2982">
            <v>0</v>
          </cell>
          <cell r="D2982">
            <v>0</v>
          </cell>
        </row>
        <row r="2983">
          <cell r="B2983">
            <v>0</v>
          </cell>
          <cell r="C2983">
            <v>0</v>
          </cell>
          <cell r="D2983">
            <v>0</v>
          </cell>
        </row>
        <row r="2984">
          <cell r="B2984">
            <v>0</v>
          </cell>
          <cell r="C2984">
            <v>0</v>
          </cell>
          <cell r="D2984">
            <v>0</v>
          </cell>
        </row>
        <row r="2985">
          <cell r="B2985">
            <v>0</v>
          </cell>
          <cell r="C2985">
            <v>0</v>
          </cell>
          <cell r="D2985">
            <v>0</v>
          </cell>
        </row>
        <row r="2986">
          <cell r="B2986">
            <v>0</v>
          </cell>
          <cell r="C2986">
            <v>0</v>
          </cell>
          <cell r="D2986">
            <v>0</v>
          </cell>
        </row>
        <row r="2987">
          <cell r="B2987">
            <v>0</v>
          </cell>
          <cell r="C2987">
            <v>0</v>
          </cell>
          <cell r="D2987">
            <v>0</v>
          </cell>
        </row>
        <row r="2988">
          <cell r="B2988">
            <v>0</v>
          </cell>
          <cell r="C2988">
            <v>0</v>
          </cell>
          <cell r="D2988">
            <v>0</v>
          </cell>
        </row>
        <row r="2989">
          <cell r="B2989">
            <v>0</v>
          </cell>
          <cell r="C2989">
            <v>0</v>
          </cell>
          <cell r="D2989">
            <v>0</v>
          </cell>
        </row>
        <row r="2990">
          <cell r="B2990">
            <v>0</v>
          </cell>
          <cell r="C2990">
            <v>0</v>
          </cell>
          <cell r="D2990">
            <v>0</v>
          </cell>
        </row>
        <row r="2991">
          <cell r="B2991">
            <v>0</v>
          </cell>
          <cell r="C2991">
            <v>0</v>
          </cell>
          <cell r="D2991">
            <v>0</v>
          </cell>
        </row>
        <row r="2992">
          <cell r="B2992">
            <v>0</v>
          </cell>
          <cell r="C2992">
            <v>0</v>
          </cell>
          <cell r="D2992">
            <v>0</v>
          </cell>
        </row>
        <row r="2993">
          <cell r="B2993">
            <v>0</v>
          </cell>
          <cell r="C2993">
            <v>0</v>
          </cell>
          <cell r="D2993">
            <v>0</v>
          </cell>
        </row>
        <row r="2994">
          <cell r="B2994">
            <v>0</v>
          </cell>
          <cell r="C2994">
            <v>0</v>
          </cell>
          <cell r="D2994">
            <v>0</v>
          </cell>
        </row>
        <row r="2995">
          <cell r="B2995">
            <v>0</v>
          </cell>
          <cell r="C2995">
            <v>0</v>
          </cell>
          <cell r="D2995">
            <v>0</v>
          </cell>
        </row>
        <row r="2996">
          <cell r="B2996">
            <v>0</v>
          </cell>
          <cell r="C2996">
            <v>0</v>
          </cell>
          <cell r="D2996">
            <v>0</v>
          </cell>
        </row>
        <row r="2997">
          <cell r="B2997">
            <v>0</v>
          </cell>
          <cell r="C2997">
            <v>0</v>
          </cell>
          <cell r="D2997">
            <v>0</v>
          </cell>
        </row>
        <row r="2998">
          <cell r="B2998">
            <v>0</v>
          </cell>
          <cell r="C2998">
            <v>0</v>
          </cell>
          <cell r="D2998">
            <v>0</v>
          </cell>
        </row>
        <row r="2999">
          <cell r="B2999">
            <v>0</v>
          </cell>
          <cell r="C2999">
            <v>0</v>
          </cell>
          <cell r="D2999">
            <v>0</v>
          </cell>
        </row>
        <row r="3000">
          <cell r="B3000">
            <v>0</v>
          </cell>
          <cell r="C3000">
            <v>0</v>
          </cell>
          <cell r="D3000">
            <v>0</v>
          </cell>
        </row>
        <row r="3001">
          <cell r="B3001">
            <v>0</v>
          </cell>
          <cell r="C3001">
            <v>0</v>
          </cell>
          <cell r="D3001">
            <v>0</v>
          </cell>
        </row>
        <row r="3002">
          <cell r="B3002">
            <v>0</v>
          </cell>
          <cell r="C3002">
            <v>0</v>
          </cell>
          <cell r="D3002">
            <v>0</v>
          </cell>
        </row>
        <row r="3003">
          <cell r="B3003">
            <v>0</v>
          </cell>
          <cell r="C3003">
            <v>0</v>
          </cell>
          <cell r="D3003">
            <v>0</v>
          </cell>
        </row>
        <row r="3004">
          <cell r="B3004">
            <v>0</v>
          </cell>
          <cell r="C3004">
            <v>0</v>
          </cell>
          <cell r="D3004">
            <v>0</v>
          </cell>
        </row>
        <row r="3005">
          <cell r="B3005">
            <v>0</v>
          </cell>
          <cell r="C3005">
            <v>0</v>
          </cell>
          <cell r="D3005">
            <v>0</v>
          </cell>
        </row>
        <row r="3006">
          <cell r="B3006">
            <v>0</v>
          </cell>
          <cell r="C3006">
            <v>0</v>
          </cell>
          <cell r="D3006">
            <v>0</v>
          </cell>
        </row>
        <row r="3007">
          <cell r="B3007">
            <v>0</v>
          </cell>
          <cell r="C3007">
            <v>0</v>
          </cell>
          <cell r="D3007">
            <v>0</v>
          </cell>
        </row>
        <row r="3008">
          <cell r="B3008">
            <v>0</v>
          </cell>
          <cell r="C3008">
            <v>0</v>
          </cell>
          <cell r="D3008">
            <v>0</v>
          </cell>
        </row>
        <row r="3009">
          <cell r="B3009">
            <v>0</v>
          </cell>
          <cell r="C3009">
            <v>0</v>
          </cell>
          <cell r="D3009">
            <v>0</v>
          </cell>
        </row>
        <row r="3010">
          <cell r="B3010">
            <v>0</v>
          </cell>
          <cell r="C3010">
            <v>0</v>
          </cell>
          <cell r="D3010">
            <v>0</v>
          </cell>
        </row>
        <row r="3011">
          <cell r="B3011">
            <v>0</v>
          </cell>
          <cell r="C3011">
            <v>0</v>
          </cell>
          <cell r="D3011">
            <v>0</v>
          </cell>
        </row>
        <row r="3012">
          <cell r="B3012">
            <v>0</v>
          </cell>
          <cell r="C3012">
            <v>0</v>
          </cell>
          <cell r="D3012">
            <v>0</v>
          </cell>
        </row>
        <row r="3013">
          <cell r="B3013">
            <v>0</v>
          </cell>
          <cell r="C3013">
            <v>0</v>
          </cell>
          <cell r="D3013">
            <v>0</v>
          </cell>
        </row>
        <row r="3014">
          <cell r="B3014">
            <v>0</v>
          </cell>
          <cell r="C3014">
            <v>0</v>
          </cell>
          <cell r="D3014">
            <v>0</v>
          </cell>
        </row>
        <row r="3015">
          <cell r="B3015">
            <v>0</v>
          </cell>
          <cell r="C3015">
            <v>0</v>
          </cell>
          <cell r="D3015">
            <v>0</v>
          </cell>
        </row>
        <row r="3016">
          <cell r="B3016">
            <v>0</v>
          </cell>
          <cell r="C3016">
            <v>0</v>
          </cell>
          <cell r="D3016">
            <v>0</v>
          </cell>
        </row>
        <row r="3017">
          <cell r="B3017">
            <v>0</v>
          </cell>
          <cell r="C3017">
            <v>0</v>
          </cell>
          <cell r="D3017">
            <v>0</v>
          </cell>
        </row>
        <row r="3018">
          <cell r="B3018">
            <v>0</v>
          </cell>
          <cell r="C3018">
            <v>0</v>
          </cell>
          <cell r="D3018">
            <v>0</v>
          </cell>
        </row>
        <row r="3019">
          <cell r="B3019">
            <v>0</v>
          </cell>
          <cell r="C3019">
            <v>0</v>
          </cell>
          <cell r="D3019">
            <v>0</v>
          </cell>
        </row>
        <row r="3020">
          <cell r="B3020">
            <v>0</v>
          </cell>
          <cell r="C3020">
            <v>0</v>
          </cell>
          <cell r="D3020">
            <v>0</v>
          </cell>
        </row>
        <row r="3021">
          <cell r="B3021">
            <v>0</v>
          </cell>
          <cell r="C3021">
            <v>0</v>
          </cell>
          <cell r="D3021">
            <v>0</v>
          </cell>
        </row>
        <row r="3022">
          <cell r="B3022">
            <v>0</v>
          </cell>
          <cell r="C3022">
            <v>0</v>
          </cell>
          <cell r="D3022">
            <v>0</v>
          </cell>
        </row>
        <row r="3023">
          <cell r="B3023">
            <v>0</v>
          </cell>
          <cell r="C3023">
            <v>0</v>
          </cell>
          <cell r="D3023">
            <v>0</v>
          </cell>
        </row>
        <row r="3024">
          <cell r="B3024">
            <v>0</v>
          </cell>
          <cell r="C3024">
            <v>0</v>
          </cell>
          <cell r="D3024">
            <v>0</v>
          </cell>
        </row>
        <row r="3025">
          <cell r="B3025">
            <v>0</v>
          </cell>
          <cell r="C3025">
            <v>0</v>
          </cell>
          <cell r="D3025">
            <v>0</v>
          </cell>
        </row>
        <row r="3026">
          <cell r="B3026">
            <v>0</v>
          </cell>
          <cell r="C3026">
            <v>0</v>
          </cell>
          <cell r="D3026">
            <v>0</v>
          </cell>
        </row>
        <row r="3027">
          <cell r="B3027">
            <v>0</v>
          </cell>
          <cell r="C3027">
            <v>0</v>
          </cell>
          <cell r="D3027">
            <v>0</v>
          </cell>
        </row>
        <row r="3028">
          <cell r="B3028">
            <v>0</v>
          </cell>
          <cell r="C3028">
            <v>0</v>
          </cell>
          <cell r="D3028">
            <v>0</v>
          </cell>
        </row>
        <row r="3029">
          <cell r="B3029">
            <v>0</v>
          </cell>
          <cell r="C3029">
            <v>0</v>
          </cell>
          <cell r="D3029">
            <v>0</v>
          </cell>
        </row>
        <row r="3030">
          <cell r="B3030">
            <v>0</v>
          </cell>
          <cell r="C3030">
            <v>0</v>
          </cell>
          <cell r="D3030">
            <v>0</v>
          </cell>
        </row>
        <row r="3031">
          <cell r="B3031">
            <v>0</v>
          </cell>
          <cell r="C3031">
            <v>0</v>
          </cell>
          <cell r="D3031">
            <v>0</v>
          </cell>
        </row>
        <row r="3032">
          <cell r="B3032">
            <v>0</v>
          </cell>
          <cell r="C3032">
            <v>0</v>
          </cell>
          <cell r="D3032">
            <v>0</v>
          </cell>
        </row>
        <row r="3033">
          <cell r="B3033">
            <v>0</v>
          </cell>
          <cell r="C3033">
            <v>0</v>
          </cell>
          <cell r="D3033">
            <v>0</v>
          </cell>
        </row>
        <row r="3034">
          <cell r="B3034">
            <v>0</v>
          </cell>
          <cell r="C3034">
            <v>0</v>
          </cell>
          <cell r="D3034">
            <v>0</v>
          </cell>
        </row>
        <row r="3035">
          <cell r="B3035">
            <v>0</v>
          </cell>
          <cell r="C3035">
            <v>0</v>
          </cell>
          <cell r="D3035">
            <v>0</v>
          </cell>
        </row>
        <row r="3036">
          <cell r="B3036">
            <v>0</v>
          </cell>
          <cell r="C3036">
            <v>0</v>
          </cell>
          <cell r="D3036">
            <v>0</v>
          </cell>
        </row>
        <row r="3037">
          <cell r="B3037">
            <v>0</v>
          </cell>
          <cell r="C3037">
            <v>0</v>
          </cell>
          <cell r="D3037">
            <v>0</v>
          </cell>
        </row>
        <row r="3038">
          <cell r="B3038">
            <v>0</v>
          </cell>
          <cell r="C3038">
            <v>0</v>
          </cell>
          <cell r="D3038">
            <v>0</v>
          </cell>
        </row>
        <row r="3039">
          <cell r="B3039">
            <v>0</v>
          </cell>
          <cell r="C3039">
            <v>0</v>
          </cell>
          <cell r="D3039">
            <v>0</v>
          </cell>
        </row>
        <row r="3040">
          <cell r="B3040">
            <v>0</v>
          </cell>
          <cell r="C3040">
            <v>0</v>
          </cell>
          <cell r="D3040">
            <v>0</v>
          </cell>
        </row>
        <row r="3041">
          <cell r="B3041">
            <v>0</v>
          </cell>
          <cell r="C3041">
            <v>0</v>
          </cell>
          <cell r="D3041">
            <v>0</v>
          </cell>
        </row>
        <row r="3042">
          <cell r="B3042">
            <v>0</v>
          </cell>
          <cell r="C3042">
            <v>0</v>
          </cell>
          <cell r="D3042">
            <v>0</v>
          </cell>
        </row>
        <row r="3043">
          <cell r="B3043">
            <v>0</v>
          </cell>
          <cell r="C3043">
            <v>0</v>
          </cell>
          <cell r="D3043">
            <v>0</v>
          </cell>
        </row>
        <row r="3044">
          <cell r="B3044">
            <v>0</v>
          </cell>
          <cell r="C3044">
            <v>0</v>
          </cell>
          <cell r="D3044">
            <v>0</v>
          </cell>
        </row>
        <row r="3045">
          <cell r="B3045">
            <v>0</v>
          </cell>
          <cell r="C3045">
            <v>0</v>
          </cell>
          <cell r="D3045">
            <v>0</v>
          </cell>
        </row>
        <row r="3046">
          <cell r="B3046">
            <v>0</v>
          </cell>
          <cell r="C3046">
            <v>0</v>
          </cell>
          <cell r="D3046">
            <v>0</v>
          </cell>
        </row>
        <row r="3047">
          <cell r="B3047">
            <v>0</v>
          </cell>
          <cell r="C3047">
            <v>0</v>
          </cell>
          <cell r="D3047">
            <v>0</v>
          </cell>
        </row>
        <row r="3048">
          <cell r="B3048">
            <v>0</v>
          </cell>
          <cell r="C3048">
            <v>0</v>
          </cell>
          <cell r="D3048">
            <v>0</v>
          </cell>
        </row>
        <row r="3049">
          <cell r="B3049">
            <v>0</v>
          </cell>
          <cell r="C3049">
            <v>0</v>
          </cell>
          <cell r="D3049">
            <v>0</v>
          </cell>
        </row>
        <row r="3050">
          <cell r="B3050">
            <v>0</v>
          </cell>
          <cell r="C3050">
            <v>0</v>
          </cell>
          <cell r="D3050">
            <v>0</v>
          </cell>
        </row>
        <row r="3051">
          <cell r="B3051">
            <v>0</v>
          </cell>
          <cell r="C3051">
            <v>0</v>
          </cell>
          <cell r="D3051">
            <v>0</v>
          </cell>
        </row>
        <row r="3052">
          <cell r="B3052">
            <v>0</v>
          </cell>
          <cell r="C3052">
            <v>0</v>
          </cell>
          <cell r="D3052">
            <v>0</v>
          </cell>
        </row>
        <row r="3053">
          <cell r="B3053">
            <v>0</v>
          </cell>
          <cell r="C3053">
            <v>0</v>
          </cell>
          <cell r="D3053">
            <v>0</v>
          </cell>
        </row>
        <row r="3054">
          <cell r="B3054">
            <v>0</v>
          </cell>
          <cell r="C3054">
            <v>0</v>
          </cell>
          <cell r="D3054">
            <v>0</v>
          </cell>
        </row>
        <row r="3055">
          <cell r="B3055">
            <v>0</v>
          </cell>
          <cell r="C3055">
            <v>0</v>
          </cell>
          <cell r="D3055">
            <v>0</v>
          </cell>
        </row>
        <row r="3056">
          <cell r="B3056">
            <v>0</v>
          </cell>
          <cell r="C3056">
            <v>0</v>
          </cell>
          <cell r="D3056">
            <v>0</v>
          </cell>
        </row>
        <row r="3057">
          <cell r="B3057">
            <v>0</v>
          </cell>
          <cell r="C3057">
            <v>0</v>
          </cell>
          <cell r="D3057">
            <v>0</v>
          </cell>
        </row>
        <row r="3058">
          <cell r="B3058">
            <v>0</v>
          </cell>
          <cell r="C3058">
            <v>0</v>
          </cell>
          <cell r="D3058">
            <v>0</v>
          </cell>
        </row>
        <row r="3059">
          <cell r="B3059">
            <v>0</v>
          </cell>
          <cell r="C3059">
            <v>0</v>
          </cell>
          <cell r="D3059">
            <v>0</v>
          </cell>
        </row>
        <row r="3060">
          <cell r="B3060">
            <v>0</v>
          </cell>
          <cell r="C3060">
            <v>0</v>
          </cell>
          <cell r="D3060">
            <v>0</v>
          </cell>
        </row>
        <row r="3061">
          <cell r="B3061">
            <v>0</v>
          </cell>
          <cell r="C3061">
            <v>0</v>
          </cell>
          <cell r="D3061">
            <v>0</v>
          </cell>
        </row>
        <row r="3062">
          <cell r="B3062">
            <v>0</v>
          </cell>
          <cell r="C3062">
            <v>0</v>
          </cell>
          <cell r="D3062">
            <v>0</v>
          </cell>
        </row>
        <row r="3063">
          <cell r="B3063">
            <v>0</v>
          </cell>
          <cell r="C3063">
            <v>0</v>
          </cell>
          <cell r="D3063">
            <v>0</v>
          </cell>
        </row>
        <row r="3064">
          <cell r="B3064">
            <v>0</v>
          </cell>
          <cell r="C3064">
            <v>0</v>
          </cell>
          <cell r="D3064">
            <v>0</v>
          </cell>
        </row>
        <row r="3065">
          <cell r="B3065">
            <v>0</v>
          </cell>
          <cell r="C3065">
            <v>0</v>
          </cell>
          <cell r="D3065">
            <v>0</v>
          </cell>
        </row>
        <row r="3066">
          <cell r="B3066">
            <v>0</v>
          </cell>
          <cell r="C3066">
            <v>0</v>
          </cell>
          <cell r="D3066">
            <v>0</v>
          </cell>
        </row>
        <row r="3067">
          <cell r="B3067">
            <v>0</v>
          </cell>
          <cell r="C3067">
            <v>0</v>
          </cell>
          <cell r="D3067">
            <v>0</v>
          </cell>
        </row>
        <row r="3068">
          <cell r="B3068">
            <v>0</v>
          </cell>
          <cell r="C3068">
            <v>0</v>
          </cell>
          <cell r="D3068">
            <v>0</v>
          </cell>
        </row>
        <row r="3069">
          <cell r="B3069">
            <v>0</v>
          </cell>
          <cell r="C3069">
            <v>0</v>
          </cell>
          <cell r="D3069">
            <v>0</v>
          </cell>
        </row>
        <row r="3070">
          <cell r="B3070">
            <v>0</v>
          </cell>
          <cell r="C3070">
            <v>0</v>
          </cell>
          <cell r="D3070">
            <v>0</v>
          </cell>
        </row>
        <row r="3071">
          <cell r="B3071">
            <v>0</v>
          </cell>
          <cell r="C3071">
            <v>0</v>
          </cell>
          <cell r="D3071">
            <v>0</v>
          </cell>
        </row>
        <row r="3072">
          <cell r="B3072">
            <v>0</v>
          </cell>
          <cell r="C3072">
            <v>0</v>
          </cell>
          <cell r="D3072">
            <v>0</v>
          </cell>
        </row>
        <row r="3073">
          <cell r="B3073">
            <v>0</v>
          </cell>
          <cell r="C3073">
            <v>0</v>
          </cell>
          <cell r="D3073">
            <v>0</v>
          </cell>
        </row>
        <row r="3074">
          <cell r="B3074">
            <v>0</v>
          </cell>
          <cell r="C3074">
            <v>0</v>
          </cell>
          <cell r="D3074">
            <v>0</v>
          </cell>
        </row>
        <row r="3075">
          <cell r="B3075">
            <v>0</v>
          </cell>
          <cell r="C3075">
            <v>0</v>
          </cell>
          <cell r="D3075">
            <v>0</v>
          </cell>
        </row>
        <row r="3076">
          <cell r="B3076">
            <v>0</v>
          </cell>
          <cell r="C3076">
            <v>0</v>
          </cell>
          <cell r="D3076">
            <v>0</v>
          </cell>
        </row>
        <row r="3077">
          <cell r="B3077">
            <v>0</v>
          </cell>
          <cell r="C3077">
            <v>0</v>
          </cell>
          <cell r="D3077">
            <v>0</v>
          </cell>
        </row>
        <row r="3078">
          <cell r="B3078">
            <v>0</v>
          </cell>
          <cell r="C3078">
            <v>0</v>
          </cell>
          <cell r="D3078">
            <v>0</v>
          </cell>
        </row>
        <row r="3079">
          <cell r="B3079">
            <v>0</v>
          </cell>
          <cell r="C3079">
            <v>0</v>
          </cell>
          <cell r="D3079">
            <v>0</v>
          </cell>
        </row>
        <row r="3080">
          <cell r="B3080">
            <v>0</v>
          </cell>
          <cell r="C3080">
            <v>0</v>
          </cell>
          <cell r="D3080">
            <v>0</v>
          </cell>
        </row>
        <row r="3081">
          <cell r="B3081">
            <v>0</v>
          </cell>
          <cell r="C3081">
            <v>0</v>
          </cell>
          <cell r="D3081">
            <v>0</v>
          </cell>
        </row>
        <row r="3082">
          <cell r="B3082">
            <v>0</v>
          </cell>
          <cell r="C3082">
            <v>0</v>
          </cell>
          <cell r="D3082">
            <v>0</v>
          </cell>
        </row>
        <row r="3083">
          <cell r="B3083">
            <v>0</v>
          </cell>
          <cell r="C3083">
            <v>0</v>
          </cell>
          <cell r="D3083">
            <v>0</v>
          </cell>
        </row>
        <row r="3084">
          <cell r="B3084">
            <v>0</v>
          </cell>
          <cell r="C3084">
            <v>0</v>
          </cell>
          <cell r="D3084">
            <v>0</v>
          </cell>
        </row>
        <row r="3085">
          <cell r="B3085">
            <v>0</v>
          </cell>
          <cell r="C3085">
            <v>0</v>
          </cell>
          <cell r="D3085">
            <v>0</v>
          </cell>
        </row>
        <row r="3086">
          <cell r="B3086">
            <v>0</v>
          </cell>
          <cell r="C3086">
            <v>0</v>
          </cell>
          <cell r="D3086">
            <v>0</v>
          </cell>
        </row>
        <row r="3087">
          <cell r="B3087">
            <v>0</v>
          </cell>
          <cell r="C3087">
            <v>0</v>
          </cell>
          <cell r="D3087">
            <v>0</v>
          </cell>
        </row>
        <row r="3088">
          <cell r="B3088">
            <v>0</v>
          </cell>
          <cell r="C3088">
            <v>0</v>
          </cell>
          <cell r="D3088">
            <v>0</v>
          </cell>
        </row>
        <row r="3089">
          <cell r="B3089">
            <v>0</v>
          </cell>
          <cell r="C3089">
            <v>0</v>
          </cell>
          <cell r="D3089">
            <v>0</v>
          </cell>
        </row>
        <row r="3090">
          <cell r="B3090">
            <v>0</v>
          </cell>
          <cell r="C3090">
            <v>0</v>
          </cell>
          <cell r="D3090">
            <v>0</v>
          </cell>
        </row>
        <row r="3091">
          <cell r="B3091">
            <v>0</v>
          </cell>
          <cell r="C3091">
            <v>0</v>
          </cell>
          <cell r="D3091">
            <v>0</v>
          </cell>
        </row>
        <row r="3092">
          <cell r="B3092">
            <v>0</v>
          </cell>
          <cell r="C3092">
            <v>0</v>
          </cell>
          <cell r="D3092">
            <v>0</v>
          </cell>
        </row>
        <row r="3093">
          <cell r="B3093">
            <v>0</v>
          </cell>
          <cell r="C3093">
            <v>0</v>
          </cell>
          <cell r="D3093">
            <v>0</v>
          </cell>
        </row>
        <row r="3094">
          <cell r="B3094">
            <v>0</v>
          </cell>
          <cell r="C3094">
            <v>0</v>
          </cell>
          <cell r="D3094">
            <v>0</v>
          </cell>
        </row>
        <row r="3095">
          <cell r="B3095">
            <v>0</v>
          </cell>
          <cell r="C3095">
            <v>0</v>
          </cell>
          <cell r="D3095">
            <v>0</v>
          </cell>
        </row>
        <row r="3096">
          <cell r="B3096">
            <v>0</v>
          </cell>
          <cell r="C3096">
            <v>0</v>
          </cell>
          <cell r="D3096">
            <v>0</v>
          </cell>
        </row>
        <row r="3097">
          <cell r="B3097">
            <v>0</v>
          </cell>
          <cell r="C3097">
            <v>0</v>
          </cell>
          <cell r="D3097">
            <v>0</v>
          </cell>
        </row>
        <row r="3098">
          <cell r="B3098">
            <v>0</v>
          </cell>
          <cell r="C3098">
            <v>0</v>
          </cell>
          <cell r="D3098">
            <v>0</v>
          </cell>
        </row>
        <row r="3099">
          <cell r="B3099">
            <v>0</v>
          </cell>
          <cell r="C3099">
            <v>0</v>
          </cell>
          <cell r="D3099">
            <v>0</v>
          </cell>
        </row>
        <row r="3100">
          <cell r="B3100">
            <v>0</v>
          </cell>
          <cell r="C3100">
            <v>0</v>
          </cell>
          <cell r="D3100">
            <v>0</v>
          </cell>
        </row>
        <row r="3101">
          <cell r="B3101">
            <v>0</v>
          </cell>
          <cell r="C3101">
            <v>0</v>
          </cell>
          <cell r="D3101">
            <v>0</v>
          </cell>
        </row>
        <row r="3102">
          <cell r="B3102">
            <v>0</v>
          </cell>
          <cell r="C3102">
            <v>0</v>
          </cell>
          <cell r="D3102">
            <v>0</v>
          </cell>
        </row>
        <row r="3103">
          <cell r="B3103">
            <v>0</v>
          </cell>
          <cell r="C3103">
            <v>0</v>
          </cell>
          <cell r="D3103">
            <v>0</v>
          </cell>
        </row>
        <row r="3104">
          <cell r="B3104">
            <v>0</v>
          </cell>
          <cell r="C3104">
            <v>0</v>
          </cell>
          <cell r="D3104">
            <v>0</v>
          </cell>
        </row>
        <row r="3105">
          <cell r="B3105">
            <v>0</v>
          </cell>
          <cell r="C3105">
            <v>0</v>
          </cell>
          <cell r="D3105">
            <v>0</v>
          </cell>
        </row>
        <row r="3106">
          <cell r="B3106">
            <v>0</v>
          </cell>
          <cell r="C3106">
            <v>0</v>
          </cell>
          <cell r="D3106">
            <v>0</v>
          </cell>
        </row>
        <row r="3107">
          <cell r="B3107">
            <v>0</v>
          </cell>
          <cell r="C3107">
            <v>0</v>
          </cell>
          <cell r="D3107">
            <v>0</v>
          </cell>
        </row>
        <row r="3108">
          <cell r="B3108">
            <v>0</v>
          </cell>
          <cell r="C3108">
            <v>0</v>
          </cell>
          <cell r="D3108">
            <v>0</v>
          </cell>
        </row>
        <row r="3109">
          <cell r="B3109">
            <v>0</v>
          </cell>
          <cell r="C3109">
            <v>0</v>
          </cell>
          <cell r="D3109">
            <v>0</v>
          </cell>
        </row>
        <row r="3110">
          <cell r="B3110">
            <v>0</v>
          </cell>
          <cell r="C3110">
            <v>0</v>
          </cell>
          <cell r="D3110">
            <v>0</v>
          </cell>
        </row>
        <row r="3111">
          <cell r="B3111">
            <v>0</v>
          </cell>
          <cell r="C3111">
            <v>0</v>
          </cell>
          <cell r="D3111">
            <v>0</v>
          </cell>
        </row>
        <row r="3112">
          <cell r="B3112">
            <v>0</v>
          </cell>
          <cell r="C3112">
            <v>0</v>
          </cell>
          <cell r="D3112">
            <v>0</v>
          </cell>
        </row>
        <row r="3113">
          <cell r="B3113">
            <v>0</v>
          </cell>
          <cell r="C3113">
            <v>0</v>
          </cell>
          <cell r="D3113">
            <v>0</v>
          </cell>
        </row>
        <row r="3114">
          <cell r="B3114">
            <v>0</v>
          </cell>
          <cell r="C3114">
            <v>0</v>
          </cell>
          <cell r="D3114">
            <v>0</v>
          </cell>
        </row>
        <row r="3115">
          <cell r="B3115">
            <v>0</v>
          </cell>
          <cell r="C3115">
            <v>0</v>
          </cell>
          <cell r="D3115">
            <v>0</v>
          </cell>
        </row>
        <row r="3116">
          <cell r="B3116">
            <v>0</v>
          </cell>
          <cell r="C3116">
            <v>0</v>
          </cell>
          <cell r="D3116">
            <v>0</v>
          </cell>
        </row>
        <row r="3117">
          <cell r="B3117">
            <v>0</v>
          </cell>
          <cell r="C3117">
            <v>0</v>
          </cell>
          <cell r="D3117">
            <v>0</v>
          </cell>
        </row>
        <row r="3118">
          <cell r="B3118">
            <v>0</v>
          </cell>
          <cell r="C3118">
            <v>0</v>
          </cell>
          <cell r="D3118">
            <v>0</v>
          </cell>
        </row>
        <row r="3119">
          <cell r="B3119">
            <v>0</v>
          </cell>
          <cell r="C3119">
            <v>0</v>
          </cell>
          <cell r="D3119">
            <v>0</v>
          </cell>
        </row>
        <row r="3120">
          <cell r="B3120">
            <v>0</v>
          </cell>
          <cell r="C3120">
            <v>0</v>
          </cell>
          <cell r="D3120">
            <v>0</v>
          </cell>
        </row>
        <row r="3121">
          <cell r="B3121">
            <v>0</v>
          </cell>
          <cell r="C3121">
            <v>0</v>
          </cell>
          <cell r="D3121">
            <v>0</v>
          </cell>
        </row>
        <row r="3122">
          <cell r="B3122">
            <v>0</v>
          </cell>
          <cell r="C3122">
            <v>0</v>
          </cell>
          <cell r="D3122">
            <v>0</v>
          </cell>
        </row>
        <row r="3123">
          <cell r="B3123">
            <v>0</v>
          </cell>
          <cell r="C3123">
            <v>0</v>
          </cell>
          <cell r="D3123">
            <v>0</v>
          </cell>
        </row>
        <row r="3124">
          <cell r="B3124">
            <v>0</v>
          </cell>
          <cell r="C3124">
            <v>0</v>
          </cell>
          <cell r="D3124">
            <v>0</v>
          </cell>
        </row>
        <row r="3125">
          <cell r="B3125">
            <v>0</v>
          </cell>
          <cell r="C3125">
            <v>0</v>
          </cell>
          <cell r="D3125">
            <v>0</v>
          </cell>
        </row>
        <row r="3126">
          <cell r="B3126">
            <v>0</v>
          </cell>
          <cell r="C3126">
            <v>0</v>
          </cell>
          <cell r="D3126">
            <v>0</v>
          </cell>
        </row>
        <row r="3127">
          <cell r="B3127">
            <v>0</v>
          </cell>
          <cell r="C3127">
            <v>0</v>
          </cell>
          <cell r="D3127">
            <v>0</v>
          </cell>
        </row>
        <row r="3128">
          <cell r="B3128">
            <v>0</v>
          </cell>
          <cell r="C3128">
            <v>0</v>
          </cell>
          <cell r="D3128">
            <v>0</v>
          </cell>
        </row>
        <row r="3129">
          <cell r="B3129">
            <v>0</v>
          </cell>
          <cell r="C3129">
            <v>0</v>
          </cell>
          <cell r="D3129">
            <v>0</v>
          </cell>
        </row>
        <row r="3130">
          <cell r="B3130">
            <v>0</v>
          </cell>
          <cell r="C3130">
            <v>0</v>
          </cell>
          <cell r="D3130">
            <v>0</v>
          </cell>
        </row>
        <row r="3131">
          <cell r="B3131">
            <v>0</v>
          </cell>
          <cell r="C3131">
            <v>0</v>
          </cell>
          <cell r="D3131">
            <v>0</v>
          </cell>
        </row>
        <row r="3132">
          <cell r="B3132">
            <v>0</v>
          </cell>
          <cell r="C3132">
            <v>0</v>
          </cell>
          <cell r="D3132">
            <v>0</v>
          </cell>
        </row>
        <row r="3133">
          <cell r="B3133">
            <v>0</v>
          </cell>
          <cell r="C3133">
            <v>0</v>
          </cell>
          <cell r="D3133">
            <v>0</v>
          </cell>
        </row>
        <row r="3134">
          <cell r="B3134">
            <v>0</v>
          </cell>
          <cell r="C3134">
            <v>0</v>
          </cell>
          <cell r="D3134">
            <v>0</v>
          </cell>
        </row>
        <row r="3135">
          <cell r="B3135">
            <v>0</v>
          </cell>
          <cell r="C3135">
            <v>0</v>
          </cell>
          <cell r="D3135">
            <v>0</v>
          </cell>
        </row>
        <row r="3136">
          <cell r="B3136">
            <v>0</v>
          </cell>
          <cell r="C3136">
            <v>0</v>
          </cell>
          <cell r="D3136">
            <v>0</v>
          </cell>
        </row>
        <row r="3137">
          <cell r="B3137">
            <v>0</v>
          </cell>
          <cell r="C3137">
            <v>0</v>
          </cell>
          <cell r="D3137">
            <v>0</v>
          </cell>
        </row>
        <row r="3138">
          <cell r="B3138">
            <v>0</v>
          </cell>
          <cell r="C3138">
            <v>0</v>
          </cell>
          <cell r="D3138">
            <v>0</v>
          </cell>
        </row>
        <row r="3139">
          <cell r="B3139">
            <v>0</v>
          </cell>
          <cell r="C3139">
            <v>0</v>
          </cell>
          <cell r="D3139">
            <v>0</v>
          </cell>
        </row>
        <row r="3140">
          <cell r="B3140">
            <v>0</v>
          </cell>
          <cell r="C3140">
            <v>0</v>
          </cell>
          <cell r="D3140">
            <v>0</v>
          </cell>
        </row>
        <row r="3141">
          <cell r="B3141">
            <v>0</v>
          </cell>
          <cell r="C3141">
            <v>0</v>
          </cell>
          <cell r="D3141">
            <v>0</v>
          </cell>
        </row>
        <row r="3142">
          <cell r="B3142">
            <v>0</v>
          </cell>
          <cell r="C3142">
            <v>0</v>
          </cell>
          <cell r="D3142">
            <v>0</v>
          </cell>
        </row>
        <row r="3143">
          <cell r="B3143">
            <v>0</v>
          </cell>
          <cell r="C3143">
            <v>0</v>
          </cell>
          <cell r="D3143">
            <v>0</v>
          </cell>
        </row>
        <row r="3144">
          <cell r="B3144">
            <v>0</v>
          </cell>
          <cell r="C3144">
            <v>0</v>
          </cell>
          <cell r="D3144">
            <v>0</v>
          </cell>
        </row>
        <row r="3145">
          <cell r="B3145">
            <v>0</v>
          </cell>
          <cell r="C3145">
            <v>0</v>
          </cell>
          <cell r="D3145">
            <v>0</v>
          </cell>
        </row>
        <row r="3146">
          <cell r="B3146">
            <v>0</v>
          </cell>
          <cell r="C3146">
            <v>0</v>
          </cell>
          <cell r="D3146">
            <v>0</v>
          </cell>
        </row>
        <row r="3147">
          <cell r="B3147">
            <v>0</v>
          </cell>
          <cell r="C3147">
            <v>0</v>
          </cell>
          <cell r="D3147">
            <v>0</v>
          </cell>
        </row>
        <row r="3148">
          <cell r="B3148">
            <v>0</v>
          </cell>
          <cell r="C3148">
            <v>0</v>
          </cell>
          <cell r="D3148">
            <v>0</v>
          </cell>
        </row>
        <row r="3149">
          <cell r="B3149">
            <v>0</v>
          </cell>
          <cell r="C3149">
            <v>0</v>
          </cell>
          <cell r="D3149">
            <v>0</v>
          </cell>
        </row>
        <row r="3150">
          <cell r="B3150">
            <v>0</v>
          </cell>
          <cell r="C3150">
            <v>0</v>
          </cell>
          <cell r="D3150">
            <v>0</v>
          </cell>
        </row>
        <row r="3151">
          <cell r="B3151">
            <v>0</v>
          </cell>
          <cell r="C3151">
            <v>0</v>
          </cell>
          <cell r="D3151">
            <v>0</v>
          </cell>
        </row>
        <row r="3152">
          <cell r="B3152">
            <v>0</v>
          </cell>
          <cell r="C3152">
            <v>0</v>
          </cell>
          <cell r="D3152">
            <v>0</v>
          </cell>
        </row>
        <row r="3153">
          <cell r="B3153">
            <v>0</v>
          </cell>
          <cell r="C3153">
            <v>0</v>
          </cell>
          <cell r="D3153">
            <v>0</v>
          </cell>
        </row>
        <row r="3154">
          <cell r="B3154">
            <v>0</v>
          </cell>
          <cell r="C3154">
            <v>0</v>
          </cell>
          <cell r="D3154">
            <v>0</v>
          </cell>
        </row>
        <row r="3155">
          <cell r="B3155">
            <v>0</v>
          </cell>
          <cell r="C3155">
            <v>0</v>
          </cell>
          <cell r="D3155">
            <v>0</v>
          </cell>
        </row>
        <row r="3156">
          <cell r="B3156">
            <v>0</v>
          </cell>
          <cell r="C3156">
            <v>0</v>
          </cell>
          <cell r="D3156">
            <v>0</v>
          </cell>
        </row>
        <row r="3157">
          <cell r="B3157">
            <v>0</v>
          </cell>
          <cell r="C3157">
            <v>0</v>
          </cell>
          <cell r="D3157">
            <v>0</v>
          </cell>
        </row>
        <row r="3158">
          <cell r="B3158">
            <v>0</v>
          </cell>
          <cell r="C3158">
            <v>0</v>
          </cell>
          <cell r="D3158">
            <v>0</v>
          </cell>
        </row>
        <row r="3159">
          <cell r="B3159">
            <v>0</v>
          </cell>
          <cell r="C3159">
            <v>0</v>
          </cell>
          <cell r="D3159">
            <v>0</v>
          </cell>
        </row>
        <row r="3160">
          <cell r="B3160">
            <v>0</v>
          </cell>
          <cell r="C3160">
            <v>0</v>
          </cell>
          <cell r="D3160">
            <v>0</v>
          </cell>
        </row>
        <row r="3161">
          <cell r="B3161">
            <v>0</v>
          </cell>
          <cell r="C3161">
            <v>0</v>
          </cell>
          <cell r="D3161">
            <v>0</v>
          </cell>
        </row>
        <row r="3162">
          <cell r="B3162">
            <v>0</v>
          </cell>
          <cell r="C3162">
            <v>0</v>
          </cell>
          <cell r="D3162">
            <v>0</v>
          </cell>
        </row>
        <row r="3163">
          <cell r="B3163">
            <v>0</v>
          </cell>
          <cell r="C3163">
            <v>0</v>
          </cell>
          <cell r="D3163">
            <v>0</v>
          </cell>
        </row>
        <row r="3164">
          <cell r="B3164">
            <v>0</v>
          </cell>
          <cell r="C3164">
            <v>0</v>
          </cell>
          <cell r="D3164">
            <v>0</v>
          </cell>
        </row>
        <row r="3165">
          <cell r="B3165">
            <v>0</v>
          </cell>
          <cell r="C3165">
            <v>0</v>
          </cell>
          <cell r="D3165">
            <v>0</v>
          </cell>
        </row>
        <row r="3166">
          <cell r="B3166">
            <v>0</v>
          </cell>
          <cell r="C3166">
            <v>0</v>
          </cell>
          <cell r="D3166">
            <v>0</v>
          </cell>
        </row>
        <row r="3167">
          <cell r="B3167">
            <v>0</v>
          </cell>
          <cell r="C3167">
            <v>0</v>
          </cell>
          <cell r="D3167">
            <v>0</v>
          </cell>
        </row>
        <row r="3168">
          <cell r="B3168">
            <v>0</v>
          </cell>
          <cell r="C3168">
            <v>0</v>
          </cell>
          <cell r="D3168">
            <v>0</v>
          </cell>
        </row>
        <row r="3169">
          <cell r="B3169">
            <v>0</v>
          </cell>
          <cell r="C3169">
            <v>0</v>
          </cell>
          <cell r="D3169">
            <v>0</v>
          </cell>
        </row>
        <row r="3170">
          <cell r="B3170">
            <v>0</v>
          </cell>
          <cell r="C3170">
            <v>0</v>
          </cell>
          <cell r="D3170">
            <v>0</v>
          </cell>
        </row>
        <row r="3171">
          <cell r="B3171">
            <v>0</v>
          </cell>
          <cell r="C3171">
            <v>0</v>
          </cell>
          <cell r="D3171">
            <v>0</v>
          </cell>
        </row>
        <row r="3172">
          <cell r="B3172">
            <v>0</v>
          </cell>
          <cell r="C3172">
            <v>0</v>
          </cell>
          <cell r="D3172">
            <v>0</v>
          </cell>
        </row>
        <row r="3173">
          <cell r="B3173">
            <v>0</v>
          </cell>
          <cell r="C3173">
            <v>0</v>
          </cell>
          <cell r="D3173">
            <v>0</v>
          </cell>
        </row>
        <row r="3174">
          <cell r="B3174">
            <v>0</v>
          </cell>
          <cell r="C3174">
            <v>0</v>
          </cell>
          <cell r="D3174">
            <v>0</v>
          </cell>
        </row>
        <row r="3175">
          <cell r="B3175">
            <v>0</v>
          </cell>
          <cell r="C3175">
            <v>0</v>
          </cell>
          <cell r="D3175">
            <v>0</v>
          </cell>
        </row>
        <row r="3176">
          <cell r="B3176">
            <v>0</v>
          </cell>
          <cell r="C3176">
            <v>0</v>
          </cell>
          <cell r="D3176">
            <v>0</v>
          </cell>
        </row>
        <row r="3177">
          <cell r="B3177">
            <v>0</v>
          </cell>
          <cell r="C3177">
            <v>0</v>
          </cell>
          <cell r="D3177">
            <v>0</v>
          </cell>
        </row>
        <row r="3178">
          <cell r="B3178">
            <v>0</v>
          </cell>
          <cell r="C3178">
            <v>0</v>
          </cell>
          <cell r="D3178">
            <v>0</v>
          </cell>
        </row>
        <row r="3179">
          <cell r="B3179">
            <v>0</v>
          </cell>
          <cell r="C3179">
            <v>0</v>
          </cell>
          <cell r="D3179">
            <v>0</v>
          </cell>
        </row>
        <row r="3180">
          <cell r="B3180">
            <v>0</v>
          </cell>
          <cell r="C3180">
            <v>0</v>
          </cell>
          <cell r="D3180">
            <v>0</v>
          </cell>
        </row>
        <row r="3181">
          <cell r="B3181">
            <v>0</v>
          </cell>
          <cell r="C3181">
            <v>0</v>
          </cell>
          <cell r="D3181">
            <v>0</v>
          </cell>
        </row>
        <row r="3182">
          <cell r="B3182">
            <v>0</v>
          </cell>
          <cell r="C3182">
            <v>0</v>
          </cell>
          <cell r="D3182">
            <v>0</v>
          </cell>
        </row>
        <row r="3183">
          <cell r="B3183">
            <v>0</v>
          </cell>
          <cell r="C3183">
            <v>0</v>
          </cell>
          <cell r="D3183">
            <v>0</v>
          </cell>
        </row>
        <row r="3184">
          <cell r="B3184">
            <v>0</v>
          </cell>
          <cell r="C3184">
            <v>0</v>
          </cell>
          <cell r="D3184">
            <v>0</v>
          </cell>
        </row>
        <row r="3185">
          <cell r="B3185">
            <v>0</v>
          </cell>
          <cell r="C3185">
            <v>0</v>
          </cell>
          <cell r="D3185">
            <v>0</v>
          </cell>
        </row>
        <row r="3186">
          <cell r="B3186">
            <v>0</v>
          </cell>
          <cell r="C3186">
            <v>0</v>
          </cell>
          <cell r="D3186">
            <v>0</v>
          </cell>
        </row>
        <row r="3187">
          <cell r="B3187">
            <v>0</v>
          </cell>
          <cell r="C3187">
            <v>0</v>
          </cell>
          <cell r="D3187">
            <v>0</v>
          </cell>
        </row>
        <row r="3188">
          <cell r="B3188">
            <v>0</v>
          </cell>
          <cell r="C3188">
            <v>0</v>
          </cell>
          <cell r="D3188">
            <v>0</v>
          </cell>
        </row>
        <row r="3189">
          <cell r="B3189">
            <v>0</v>
          </cell>
          <cell r="C3189">
            <v>0</v>
          </cell>
          <cell r="D3189">
            <v>0</v>
          </cell>
        </row>
        <row r="3190">
          <cell r="B3190">
            <v>0</v>
          </cell>
          <cell r="C3190">
            <v>0</v>
          </cell>
          <cell r="D3190">
            <v>0</v>
          </cell>
        </row>
        <row r="3191">
          <cell r="B3191">
            <v>0</v>
          </cell>
          <cell r="C3191">
            <v>0</v>
          </cell>
          <cell r="D3191">
            <v>0</v>
          </cell>
        </row>
        <row r="3192">
          <cell r="B3192">
            <v>0</v>
          </cell>
          <cell r="C3192">
            <v>0</v>
          </cell>
          <cell r="D3192">
            <v>0</v>
          </cell>
        </row>
        <row r="3193">
          <cell r="B3193">
            <v>0</v>
          </cell>
          <cell r="C3193">
            <v>0</v>
          </cell>
          <cell r="D3193">
            <v>0</v>
          </cell>
        </row>
        <row r="3194">
          <cell r="B3194">
            <v>0</v>
          </cell>
          <cell r="C3194">
            <v>0</v>
          </cell>
          <cell r="D3194">
            <v>0</v>
          </cell>
        </row>
        <row r="3195">
          <cell r="B3195">
            <v>0</v>
          </cell>
          <cell r="C3195">
            <v>0</v>
          </cell>
          <cell r="D3195">
            <v>0</v>
          </cell>
        </row>
        <row r="3196">
          <cell r="B3196">
            <v>0</v>
          </cell>
          <cell r="C3196">
            <v>0</v>
          </cell>
          <cell r="D3196">
            <v>0</v>
          </cell>
        </row>
        <row r="3197">
          <cell r="B3197">
            <v>0</v>
          </cell>
          <cell r="C3197">
            <v>0</v>
          </cell>
          <cell r="D3197">
            <v>0</v>
          </cell>
        </row>
        <row r="3198">
          <cell r="B3198">
            <v>0</v>
          </cell>
          <cell r="C3198">
            <v>0</v>
          </cell>
          <cell r="D3198">
            <v>0</v>
          </cell>
        </row>
        <row r="3199">
          <cell r="B3199">
            <v>0</v>
          </cell>
          <cell r="C3199">
            <v>0</v>
          </cell>
          <cell r="D3199">
            <v>0</v>
          </cell>
        </row>
        <row r="3200">
          <cell r="B3200">
            <v>0</v>
          </cell>
          <cell r="C3200">
            <v>0</v>
          </cell>
          <cell r="D3200">
            <v>0</v>
          </cell>
        </row>
        <row r="3201">
          <cell r="B3201">
            <v>0</v>
          </cell>
          <cell r="C3201">
            <v>0</v>
          </cell>
          <cell r="D3201">
            <v>0</v>
          </cell>
        </row>
        <row r="3202">
          <cell r="B3202">
            <v>0</v>
          </cell>
          <cell r="C3202">
            <v>0</v>
          </cell>
          <cell r="D3202">
            <v>0</v>
          </cell>
        </row>
        <row r="3203">
          <cell r="B3203">
            <v>0</v>
          </cell>
          <cell r="C3203">
            <v>0</v>
          </cell>
          <cell r="D3203">
            <v>0</v>
          </cell>
        </row>
        <row r="3204">
          <cell r="B3204">
            <v>0</v>
          </cell>
          <cell r="C3204">
            <v>0</v>
          </cell>
          <cell r="D3204">
            <v>0</v>
          </cell>
        </row>
        <row r="3205">
          <cell r="B3205">
            <v>0</v>
          </cell>
          <cell r="C3205">
            <v>0</v>
          </cell>
          <cell r="D3205">
            <v>0</v>
          </cell>
        </row>
        <row r="3206">
          <cell r="B3206">
            <v>0</v>
          </cell>
          <cell r="C3206">
            <v>0</v>
          </cell>
          <cell r="D3206">
            <v>0</v>
          </cell>
        </row>
        <row r="3207">
          <cell r="B3207">
            <v>0</v>
          </cell>
          <cell r="C3207">
            <v>0</v>
          </cell>
          <cell r="D3207">
            <v>0</v>
          </cell>
        </row>
        <row r="3208">
          <cell r="B3208">
            <v>0</v>
          </cell>
          <cell r="C3208">
            <v>0</v>
          </cell>
          <cell r="D3208">
            <v>0</v>
          </cell>
        </row>
        <row r="3209">
          <cell r="B3209">
            <v>0</v>
          </cell>
          <cell r="C3209">
            <v>0</v>
          </cell>
          <cell r="D3209">
            <v>0</v>
          </cell>
        </row>
        <row r="3210">
          <cell r="B3210">
            <v>0</v>
          </cell>
          <cell r="C3210">
            <v>0</v>
          </cell>
          <cell r="D3210">
            <v>0</v>
          </cell>
        </row>
        <row r="3211">
          <cell r="B3211">
            <v>0</v>
          </cell>
          <cell r="C3211">
            <v>0</v>
          </cell>
          <cell r="D3211">
            <v>0</v>
          </cell>
        </row>
        <row r="3212">
          <cell r="B3212">
            <v>0</v>
          </cell>
          <cell r="C3212">
            <v>0</v>
          </cell>
          <cell r="D3212">
            <v>0</v>
          </cell>
        </row>
        <row r="3213">
          <cell r="B3213">
            <v>0</v>
          </cell>
          <cell r="C3213">
            <v>0</v>
          </cell>
          <cell r="D3213">
            <v>0</v>
          </cell>
        </row>
        <row r="3214">
          <cell r="B3214">
            <v>0</v>
          </cell>
          <cell r="C3214">
            <v>0</v>
          </cell>
          <cell r="D3214">
            <v>0</v>
          </cell>
        </row>
        <row r="3215">
          <cell r="B3215">
            <v>0</v>
          </cell>
          <cell r="C3215">
            <v>0</v>
          </cell>
          <cell r="D3215">
            <v>0</v>
          </cell>
        </row>
        <row r="3216">
          <cell r="B3216">
            <v>0</v>
          </cell>
          <cell r="C3216">
            <v>0</v>
          </cell>
          <cell r="D3216">
            <v>0</v>
          </cell>
        </row>
        <row r="3217">
          <cell r="B3217">
            <v>0</v>
          </cell>
          <cell r="C3217">
            <v>0</v>
          </cell>
          <cell r="D3217">
            <v>0</v>
          </cell>
        </row>
        <row r="3218">
          <cell r="B3218">
            <v>0</v>
          </cell>
          <cell r="C3218">
            <v>0</v>
          </cell>
          <cell r="D3218">
            <v>0</v>
          </cell>
        </row>
        <row r="3219">
          <cell r="B3219">
            <v>0</v>
          </cell>
          <cell r="C3219">
            <v>0</v>
          </cell>
          <cell r="D3219">
            <v>0</v>
          </cell>
        </row>
        <row r="3220">
          <cell r="B3220">
            <v>0</v>
          </cell>
          <cell r="C3220">
            <v>0</v>
          </cell>
          <cell r="D3220">
            <v>0</v>
          </cell>
        </row>
        <row r="3221">
          <cell r="B3221">
            <v>0</v>
          </cell>
          <cell r="C3221">
            <v>0</v>
          </cell>
          <cell r="D3221">
            <v>0</v>
          </cell>
        </row>
        <row r="3222">
          <cell r="B3222">
            <v>0</v>
          </cell>
          <cell r="C3222">
            <v>0</v>
          </cell>
          <cell r="D3222">
            <v>0</v>
          </cell>
        </row>
        <row r="3223">
          <cell r="B3223">
            <v>0</v>
          </cell>
          <cell r="C3223">
            <v>0</v>
          </cell>
          <cell r="D3223">
            <v>0</v>
          </cell>
        </row>
        <row r="3224">
          <cell r="B3224">
            <v>0</v>
          </cell>
          <cell r="C3224">
            <v>0</v>
          </cell>
          <cell r="D3224">
            <v>0</v>
          </cell>
        </row>
        <row r="3225">
          <cell r="B3225">
            <v>0</v>
          </cell>
          <cell r="C3225">
            <v>0</v>
          </cell>
          <cell r="D3225">
            <v>0</v>
          </cell>
        </row>
        <row r="3226">
          <cell r="B3226">
            <v>0</v>
          </cell>
          <cell r="C3226">
            <v>0</v>
          </cell>
          <cell r="D3226">
            <v>0</v>
          </cell>
        </row>
        <row r="3227">
          <cell r="B3227">
            <v>0</v>
          </cell>
          <cell r="C3227">
            <v>0</v>
          </cell>
          <cell r="D3227">
            <v>0</v>
          </cell>
        </row>
        <row r="3228">
          <cell r="B3228">
            <v>0</v>
          </cell>
          <cell r="C3228">
            <v>0</v>
          </cell>
          <cell r="D3228">
            <v>0</v>
          </cell>
        </row>
        <row r="3229">
          <cell r="B3229">
            <v>0</v>
          </cell>
          <cell r="C3229">
            <v>0</v>
          </cell>
          <cell r="D3229">
            <v>0</v>
          </cell>
        </row>
        <row r="3230">
          <cell r="B3230">
            <v>0</v>
          </cell>
          <cell r="C3230">
            <v>0</v>
          </cell>
          <cell r="D3230">
            <v>0</v>
          </cell>
        </row>
        <row r="3231">
          <cell r="B3231">
            <v>0</v>
          </cell>
          <cell r="C3231">
            <v>0</v>
          </cell>
          <cell r="D3231">
            <v>0</v>
          </cell>
        </row>
        <row r="3232">
          <cell r="B3232">
            <v>0</v>
          </cell>
          <cell r="C3232">
            <v>0</v>
          </cell>
          <cell r="D3232">
            <v>0</v>
          </cell>
        </row>
        <row r="3233">
          <cell r="B3233">
            <v>0</v>
          </cell>
          <cell r="C3233">
            <v>0</v>
          </cell>
          <cell r="D3233">
            <v>0</v>
          </cell>
        </row>
        <row r="3234">
          <cell r="B3234">
            <v>0</v>
          </cell>
          <cell r="C3234">
            <v>0</v>
          </cell>
          <cell r="D3234">
            <v>0</v>
          </cell>
        </row>
        <row r="3235">
          <cell r="B3235">
            <v>0</v>
          </cell>
          <cell r="C3235">
            <v>0</v>
          </cell>
          <cell r="D3235">
            <v>0</v>
          </cell>
        </row>
        <row r="3236">
          <cell r="B3236">
            <v>0</v>
          </cell>
          <cell r="C3236">
            <v>0</v>
          </cell>
          <cell r="D3236">
            <v>0</v>
          </cell>
        </row>
        <row r="3237">
          <cell r="B3237">
            <v>0</v>
          </cell>
          <cell r="C3237">
            <v>0</v>
          </cell>
          <cell r="D3237">
            <v>0</v>
          </cell>
        </row>
        <row r="3238">
          <cell r="B3238">
            <v>0</v>
          </cell>
          <cell r="C3238">
            <v>0</v>
          </cell>
          <cell r="D3238">
            <v>0</v>
          </cell>
        </row>
        <row r="3239">
          <cell r="B3239">
            <v>0</v>
          </cell>
          <cell r="C3239">
            <v>0</v>
          </cell>
          <cell r="D3239">
            <v>0</v>
          </cell>
        </row>
        <row r="3240">
          <cell r="B3240">
            <v>0</v>
          </cell>
          <cell r="C3240">
            <v>0</v>
          </cell>
          <cell r="D3240">
            <v>0</v>
          </cell>
        </row>
        <row r="3241">
          <cell r="B3241">
            <v>0</v>
          </cell>
          <cell r="C3241">
            <v>0</v>
          </cell>
          <cell r="D3241">
            <v>0</v>
          </cell>
        </row>
        <row r="3242">
          <cell r="B3242">
            <v>0</v>
          </cell>
          <cell r="C3242">
            <v>0</v>
          </cell>
          <cell r="D3242">
            <v>0</v>
          </cell>
        </row>
        <row r="3243">
          <cell r="B3243">
            <v>0</v>
          </cell>
          <cell r="C3243">
            <v>0</v>
          </cell>
          <cell r="D3243">
            <v>0</v>
          </cell>
        </row>
        <row r="3244">
          <cell r="B3244">
            <v>0</v>
          </cell>
          <cell r="C3244">
            <v>0</v>
          </cell>
          <cell r="D3244">
            <v>0</v>
          </cell>
        </row>
        <row r="3245">
          <cell r="B3245">
            <v>0</v>
          </cell>
          <cell r="C3245">
            <v>0</v>
          </cell>
          <cell r="D3245">
            <v>0</v>
          </cell>
        </row>
        <row r="3246">
          <cell r="B3246">
            <v>0</v>
          </cell>
          <cell r="C3246">
            <v>0</v>
          </cell>
          <cell r="D3246">
            <v>0</v>
          </cell>
        </row>
        <row r="3247">
          <cell r="B3247">
            <v>0</v>
          </cell>
          <cell r="C3247">
            <v>0</v>
          </cell>
          <cell r="D3247">
            <v>0</v>
          </cell>
        </row>
        <row r="3248">
          <cell r="B3248">
            <v>0</v>
          </cell>
          <cell r="C3248">
            <v>0</v>
          </cell>
          <cell r="D3248">
            <v>0</v>
          </cell>
        </row>
        <row r="3249">
          <cell r="B3249">
            <v>0</v>
          </cell>
          <cell r="C3249">
            <v>0</v>
          </cell>
          <cell r="D3249">
            <v>0</v>
          </cell>
        </row>
        <row r="3250">
          <cell r="B3250">
            <v>0</v>
          </cell>
          <cell r="C3250">
            <v>0</v>
          </cell>
          <cell r="D3250">
            <v>0</v>
          </cell>
        </row>
        <row r="3251">
          <cell r="B3251">
            <v>0</v>
          </cell>
          <cell r="C3251">
            <v>0</v>
          </cell>
          <cell r="D3251">
            <v>0</v>
          </cell>
        </row>
        <row r="3252">
          <cell r="B3252">
            <v>0</v>
          </cell>
          <cell r="C3252">
            <v>0</v>
          </cell>
          <cell r="D3252">
            <v>0</v>
          </cell>
        </row>
        <row r="3253">
          <cell r="B3253">
            <v>0</v>
          </cell>
          <cell r="C3253">
            <v>0</v>
          </cell>
          <cell r="D3253">
            <v>0</v>
          </cell>
        </row>
        <row r="3254">
          <cell r="B3254">
            <v>0</v>
          </cell>
          <cell r="C3254">
            <v>0</v>
          </cell>
          <cell r="D3254">
            <v>0</v>
          </cell>
        </row>
        <row r="3255">
          <cell r="B3255">
            <v>0</v>
          </cell>
          <cell r="C3255">
            <v>0</v>
          </cell>
          <cell r="D3255">
            <v>0</v>
          </cell>
        </row>
        <row r="3256">
          <cell r="B3256">
            <v>0</v>
          </cell>
          <cell r="C3256">
            <v>0</v>
          </cell>
          <cell r="D3256">
            <v>0</v>
          </cell>
        </row>
        <row r="3257">
          <cell r="B3257">
            <v>0</v>
          </cell>
          <cell r="C3257">
            <v>0</v>
          </cell>
          <cell r="D3257">
            <v>0</v>
          </cell>
        </row>
        <row r="3258">
          <cell r="B3258">
            <v>0</v>
          </cell>
          <cell r="C3258">
            <v>0</v>
          </cell>
          <cell r="D3258">
            <v>0</v>
          </cell>
        </row>
        <row r="3259">
          <cell r="B3259">
            <v>0</v>
          </cell>
          <cell r="C3259">
            <v>0</v>
          </cell>
          <cell r="D3259">
            <v>0</v>
          </cell>
        </row>
        <row r="3260">
          <cell r="B3260">
            <v>0</v>
          </cell>
          <cell r="C3260">
            <v>0</v>
          </cell>
          <cell r="D3260">
            <v>0</v>
          </cell>
        </row>
        <row r="3261">
          <cell r="B3261">
            <v>0</v>
          </cell>
          <cell r="C3261">
            <v>0</v>
          </cell>
          <cell r="D3261">
            <v>0</v>
          </cell>
        </row>
        <row r="3262">
          <cell r="B3262">
            <v>0</v>
          </cell>
          <cell r="C3262">
            <v>0</v>
          </cell>
          <cell r="D3262">
            <v>0</v>
          </cell>
        </row>
        <row r="3263">
          <cell r="B3263">
            <v>0</v>
          </cell>
          <cell r="C3263">
            <v>0</v>
          </cell>
          <cell r="D3263">
            <v>0</v>
          </cell>
        </row>
        <row r="3264">
          <cell r="B3264">
            <v>0</v>
          </cell>
          <cell r="C3264">
            <v>0</v>
          </cell>
          <cell r="D3264">
            <v>0</v>
          </cell>
        </row>
        <row r="3265">
          <cell r="B3265">
            <v>0</v>
          </cell>
          <cell r="C3265">
            <v>0</v>
          </cell>
          <cell r="D3265">
            <v>0</v>
          </cell>
        </row>
        <row r="3266">
          <cell r="B3266">
            <v>0</v>
          </cell>
          <cell r="C3266">
            <v>0</v>
          </cell>
          <cell r="D3266">
            <v>0</v>
          </cell>
        </row>
        <row r="3267">
          <cell r="B3267">
            <v>0</v>
          </cell>
          <cell r="C3267">
            <v>0</v>
          </cell>
          <cell r="D3267">
            <v>0</v>
          </cell>
        </row>
        <row r="3268">
          <cell r="B3268">
            <v>0</v>
          </cell>
          <cell r="C3268">
            <v>0</v>
          </cell>
          <cell r="D3268">
            <v>0</v>
          </cell>
        </row>
        <row r="3269">
          <cell r="B3269">
            <v>0</v>
          </cell>
          <cell r="C3269">
            <v>0</v>
          </cell>
          <cell r="D3269">
            <v>0</v>
          </cell>
        </row>
        <row r="3270">
          <cell r="B3270">
            <v>0</v>
          </cell>
          <cell r="C3270">
            <v>0</v>
          </cell>
          <cell r="D3270">
            <v>0</v>
          </cell>
        </row>
        <row r="3271">
          <cell r="B3271">
            <v>0</v>
          </cell>
          <cell r="C3271">
            <v>0</v>
          </cell>
          <cell r="D3271">
            <v>0</v>
          </cell>
        </row>
        <row r="3272">
          <cell r="B3272">
            <v>0</v>
          </cell>
          <cell r="C3272">
            <v>0</v>
          </cell>
          <cell r="D3272">
            <v>0</v>
          </cell>
        </row>
        <row r="3273">
          <cell r="B3273">
            <v>0</v>
          </cell>
          <cell r="C3273">
            <v>0</v>
          </cell>
          <cell r="D3273">
            <v>0</v>
          </cell>
        </row>
        <row r="3274">
          <cell r="B3274">
            <v>0</v>
          </cell>
          <cell r="C3274">
            <v>0</v>
          </cell>
          <cell r="D3274">
            <v>0</v>
          </cell>
        </row>
        <row r="3275">
          <cell r="B3275">
            <v>0</v>
          </cell>
          <cell r="C3275">
            <v>0</v>
          </cell>
          <cell r="D3275">
            <v>0</v>
          </cell>
        </row>
        <row r="3276">
          <cell r="B3276">
            <v>0</v>
          </cell>
          <cell r="C3276">
            <v>0</v>
          </cell>
          <cell r="D3276">
            <v>0</v>
          </cell>
        </row>
        <row r="3277">
          <cell r="B3277">
            <v>0</v>
          </cell>
          <cell r="C3277">
            <v>0</v>
          </cell>
          <cell r="D3277">
            <v>0</v>
          </cell>
        </row>
        <row r="3278">
          <cell r="B3278">
            <v>0</v>
          </cell>
          <cell r="C3278">
            <v>0</v>
          </cell>
          <cell r="D3278">
            <v>0</v>
          </cell>
        </row>
        <row r="3279">
          <cell r="B3279">
            <v>0</v>
          </cell>
          <cell r="C3279">
            <v>0</v>
          </cell>
          <cell r="D3279">
            <v>0</v>
          </cell>
        </row>
        <row r="3280">
          <cell r="B3280">
            <v>0</v>
          </cell>
          <cell r="C3280">
            <v>0</v>
          </cell>
          <cell r="D3280">
            <v>0</v>
          </cell>
        </row>
        <row r="3281">
          <cell r="B3281">
            <v>0</v>
          </cell>
          <cell r="C3281">
            <v>0</v>
          </cell>
          <cell r="D3281">
            <v>0</v>
          </cell>
        </row>
        <row r="3282">
          <cell r="B3282">
            <v>0</v>
          </cell>
          <cell r="C3282">
            <v>0</v>
          </cell>
          <cell r="D3282">
            <v>0</v>
          </cell>
        </row>
        <row r="3283">
          <cell r="B3283">
            <v>0</v>
          </cell>
          <cell r="C3283">
            <v>0</v>
          </cell>
          <cell r="D3283">
            <v>0</v>
          </cell>
        </row>
        <row r="3284">
          <cell r="B3284">
            <v>0</v>
          </cell>
          <cell r="C3284">
            <v>0</v>
          </cell>
          <cell r="D3284">
            <v>0</v>
          </cell>
        </row>
        <row r="3285">
          <cell r="B3285">
            <v>0</v>
          </cell>
          <cell r="C3285">
            <v>0</v>
          </cell>
          <cell r="D3285">
            <v>0</v>
          </cell>
        </row>
        <row r="3286">
          <cell r="B3286">
            <v>0</v>
          </cell>
          <cell r="C3286">
            <v>0</v>
          </cell>
          <cell r="D3286">
            <v>0</v>
          </cell>
        </row>
        <row r="3287">
          <cell r="B3287">
            <v>0</v>
          </cell>
          <cell r="C3287">
            <v>0</v>
          </cell>
          <cell r="D3287">
            <v>0</v>
          </cell>
        </row>
        <row r="3288">
          <cell r="B3288">
            <v>0</v>
          </cell>
          <cell r="C3288">
            <v>0</v>
          </cell>
          <cell r="D3288">
            <v>0</v>
          </cell>
        </row>
        <row r="3289">
          <cell r="B3289">
            <v>0</v>
          </cell>
          <cell r="C3289">
            <v>0</v>
          </cell>
          <cell r="D3289">
            <v>0</v>
          </cell>
        </row>
        <row r="3290">
          <cell r="B3290">
            <v>0</v>
          </cell>
          <cell r="C3290">
            <v>0</v>
          </cell>
          <cell r="D3290">
            <v>0</v>
          </cell>
        </row>
        <row r="3291">
          <cell r="B3291">
            <v>0</v>
          </cell>
          <cell r="C3291">
            <v>0</v>
          </cell>
          <cell r="D3291">
            <v>0</v>
          </cell>
        </row>
        <row r="3292">
          <cell r="B3292">
            <v>0</v>
          </cell>
          <cell r="C3292">
            <v>0</v>
          </cell>
          <cell r="D3292">
            <v>0</v>
          </cell>
        </row>
        <row r="3293">
          <cell r="B3293">
            <v>0</v>
          </cell>
          <cell r="C3293">
            <v>0</v>
          </cell>
          <cell r="D3293">
            <v>0</v>
          </cell>
        </row>
        <row r="3294">
          <cell r="B3294">
            <v>0</v>
          </cell>
          <cell r="C3294">
            <v>0</v>
          </cell>
          <cell r="D3294">
            <v>0</v>
          </cell>
        </row>
        <row r="3295">
          <cell r="B3295">
            <v>0</v>
          </cell>
          <cell r="C3295">
            <v>0</v>
          </cell>
          <cell r="D3295">
            <v>0</v>
          </cell>
        </row>
        <row r="3296">
          <cell r="B3296">
            <v>0</v>
          </cell>
          <cell r="C3296">
            <v>0</v>
          </cell>
          <cell r="D3296">
            <v>0</v>
          </cell>
        </row>
        <row r="3297">
          <cell r="B3297">
            <v>0</v>
          </cell>
          <cell r="C3297">
            <v>0</v>
          </cell>
          <cell r="D3297">
            <v>0</v>
          </cell>
        </row>
        <row r="3298">
          <cell r="B3298">
            <v>0</v>
          </cell>
          <cell r="C3298">
            <v>0</v>
          </cell>
          <cell r="D3298">
            <v>0</v>
          </cell>
        </row>
        <row r="3299">
          <cell r="B3299">
            <v>0</v>
          </cell>
          <cell r="C3299">
            <v>0</v>
          </cell>
          <cell r="D3299">
            <v>0</v>
          </cell>
        </row>
        <row r="3300">
          <cell r="B3300">
            <v>0</v>
          </cell>
          <cell r="C3300">
            <v>0</v>
          </cell>
          <cell r="D3300">
            <v>0</v>
          </cell>
        </row>
        <row r="3301">
          <cell r="B3301">
            <v>0</v>
          </cell>
          <cell r="C3301">
            <v>0</v>
          </cell>
          <cell r="D3301">
            <v>0</v>
          </cell>
        </row>
        <row r="3302">
          <cell r="B3302">
            <v>0</v>
          </cell>
          <cell r="C3302">
            <v>0</v>
          </cell>
          <cell r="D3302">
            <v>0</v>
          </cell>
        </row>
        <row r="3303">
          <cell r="B3303">
            <v>0</v>
          </cell>
          <cell r="C3303">
            <v>0</v>
          </cell>
          <cell r="D3303">
            <v>0</v>
          </cell>
        </row>
        <row r="3304">
          <cell r="B3304">
            <v>0</v>
          </cell>
          <cell r="C3304">
            <v>0</v>
          </cell>
          <cell r="D3304">
            <v>0</v>
          </cell>
        </row>
        <row r="3305">
          <cell r="B3305">
            <v>0</v>
          </cell>
          <cell r="C3305">
            <v>0</v>
          </cell>
          <cell r="D3305">
            <v>0</v>
          </cell>
        </row>
        <row r="3306">
          <cell r="B3306">
            <v>0</v>
          </cell>
          <cell r="C3306">
            <v>0</v>
          </cell>
          <cell r="D3306">
            <v>0</v>
          </cell>
        </row>
        <row r="3307">
          <cell r="B3307">
            <v>0</v>
          </cell>
          <cell r="C3307">
            <v>0</v>
          </cell>
          <cell r="D3307">
            <v>0</v>
          </cell>
        </row>
        <row r="3308">
          <cell r="B3308">
            <v>0</v>
          </cell>
          <cell r="C3308">
            <v>0</v>
          </cell>
          <cell r="D3308">
            <v>0</v>
          </cell>
        </row>
        <row r="3309">
          <cell r="B3309">
            <v>0</v>
          </cell>
          <cell r="C3309">
            <v>0</v>
          </cell>
          <cell r="D3309">
            <v>0</v>
          </cell>
        </row>
        <row r="3310">
          <cell r="B3310">
            <v>0</v>
          </cell>
          <cell r="C3310">
            <v>0</v>
          </cell>
          <cell r="D3310">
            <v>0</v>
          </cell>
        </row>
        <row r="3311">
          <cell r="B3311">
            <v>0</v>
          </cell>
          <cell r="C3311">
            <v>0</v>
          </cell>
          <cell r="D3311">
            <v>0</v>
          </cell>
        </row>
        <row r="3312">
          <cell r="B3312">
            <v>0</v>
          </cell>
          <cell r="C3312">
            <v>0</v>
          </cell>
          <cell r="D3312">
            <v>0</v>
          </cell>
        </row>
        <row r="3313">
          <cell r="B3313">
            <v>0</v>
          </cell>
          <cell r="C3313">
            <v>0</v>
          </cell>
          <cell r="D3313">
            <v>0</v>
          </cell>
        </row>
        <row r="3314">
          <cell r="B3314">
            <v>0</v>
          </cell>
          <cell r="C3314">
            <v>0</v>
          </cell>
          <cell r="D3314">
            <v>0</v>
          </cell>
        </row>
        <row r="3315">
          <cell r="B3315">
            <v>0</v>
          </cell>
          <cell r="C3315">
            <v>0</v>
          </cell>
          <cell r="D3315">
            <v>0</v>
          </cell>
        </row>
        <row r="3316">
          <cell r="B3316">
            <v>0</v>
          </cell>
          <cell r="C3316">
            <v>0</v>
          </cell>
          <cell r="D3316">
            <v>0</v>
          </cell>
        </row>
        <row r="3317">
          <cell r="B3317">
            <v>0</v>
          </cell>
          <cell r="C3317">
            <v>0</v>
          </cell>
          <cell r="D3317">
            <v>0</v>
          </cell>
        </row>
        <row r="3318">
          <cell r="B3318">
            <v>0</v>
          </cell>
          <cell r="C3318">
            <v>0</v>
          </cell>
          <cell r="D3318">
            <v>0</v>
          </cell>
        </row>
        <row r="3319">
          <cell r="B3319">
            <v>0</v>
          </cell>
          <cell r="C3319">
            <v>0</v>
          </cell>
          <cell r="D3319">
            <v>0</v>
          </cell>
        </row>
        <row r="3320">
          <cell r="B3320">
            <v>0</v>
          </cell>
          <cell r="C3320">
            <v>0</v>
          </cell>
          <cell r="D3320">
            <v>0</v>
          </cell>
        </row>
        <row r="3321">
          <cell r="B3321">
            <v>0</v>
          </cell>
          <cell r="C3321">
            <v>0</v>
          </cell>
          <cell r="D3321">
            <v>0</v>
          </cell>
        </row>
        <row r="3322">
          <cell r="B3322">
            <v>0</v>
          </cell>
          <cell r="C3322">
            <v>0</v>
          </cell>
          <cell r="D3322">
            <v>0</v>
          </cell>
        </row>
        <row r="3323">
          <cell r="B3323">
            <v>0</v>
          </cell>
          <cell r="C3323">
            <v>0</v>
          </cell>
          <cell r="D3323">
            <v>0</v>
          </cell>
        </row>
        <row r="3324">
          <cell r="B3324">
            <v>0</v>
          </cell>
          <cell r="C3324">
            <v>0</v>
          </cell>
          <cell r="D3324">
            <v>0</v>
          </cell>
        </row>
        <row r="3325">
          <cell r="B3325">
            <v>0</v>
          </cell>
          <cell r="C3325">
            <v>0</v>
          </cell>
          <cell r="D3325">
            <v>0</v>
          </cell>
        </row>
        <row r="3326">
          <cell r="B3326">
            <v>0</v>
          </cell>
          <cell r="C3326">
            <v>0</v>
          </cell>
          <cell r="D3326">
            <v>0</v>
          </cell>
        </row>
        <row r="3327">
          <cell r="B3327">
            <v>0</v>
          </cell>
          <cell r="C3327">
            <v>0</v>
          </cell>
          <cell r="D3327">
            <v>0</v>
          </cell>
        </row>
        <row r="3328">
          <cell r="B3328">
            <v>0</v>
          </cell>
          <cell r="C3328">
            <v>0</v>
          </cell>
          <cell r="D3328">
            <v>0</v>
          </cell>
        </row>
        <row r="3329">
          <cell r="B3329">
            <v>0</v>
          </cell>
          <cell r="C3329">
            <v>0</v>
          </cell>
          <cell r="D3329">
            <v>0</v>
          </cell>
        </row>
        <row r="3330">
          <cell r="B3330">
            <v>0</v>
          </cell>
          <cell r="C3330">
            <v>0</v>
          </cell>
          <cell r="D3330">
            <v>0</v>
          </cell>
        </row>
        <row r="3331">
          <cell r="B3331">
            <v>0</v>
          </cell>
          <cell r="C3331">
            <v>0</v>
          </cell>
          <cell r="D3331">
            <v>0</v>
          </cell>
        </row>
        <row r="3332">
          <cell r="B3332">
            <v>0</v>
          </cell>
          <cell r="C3332">
            <v>0</v>
          </cell>
          <cell r="D3332">
            <v>0</v>
          </cell>
        </row>
        <row r="3333">
          <cell r="B3333">
            <v>0</v>
          </cell>
          <cell r="C3333">
            <v>0</v>
          </cell>
          <cell r="D3333">
            <v>0</v>
          </cell>
        </row>
        <row r="3334">
          <cell r="B3334">
            <v>0</v>
          </cell>
          <cell r="C3334">
            <v>0</v>
          </cell>
          <cell r="D3334">
            <v>0</v>
          </cell>
        </row>
        <row r="3335">
          <cell r="B3335">
            <v>0</v>
          </cell>
          <cell r="C3335">
            <v>0</v>
          </cell>
          <cell r="D3335">
            <v>0</v>
          </cell>
        </row>
        <row r="3336">
          <cell r="B3336">
            <v>0</v>
          </cell>
          <cell r="C3336">
            <v>0</v>
          </cell>
          <cell r="D3336">
            <v>0</v>
          </cell>
        </row>
        <row r="3337">
          <cell r="B3337">
            <v>0</v>
          </cell>
          <cell r="C3337">
            <v>0</v>
          </cell>
          <cell r="D3337">
            <v>0</v>
          </cell>
        </row>
        <row r="3338">
          <cell r="B3338">
            <v>0</v>
          </cell>
          <cell r="C3338">
            <v>0</v>
          </cell>
          <cell r="D3338">
            <v>0</v>
          </cell>
        </row>
        <row r="3339">
          <cell r="B3339">
            <v>0</v>
          </cell>
          <cell r="C3339">
            <v>0</v>
          </cell>
          <cell r="D3339">
            <v>0</v>
          </cell>
        </row>
        <row r="3340">
          <cell r="B3340">
            <v>0</v>
          </cell>
          <cell r="C3340">
            <v>0</v>
          </cell>
          <cell r="D3340">
            <v>0</v>
          </cell>
        </row>
        <row r="3341">
          <cell r="B3341">
            <v>0</v>
          </cell>
          <cell r="C3341">
            <v>0</v>
          </cell>
          <cell r="D3341">
            <v>0</v>
          </cell>
        </row>
        <row r="3342">
          <cell r="B3342">
            <v>0</v>
          </cell>
          <cell r="C3342">
            <v>0</v>
          </cell>
          <cell r="D3342">
            <v>0</v>
          </cell>
        </row>
        <row r="3343">
          <cell r="B3343">
            <v>0</v>
          </cell>
          <cell r="C3343">
            <v>0</v>
          </cell>
          <cell r="D3343">
            <v>0</v>
          </cell>
        </row>
        <row r="3344">
          <cell r="B3344">
            <v>0</v>
          </cell>
          <cell r="C3344">
            <v>0</v>
          </cell>
          <cell r="D3344">
            <v>0</v>
          </cell>
        </row>
        <row r="3345">
          <cell r="B3345">
            <v>0</v>
          </cell>
          <cell r="C3345">
            <v>0</v>
          </cell>
          <cell r="D3345">
            <v>0</v>
          </cell>
        </row>
        <row r="3346">
          <cell r="B3346">
            <v>0</v>
          </cell>
          <cell r="C3346">
            <v>0</v>
          </cell>
          <cell r="D3346">
            <v>0</v>
          </cell>
        </row>
        <row r="3347">
          <cell r="B3347">
            <v>0</v>
          </cell>
          <cell r="C3347">
            <v>0</v>
          </cell>
          <cell r="D3347">
            <v>0</v>
          </cell>
        </row>
        <row r="3348">
          <cell r="B3348">
            <v>0</v>
          </cell>
          <cell r="C3348">
            <v>0</v>
          </cell>
          <cell r="D3348">
            <v>0</v>
          </cell>
        </row>
        <row r="3349">
          <cell r="B3349">
            <v>0</v>
          </cell>
          <cell r="C3349">
            <v>0</v>
          </cell>
          <cell r="D3349">
            <v>0</v>
          </cell>
        </row>
        <row r="3350">
          <cell r="B3350">
            <v>0</v>
          </cell>
          <cell r="C3350">
            <v>0</v>
          </cell>
          <cell r="D3350">
            <v>0</v>
          </cell>
        </row>
        <row r="3351">
          <cell r="B3351">
            <v>0</v>
          </cell>
          <cell r="C3351">
            <v>0</v>
          </cell>
          <cell r="D3351">
            <v>0</v>
          </cell>
        </row>
        <row r="3352">
          <cell r="B3352">
            <v>0</v>
          </cell>
          <cell r="C3352">
            <v>0</v>
          </cell>
          <cell r="D3352">
            <v>0</v>
          </cell>
        </row>
        <row r="3353">
          <cell r="B3353">
            <v>0</v>
          </cell>
          <cell r="C3353">
            <v>0</v>
          </cell>
          <cell r="D3353">
            <v>0</v>
          </cell>
        </row>
        <row r="3354">
          <cell r="B3354">
            <v>0</v>
          </cell>
          <cell r="C3354">
            <v>0</v>
          </cell>
          <cell r="D3354">
            <v>0</v>
          </cell>
        </row>
        <row r="3355">
          <cell r="B3355">
            <v>0</v>
          </cell>
          <cell r="C3355">
            <v>0</v>
          </cell>
          <cell r="D3355">
            <v>0</v>
          </cell>
        </row>
        <row r="3356">
          <cell r="B3356">
            <v>0</v>
          </cell>
          <cell r="C3356">
            <v>0</v>
          </cell>
          <cell r="D3356">
            <v>0</v>
          </cell>
        </row>
        <row r="3357">
          <cell r="B3357">
            <v>0</v>
          </cell>
          <cell r="C3357">
            <v>0</v>
          </cell>
          <cell r="D3357">
            <v>0</v>
          </cell>
        </row>
        <row r="3358">
          <cell r="B3358">
            <v>0</v>
          </cell>
          <cell r="C3358">
            <v>0</v>
          </cell>
          <cell r="D3358">
            <v>0</v>
          </cell>
        </row>
        <row r="3359">
          <cell r="B3359">
            <v>0</v>
          </cell>
          <cell r="C3359">
            <v>0</v>
          </cell>
          <cell r="D3359">
            <v>0</v>
          </cell>
        </row>
        <row r="3360">
          <cell r="B3360">
            <v>0</v>
          </cell>
          <cell r="C3360">
            <v>0</v>
          </cell>
          <cell r="D3360">
            <v>0</v>
          </cell>
        </row>
        <row r="3361">
          <cell r="B3361">
            <v>0</v>
          </cell>
          <cell r="C3361">
            <v>0</v>
          </cell>
          <cell r="D3361">
            <v>0</v>
          </cell>
        </row>
        <row r="3362">
          <cell r="B3362">
            <v>0</v>
          </cell>
          <cell r="C3362">
            <v>0</v>
          </cell>
          <cell r="D3362">
            <v>0</v>
          </cell>
        </row>
        <row r="3363">
          <cell r="B3363">
            <v>0</v>
          </cell>
          <cell r="C3363">
            <v>0</v>
          </cell>
          <cell r="D3363">
            <v>0</v>
          </cell>
        </row>
        <row r="3364">
          <cell r="B3364">
            <v>0</v>
          </cell>
          <cell r="C3364">
            <v>0</v>
          </cell>
          <cell r="D3364">
            <v>0</v>
          </cell>
        </row>
        <row r="3365">
          <cell r="B3365">
            <v>0</v>
          </cell>
          <cell r="C3365">
            <v>0</v>
          </cell>
          <cell r="D3365">
            <v>0</v>
          </cell>
        </row>
        <row r="3366">
          <cell r="B3366">
            <v>0</v>
          </cell>
          <cell r="C3366">
            <v>0</v>
          </cell>
          <cell r="D3366">
            <v>0</v>
          </cell>
        </row>
        <row r="3367">
          <cell r="B3367">
            <v>0</v>
          </cell>
          <cell r="C3367">
            <v>0</v>
          </cell>
          <cell r="D3367">
            <v>0</v>
          </cell>
        </row>
        <row r="3368">
          <cell r="B3368">
            <v>0</v>
          </cell>
          <cell r="C3368">
            <v>0</v>
          </cell>
          <cell r="D3368">
            <v>0</v>
          </cell>
        </row>
        <row r="3369">
          <cell r="B3369">
            <v>0</v>
          </cell>
          <cell r="C3369">
            <v>0</v>
          </cell>
          <cell r="D3369">
            <v>0</v>
          </cell>
        </row>
        <row r="3370">
          <cell r="B3370">
            <v>0</v>
          </cell>
          <cell r="C3370">
            <v>0</v>
          </cell>
          <cell r="D3370">
            <v>0</v>
          </cell>
        </row>
        <row r="3371">
          <cell r="B3371">
            <v>0</v>
          </cell>
          <cell r="C3371">
            <v>0</v>
          </cell>
          <cell r="D3371">
            <v>0</v>
          </cell>
        </row>
        <row r="3372">
          <cell r="B3372">
            <v>0</v>
          </cell>
          <cell r="C3372">
            <v>0</v>
          </cell>
          <cell r="D3372">
            <v>0</v>
          </cell>
        </row>
        <row r="3373">
          <cell r="B3373">
            <v>0</v>
          </cell>
          <cell r="C3373">
            <v>0</v>
          </cell>
          <cell r="D3373">
            <v>0</v>
          </cell>
        </row>
        <row r="3374">
          <cell r="B3374">
            <v>0</v>
          </cell>
          <cell r="C3374">
            <v>0</v>
          </cell>
          <cell r="D3374">
            <v>0</v>
          </cell>
        </row>
        <row r="3375">
          <cell r="B3375">
            <v>0</v>
          </cell>
          <cell r="C3375">
            <v>0</v>
          </cell>
          <cell r="D3375">
            <v>0</v>
          </cell>
        </row>
        <row r="3376">
          <cell r="B3376">
            <v>0</v>
          </cell>
          <cell r="C3376">
            <v>0</v>
          </cell>
          <cell r="D3376">
            <v>0</v>
          </cell>
        </row>
        <row r="3377">
          <cell r="B3377">
            <v>0</v>
          </cell>
          <cell r="C3377">
            <v>0</v>
          </cell>
          <cell r="D3377">
            <v>0</v>
          </cell>
        </row>
        <row r="3378">
          <cell r="B3378">
            <v>0</v>
          </cell>
          <cell r="C3378">
            <v>0</v>
          </cell>
          <cell r="D3378">
            <v>0</v>
          </cell>
        </row>
        <row r="3379">
          <cell r="B3379">
            <v>0</v>
          </cell>
          <cell r="C3379">
            <v>0</v>
          </cell>
          <cell r="D3379">
            <v>0</v>
          </cell>
        </row>
        <row r="3380">
          <cell r="B3380">
            <v>0</v>
          </cell>
          <cell r="C3380">
            <v>0</v>
          </cell>
          <cell r="D3380">
            <v>0</v>
          </cell>
        </row>
        <row r="3381">
          <cell r="B3381">
            <v>0</v>
          </cell>
          <cell r="C3381">
            <v>0</v>
          </cell>
          <cell r="D3381">
            <v>0</v>
          </cell>
        </row>
        <row r="3382">
          <cell r="B3382">
            <v>0</v>
          </cell>
          <cell r="C3382">
            <v>0</v>
          </cell>
          <cell r="D3382">
            <v>0</v>
          </cell>
        </row>
        <row r="3383">
          <cell r="B3383">
            <v>0</v>
          </cell>
          <cell r="C3383">
            <v>0</v>
          </cell>
          <cell r="D3383">
            <v>0</v>
          </cell>
        </row>
        <row r="3384">
          <cell r="B3384">
            <v>0</v>
          </cell>
          <cell r="C3384">
            <v>0</v>
          </cell>
          <cell r="D3384">
            <v>0</v>
          </cell>
        </row>
        <row r="3385">
          <cell r="B3385">
            <v>0</v>
          </cell>
          <cell r="C3385">
            <v>0</v>
          </cell>
          <cell r="D3385">
            <v>0</v>
          </cell>
        </row>
        <row r="3386">
          <cell r="B3386">
            <v>0</v>
          </cell>
          <cell r="C3386">
            <v>0</v>
          </cell>
          <cell r="D3386">
            <v>0</v>
          </cell>
        </row>
        <row r="3387">
          <cell r="B3387">
            <v>0</v>
          </cell>
          <cell r="C3387">
            <v>0</v>
          </cell>
          <cell r="D3387">
            <v>0</v>
          </cell>
        </row>
        <row r="3388">
          <cell r="B3388">
            <v>0</v>
          </cell>
          <cell r="C3388">
            <v>0</v>
          </cell>
          <cell r="D3388">
            <v>0</v>
          </cell>
        </row>
        <row r="3389">
          <cell r="B3389">
            <v>0</v>
          </cell>
          <cell r="C3389">
            <v>0</v>
          </cell>
          <cell r="D3389">
            <v>0</v>
          </cell>
        </row>
        <row r="3390">
          <cell r="B3390">
            <v>0</v>
          </cell>
          <cell r="C3390">
            <v>0</v>
          </cell>
          <cell r="D3390">
            <v>0</v>
          </cell>
        </row>
        <row r="3391">
          <cell r="B3391">
            <v>0</v>
          </cell>
          <cell r="C3391">
            <v>0</v>
          </cell>
          <cell r="D3391">
            <v>0</v>
          </cell>
        </row>
        <row r="3392">
          <cell r="B3392">
            <v>0</v>
          </cell>
          <cell r="C3392">
            <v>0</v>
          </cell>
          <cell r="D3392">
            <v>0</v>
          </cell>
        </row>
        <row r="3393">
          <cell r="B3393">
            <v>0</v>
          </cell>
          <cell r="C3393">
            <v>0</v>
          </cell>
          <cell r="D3393">
            <v>0</v>
          </cell>
        </row>
        <row r="3394">
          <cell r="B3394">
            <v>0</v>
          </cell>
          <cell r="C3394">
            <v>0</v>
          </cell>
          <cell r="D3394">
            <v>0</v>
          </cell>
        </row>
        <row r="3395">
          <cell r="B3395">
            <v>0</v>
          </cell>
          <cell r="C3395">
            <v>0</v>
          </cell>
          <cell r="D3395">
            <v>0</v>
          </cell>
        </row>
        <row r="3396">
          <cell r="B3396">
            <v>0</v>
          </cell>
          <cell r="C3396">
            <v>0</v>
          </cell>
          <cell r="D3396">
            <v>0</v>
          </cell>
        </row>
        <row r="3397">
          <cell r="B3397">
            <v>0</v>
          </cell>
          <cell r="C3397">
            <v>0</v>
          </cell>
          <cell r="D3397">
            <v>0</v>
          </cell>
        </row>
        <row r="3398">
          <cell r="B3398">
            <v>0</v>
          </cell>
          <cell r="C3398">
            <v>0</v>
          </cell>
          <cell r="D3398">
            <v>0</v>
          </cell>
        </row>
        <row r="3399">
          <cell r="B3399">
            <v>0</v>
          </cell>
          <cell r="C3399">
            <v>0</v>
          </cell>
          <cell r="D3399">
            <v>0</v>
          </cell>
        </row>
        <row r="3400">
          <cell r="B3400">
            <v>0</v>
          </cell>
          <cell r="C3400">
            <v>0</v>
          </cell>
          <cell r="D3400">
            <v>0</v>
          </cell>
        </row>
        <row r="3401">
          <cell r="B3401">
            <v>0</v>
          </cell>
          <cell r="C3401">
            <v>0</v>
          </cell>
          <cell r="D3401">
            <v>0</v>
          </cell>
        </row>
        <row r="3402">
          <cell r="B3402">
            <v>0</v>
          </cell>
          <cell r="C3402">
            <v>0</v>
          </cell>
          <cell r="D3402">
            <v>0</v>
          </cell>
        </row>
        <row r="3403">
          <cell r="B3403">
            <v>0</v>
          </cell>
          <cell r="C3403">
            <v>0</v>
          </cell>
          <cell r="D3403">
            <v>0</v>
          </cell>
        </row>
        <row r="3404">
          <cell r="B3404">
            <v>0</v>
          </cell>
          <cell r="C3404">
            <v>0</v>
          </cell>
          <cell r="D3404">
            <v>0</v>
          </cell>
        </row>
        <row r="3405">
          <cell r="B3405">
            <v>0</v>
          </cell>
          <cell r="C3405">
            <v>0</v>
          </cell>
          <cell r="D3405">
            <v>0</v>
          </cell>
        </row>
        <row r="3406">
          <cell r="B3406">
            <v>0</v>
          </cell>
          <cell r="C3406">
            <v>0</v>
          </cell>
          <cell r="D3406">
            <v>0</v>
          </cell>
        </row>
        <row r="3407">
          <cell r="B3407">
            <v>0</v>
          </cell>
          <cell r="C3407">
            <v>0</v>
          </cell>
          <cell r="D3407">
            <v>0</v>
          </cell>
        </row>
        <row r="3408">
          <cell r="B3408">
            <v>0</v>
          </cell>
          <cell r="C3408">
            <v>0</v>
          </cell>
          <cell r="D3408">
            <v>0</v>
          </cell>
        </row>
        <row r="3409">
          <cell r="B3409">
            <v>0</v>
          </cell>
          <cell r="C3409">
            <v>0</v>
          </cell>
          <cell r="D3409">
            <v>0</v>
          </cell>
        </row>
        <row r="3410">
          <cell r="B3410">
            <v>0</v>
          </cell>
          <cell r="C3410">
            <v>0</v>
          </cell>
          <cell r="D3410">
            <v>0</v>
          </cell>
        </row>
        <row r="3411">
          <cell r="B3411">
            <v>0</v>
          </cell>
          <cell r="C3411">
            <v>0</v>
          </cell>
          <cell r="D3411">
            <v>0</v>
          </cell>
        </row>
        <row r="3412">
          <cell r="B3412">
            <v>0</v>
          </cell>
          <cell r="C3412">
            <v>0</v>
          </cell>
          <cell r="D3412">
            <v>0</v>
          </cell>
        </row>
        <row r="3413">
          <cell r="B3413">
            <v>0</v>
          </cell>
          <cell r="C3413">
            <v>0</v>
          </cell>
          <cell r="D3413">
            <v>0</v>
          </cell>
        </row>
        <row r="3414">
          <cell r="B3414">
            <v>0</v>
          </cell>
          <cell r="C3414">
            <v>0</v>
          </cell>
          <cell r="D3414">
            <v>0</v>
          </cell>
        </row>
        <row r="3415">
          <cell r="B3415">
            <v>0</v>
          </cell>
          <cell r="C3415">
            <v>0</v>
          </cell>
          <cell r="D3415">
            <v>0</v>
          </cell>
        </row>
        <row r="3416">
          <cell r="B3416">
            <v>0</v>
          </cell>
          <cell r="C3416">
            <v>0</v>
          </cell>
          <cell r="D3416">
            <v>0</v>
          </cell>
        </row>
        <row r="3417">
          <cell r="B3417">
            <v>0</v>
          </cell>
          <cell r="C3417">
            <v>0</v>
          </cell>
          <cell r="D3417">
            <v>0</v>
          </cell>
        </row>
        <row r="3418">
          <cell r="B3418">
            <v>0</v>
          </cell>
          <cell r="C3418">
            <v>0</v>
          </cell>
          <cell r="D3418">
            <v>0</v>
          </cell>
        </row>
        <row r="3419">
          <cell r="B3419">
            <v>0</v>
          </cell>
          <cell r="C3419">
            <v>0</v>
          </cell>
          <cell r="D3419">
            <v>0</v>
          </cell>
        </row>
        <row r="3420">
          <cell r="B3420">
            <v>0</v>
          </cell>
          <cell r="C3420">
            <v>0</v>
          </cell>
          <cell r="D3420">
            <v>0</v>
          </cell>
        </row>
        <row r="3421">
          <cell r="B3421">
            <v>0</v>
          </cell>
          <cell r="C3421">
            <v>0</v>
          </cell>
          <cell r="D3421">
            <v>0</v>
          </cell>
        </row>
        <row r="3422">
          <cell r="B3422">
            <v>0</v>
          </cell>
          <cell r="C3422">
            <v>0</v>
          </cell>
          <cell r="D3422">
            <v>0</v>
          </cell>
        </row>
        <row r="3423">
          <cell r="B3423">
            <v>0</v>
          </cell>
          <cell r="C3423">
            <v>0</v>
          </cell>
          <cell r="D3423">
            <v>0</v>
          </cell>
        </row>
        <row r="3424">
          <cell r="B3424">
            <v>0</v>
          </cell>
          <cell r="C3424">
            <v>0</v>
          </cell>
          <cell r="D3424">
            <v>0</v>
          </cell>
        </row>
        <row r="3425">
          <cell r="B3425">
            <v>0</v>
          </cell>
          <cell r="C3425">
            <v>0</v>
          </cell>
          <cell r="D3425">
            <v>0</v>
          </cell>
        </row>
        <row r="3426">
          <cell r="B3426">
            <v>0</v>
          </cell>
          <cell r="C3426">
            <v>0</v>
          </cell>
          <cell r="D3426">
            <v>0</v>
          </cell>
        </row>
        <row r="3427">
          <cell r="B3427">
            <v>0</v>
          </cell>
          <cell r="C3427">
            <v>0</v>
          </cell>
          <cell r="D3427">
            <v>0</v>
          </cell>
        </row>
        <row r="3428">
          <cell r="B3428">
            <v>0</v>
          </cell>
          <cell r="C3428">
            <v>0</v>
          </cell>
          <cell r="D3428">
            <v>0</v>
          </cell>
        </row>
        <row r="3429">
          <cell r="B3429">
            <v>0</v>
          </cell>
          <cell r="C3429">
            <v>0</v>
          </cell>
          <cell r="D3429">
            <v>0</v>
          </cell>
        </row>
        <row r="3430">
          <cell r="B3430">
            <v>0</v>
          </cell>
          <cell r="C3430">
            <v>0</v>
          </cell>
          <cell r="D3430">
            <v>0</v>
          </cell>
        </row>
        <row r="3431">
          <cell r="B3431">
            <v>0</v>
          </cell>
          <cell r="C3431">
            <v>0</v>
          </cell>
          <cell r="D3431">
            <v>0</v>
          </cell>
        </row>
        <row r="3432">
          <cell r="B3432">
            <v>0</v>
          </cell>
          <cell r="C3432">
            <v>0</v>
          </cell>
          <cell r="D3432">
            <v>0</v>
          </cell>
        </row>
        <row r="3433">
          <cell r="B3433">
            <v>0</v>
          </cell>
          <cell r="C3433">
            <v>0</v>
          </cell>
          <cell r="D3433">
            <v>0</v>
          </cell>
        </row>
        <row r="3434">
          <cell r="B3434">
            <v>0</v>
          </cell>
          <cell r="C3434">
            <v>0</v>
          </cell>
          <cell r="D3434">
            <v>0</v>
          </cell>
        </row>
        <row r="3435">
          <cell r="B3435">
            <v>0</v>
          </cell>
          <cell r="C3435">
            <v>0</v>
          </cell>
          <cell r="D3435">
            <v>0</v>
          </cell>
        </row>
        <row r="3436">
          <cell r="B3436">
            <v>0</v>
          </cell>
          <cell r="C3436">
            <v>0</v>
          </cell>
          <cell r="D3436">
            <v>0</v>
          </cell>
        </row>
        <row r="3437">
          <cell r="B3437">
            <v>0</v>
          </cell>
          <cell r="C3437">
            <v>0</v>
          </cell>
          <cell r="D3437">
            <v>0</v>
          </cell>
        </row>
        <row r="3438">
          <cell r="B3438">
            <v>0</v>
          </cell>
          <cell r="C3438">
            <v>0</v>
          </cell>
          <cell r="D3438">
            <v>0</v>
          </cell>
        </row>
        <row r="3439">
          <cell r="B3439">
            <v>0</v>
          </cell>
          <cell r="C3439">
            <v>0</v>
          </cell>
          <cell r="D3439">
            <v>0</v>
          </cell>
        </row>
        <row r="3440">
          <cell r="B3440">
            <v>0</v>
          </cell>
          <cell r="C3440">
            <v>0</v>
          </cell>
          <cell r="D3440">
            <v>0</v>
          </cell>
        </row>
        <row r="3441">
          <cell r="B3441">
            <v>0</v>
          </cell>
          <cell r="C3441">
            <v>0</v>
          </cell>
          <cell r="D3441">
            <v>0</v>
          </cell>
        </row>
        <row r="3442">
          <cell r="B3442">
            <v>0</v>
          </cell>
          <cell r="C3442">
            <v>0</v>
          </cell>
          <cell r="D3442">
            <v>0</v>
          </cell>
        </row>
        <row r="3443">
          <cell r="B3443">
            <v>0</v>
          </cell>
          <cell r="C3443">
            <v>0</v>
          </cell>
          <cell r="D3443">
            <v>0</v>
          </cell>
        </row>
        <row r="3444">
          <cell r="B3444">
            <v>0</v>
          </cell>
          <cell r="C3444">
            <v>0</v>
          </cell>
          <cell r="D3444">
            <v>0</v>
          </cell>
        </row>
        <row r="3445">
          <cell r="B3445">
            <v>0</v>
          </cell>
          <cell r="C3445">
            <v>0</v>
          </cell>
          <cell r="D3445">
            <v>0</v>
          </cell>
        </row>
        <row r="3446">
          <cell r="B3446">
            <v>0</v>
          </cell>
          <cell r="C3446">
            <v>0</v>
          </cell>
          <cell r="D3446">
            <v>0</v>
          </cell>
        </row>
        <row r="3447">
          <cell r="B3447">
            <v>0</v>
          </cell>
          <cell r="C3447">
            <v>0</v>
          </cell>
          <cell r="D3447">
            <v>0</v>
          </cell>
        </row>
        <row r="3448">
          <cell r="B3448">
            <v>0</v>
          </cell>
          <cell r="C3448">
            <v>0</v>
          </cell>
          <cell r="D3448">
            <v>0</v>
          </cell>
        </row>
        <row r="3449">
          <cell r="B3449">
            <v>0</v>
          </cell>
          <cell r="C3449">
            <v>0</v>
          </cell>
          <cell r="D3449">
            <v>0</v>
          </cell>
        </row>
        <row r="3450">
          <cell r="B3450">
            <v>0</v>
          </cell>
          <cell r="C3450">
            <v>0</v>
          </cell>
          <cell r="D3450">
            <v>0</v>
          </cell>
        </row>
        <row r="3451">
          <cell r="B3451">
            <v>0</v>
          </cell>
          <cell r="C3451">
            <v>0</v>
          </cell>
          <cell r="D3451">
            <v>0</v>
          </cell>
        </row>
        <row r="3452">
          <cell r="B3452">
            <v>0</v>
          </cell>
          <cell r="C3452">
            <v>0</v>
          </cell>
          <cell r="D3452">
            <v>0</v>
          </cell>
        </row>
        <row r="3453">
          <cell r="B3453">
            <v>0</v>
          </cell>
          <cell r="C3453">
            <v>0</v>
          </cell>
          <cell r="D3453">
            <v>0</v>
          </cell>
        </row>
        <row r="3454">
          <cell r="B3454">
            <v>0</v>
          </cell>
          <cell r="C3454">
            <v>0</v>
          </cell>
          <cell r="D3454">
            <v>0</v>
          </cell>
        </row>
        <row r="3455">
          <cell r="B3455">
            <v>0</v>
          </cell>
          <cell r="C3455">
            <v>0</v>
          </cell>
          <cell r="D3455">
            <v>0</v>
          </cell>
        </row>
        <row r="3456">
          <cell r="B3456">
            <v>0</v>
          </cell>
          <cell r="C3456">
            <v>0</v>
          </cell>
          <cell r="D3456">
            <v>0</v>
          </cell>
        </row>
        <row r="3457">
          <cell r="B3457">
            <v>0</v>
          </cell>
          <cell r="C3457">
            <v>0</v>
          </cell>
          <cell r="D3457">
            <v>0</v>
          </cell>
        </row>
        <row r="3458">
          <cell r="B3458">
            <v>0</v>
          </cell>
          <cell r="C3458">
            <v>0</v>
          </cell>
          <cell r="D3458">
            <v>0</v>
          </cell>
        </row>
        <row r="3459">
          <cell r="B3459">
            <v>0</v>
          </cell>
          <cell r="C3459">
            <v>0</v>
          </cell>
          <cell r="D3459">
            <v>0</v>
          </cell>
        </row>
        <row r="3460">
          <cell r="B3460">
            <v>0</v>
          </cell>
          <cell r="C3460">
            <v>0</v>
          </cell>
          <cell r="D3460">
            <v>0</v>
          </cell>
        </row>
        <row r="3461">
          <cell r="B3461">
            <v>0</v>
          </cell>
          <cell r="C3461">
            <v>0</v>
          </cell>
          <cell r="D3461">
            <v>0</v>
          </cell>
        </row>
        <row r="3462">
          <cell r="B3462">
            <v>0</v>
          </cell>
          <cell r="C3462">
            <v>0</v>
          </cell>
          <cell r="D3462">
            <v>0</v>
          </cell>
        </row>
        <row r="3463">
          <cell r="B3463">
            <v>0</v>
          </cell>
          <cell r="C3463">
            <v>0</v>
          </cell>
          <cell r="D3463">
            <v>0</v>
          </cell>
        </row>
        <row r="3464">
          <cell r="B3464">
            <v>0</v>
          </cell>
          <cell r="C3464">
            <v>0</v>
          </cell>
          <cell r="D3464">
            <v>0</v>
          </cell>
        </row>
        <row r="3465">
          <cell r="B3465">
            <v>0</v>
          </cell>
          <cell r="C3465">
            <v>0</v>
          </cell>
          <cell r="D3465">
            <v>0</v>
          </cell>
        </row>
        <row r="3466">
          <cell r="B3466">
            <v>0</v>
          </cell>
          <cell r="C3466">
            <v>0</v>
          </cell>
          <cell r="D3466">
            <v>0</v>
          </cell>
        </row>
        <row r="3467">
          <cell r="B3467">
            <v>0</v>
          </cell>
          <cell r="C3467">
            <v>0</v>
          </cell>
          <cell r="D3467">
            <v>0</v>
          </cell>
        </row>
        <row r="3468">
          <cell r="B3468">
            <v>0</v>
          </cell>
          <cell r="C3468">
            <v>0</v>
          </cell>
          <cell r="D3468">
            <v>0</v>
          </cell>
        </row>
        <row r="3469">
          <cell r="B3469">
            <v>0</v>
          </cell>
          <cell r="C3469">
            <v>0</v>
          </cell>
          <cell r="D3469">
            <v>0</v>
          </cell>
        </row>
        <row r="3470">
          <cell r="B3470">
            <v>0</v>
          </cell>
          <cell r="C3470">
            <v>0</v>
          </cell>
          <cell r="D3470">
            <v>0</v>
          </cell>
        </row>
        <row r="3471">
          <cell r="B3471">
            <v>0</v>
          </cell>
          <cell r="C3471">
            <v>0</v>
          </cell>
          <cell r="D3471">
            <v>0</v>
          </cell>
        </row>
        <row r="3472">
          <cell r="B3472">
            <v>0</v>
          </cell>
          <cell r="C3472">
            <v>0</v>
          </cell>
          <cell r="D3472">
            <v>0</v>
          </cell>
        </row>
        <row r="3473">
          <cell r="B3473">
            <v>0</v>
          </cell>
          <cell r="C3473">
            <v>0</v>
          </cell>
          <cell r="D3473">
            <v>0</v>
          </cell>
        </row>
        <row r="3474">
          <cell r="B3474">
            <v>0</v>
          </cell>
          <cell r="C3474">
            <v>0</v>
          </cell>
          <cell r="D3474">
            <v>0</v>
          </cell>
        </row>
        <row r="3475">
          <cell r="B3475">
            <v>0</v>
          </cell>
          <cell r="C3475">
            <v>0</v>
          </cell>
          <cell r="D3475">
            <v>0</v>
          </cell>
        </row>
        <row r="3476">
          <cell r="B3476">
            <v>0</v>
          </cell>
          <cell r="C3476">
            <v>0</v>
          </cell>
          <cell r="D3476">
            <v>0</v>
          </cell>
        </row>
        <row r="3477">
          <cell r="B3477">
            <v>0</v>
          </cell>
          <cell r="C3477">
            <v>0</v>
          </cell>
          <cell r="D3477">
            <v>0</v>
          </cell>
        </row>
        <row r="3478">
          <cell r="B3478">
            <v>0</v>
          </cell>
          <cell r="C3478">
            <v>0</v>
          </cell>
          <cell r="D3478">
            <v>0</v>
          </cell>
        </row>
        <row r="3479">
          <cell r="B3479">
            <v>0</v>
          </cell>
          <cell r="C3479">
            <v>0</v>
          </cell>
          <cell r="D3479">
            <v>0</v>
          </cell>
        </row>
        <row r="3480">
          <cell r="B3480">
            <v>0</v>
          </cell>
          <cell r="C3480">
            <v>0</v>
          </cell>
          <cell r="D3480">
            <v>0</v>
          </cell>
        </row>
        <row r="3481">
          <cell r="B3481">
            <v>0</v>
          </cell>
          <cell r="C3481">
            <v>0</v>
          </cell>
          <cell r="D3481">
            <v>0</v>
          </cell>
        </row>
        <row r="3482">
          <cell r="B3482">
            <v>0</v>
          </cell>
          <cell r="C3482">
            <v>0</v>
          </cell>
          <cell r="D3482">
            <v>0</v>
          </cell>
        </row>
        <row r="3483">
          <cell r="B3483">
            <v>0</v>
          </cell>
          <cell r="C3483">
            <v>0</v>
          </cell>
          <cell r="D3483">
            <v>0</v>
          </cell>
        </row>
        <row r="3484">
          <cell r="B3484">
            <v>0</v>
          </cell>
          <cell r="C3484">
            <v>0</v>
          </cell>
          <cell r="D3484">
            <v>0</v>
          </cell>
        </row>
        <row r="3485">
          <cell r="B3485">
            <v>0</v>
          </cell>
          <cell r="C3485">
            <v>0</v>
          </cell>
          <cell r="D3485">
            <v>0</v>
          </cell>
        </row>
        <row r="3486">
          <cell r="B3486">
            <v>0</v>
          </cell>
          <cell r="C3486">
            <v>0</v>
          </cell>
          <cell r="D3486">
            <v>0</v>
          </cell>
        </row>
        <row r="3487">
          <cell r="B3487">
            <v>0</v>
          </cell>
          <cell r="C3487">
            <v>0</v>
          </cell>
          <cell r="D3487">
            <v>0</v>
          </cell>
        </row>
        <row r="3488">
          <cell r="B3488">
            <v>0</v>
          </cell>
          <cell r="C3488">
            <v>0</v>
          </cell>
          <cell r="D3488">
            <v>0</v>
          </cell>
        </row>
        <row r="3489">
          <cell r="B3489">
            <v>0</v>
          </cell>
          <cell r="C3489">
            <v>0</v>
          </cell>
          <cell r="D3489">
            <v>0</v>
          </cell>
        </row>
        <row r="3490">
          <cell r="B3490">
            <v>0</v>
          </cell>
          <cell r="C3490">
            <v>0</v>
          </cell>
          <cell r="D3490">
            <v>0</v>
          </cell>
        </row>
        <row r="3491">
          <cell r="B3491">
            <v>0</v>
          </cell>
          <cell r="C3491">
            <v>0</v>
          </cell>
          <cell r="D3491">
            <v>0</v>
          </cell>
        </row>
        <row r="3492">
          <cell r="B3492">
            <v>0</v>
          </cell>
          <cell r="C3492">
            <v>0</v>
          </cell>
          <cell r="D3492">
            <v>0</v>
          </cell>
        </row>
        <row r="3493">
          <cell r="B3493">
            <v>0</v>
          </cell>
          <cell r="C3493">
            <v>0</v>
          </cell>
          <cell r="D3493">
            <v>0</v>
          </cell>
        </row>
        <row r="3494">
          <cell r="B3494">
            <v>0</v>
          </cell>
          <cell r="C3494">
            <v>0</v>
          </cell>
          <cell r="D3494">
            <v>0</v>
          </cell>
        </row>
        <row r="3495">
          <cell r="B3495">
            <v>0</v>
          </cell>
          <cell r="C3495">
            <v>0</v>
          </cell>
          <cell r="D3495">
            <v>0</v>
          </cell>
        </row>
        <row r="3496">
          <cell r="B3496">
            <v>0</v>
          </cell>
          <cell r="C3496">
            <v>0</v>
          </cell>
          <cell r="D3496">
            <v>0</v>
          </cell>
        </row>
        <row r="3497">
          <cell r="B3497">
            <v>0</v>
          </cell>
          <cell r="C3497">
            <v>0</v>
          </cell>
          <cell r="D3497">
            <v>0</v>
          </cell>
        </row>
        <row r="3498">
          <cell r="B3498">
            <v>0</v>
          </cell>
          <cell r="C3498">
            <v>0</v>
          </cell>
          <cell r="D3498">
            <v>0</v>
          </cell>
        </row>
        <row r="3499">
          <cell r="B3499">
            <v>0</v>
          </cell>
          <cell r="C3499">
            <v>0</v>
          </cell>
          <cell r="D3499">
            <v>0</v>
          </cell>
        </row>
        <row r="3500">
          <cell r="B3500">
            <v>0</v>
          </cell>
          <cell r="C3500">
            <v>0</v>
          </cell>
          <cell r="D3500">
            <v>0</v>
          </cell>
        </row>
        <row r="3501">
          <cell r="B3501">
            <v>0</v>
          </cell>
          <cell r="C3501">
            <v>0</v>
          </cell>
          <cell r="D3501">
            <v>0</v>
          </cell>
        </row>
        <row r="3502">
          <cell r="B3502">
            <v>0</v>
          </cell>
          <cell r="C3502">
            <v>0</v>
          </cell>
          <cell r="D3502">
            <v>0</v>
          </cell>
        </row>
        <row r="3503">
          <cell r="B3503">
            <v>0</v>
          </cell>
          <cell r="C3503">
            <v>0</v>
          </cell>
          <cell r="D3503">
            <v>0</v>
          </cell>
        </row>
        <row r="3504">
          <cell r="B3504">
            <v>0</v>
          </cell>
          <cell r="C3504">
            <v>0</v>
          </cell>
          <cell r="D3504">
            <v>0</v>
          </cell>
        </row>
        <row r="3505">
          <cell r="B3505">
            <v>0</v>
          </cell>
          <cell r="C3505">
            <v>0</v>
          </cell>
          <cell r="D3505">
            <v>0</v>
          </cell>
        </row>
        <row r="3506">
          <cell r="B3506">
            <v>0</v>
          </cell>
          <cell r="C3506">
            <v>0</v>
          </cell>
          <cell r="D3506">
            <v>0</v>
          </cell>
        </row>
        <row r="3507">
          <cell r="B3507">
            <v>0</v>
          </cell>
          <cell r="C3507">
            <v>0</v>
          </cell>
          <cell r="D3507">
            <v>0</v>
          </cell>
        </row>
        <row r="3508">
          <cell r="B3508">
            <v>0</v>
          </cell>
          <cell r="C3508">
            <v>0</v>
          </cell>
          <cell r="D3508">
            <v>0</v>
          </cell>
        </row>
        <row r="3509">
          <cell r="B3509">
            <v>0</v>
          </cell>
          <cell r="C3509">
            <v>0</v>
          </cell>
          <cell r="D3509">
            <v>0</v>
          </cell>
        </row>
        <row r="3510">
          <cell r="B3510">
            <v>0</v>
          </cell>
          <cell r="C3510">
            <v>0</v>
          </cell>
          <cell r="D3510">
            <v>0</v>
          </cell>
        </row>
        <row r="3511">
          <cell r="B3511">
            <v>0</v>
          </cell>
          <cell r="C3511">
            <v>0</v>
          </cell>
          <cell r="D3511">
            <v>0</v>
          </cell>
        </row>
        <row r="3512">
          <cell r="B3512">
            <v>0</v>
          </cell>
          <cell r="C3512">
            <v>0</v>
          </cell>
          <cell r="D3512">
            <v>0</v>
          </cell>
        </row>
        <row r="3513">
          <cell r="B3513">
            <v>0</v>
          </cell>
          <cell r="C3513">
            <v>0</v>
          </cell>
          <cell r="D3513">
            <v>0</v>
          </cell>
        </row>
        <row r="3514">
          <cell r="B3514">
            <v>0</v>
          </cell>
          <cell r="C3514">
            <v>0</v>
          </cell>
          <cell r="D3514">
            <v>0</v>
          </cell>
        </row>
        <row r="3515">
          <cell r="B3515">
            <v>0</v>
          </cell>
          <cell r="C3515">
            <v>0</v>
          </cell>
          <cell r="D3515">
            <v>0</v>
          </cell>
        </row>
        <row r="3516">
          <cell r="B3516">
            <v>0</v>
          </cell>
          <cell r="C3516">
            <v>0</v>
          </cell>
          <cell r="D3516">
            <v>0</v>
          </cell>
        </row>
        <row r="3517">
          <cell r="B3517">
            <v>0</v>
          </cell>
          <cell r="C3517">
            <v>0</v>
          </cell>
          <cell r="D3517">
            <v>0</v>
          </cell>
        </row>
        <row r="3518">
          <cell r="B3518">
            <v>0</v>
          </cell>
          <cell r="C3518">
            <v>0</v>
          </cell>
          <cell r="D3518">
            <v>0</v>
          </cell>
        </row>
        <row r="3519">
          <cell r="B3519">
            <v>0</v>
          </cell>
          <cell r="C3519">
            <v>0</v>
          </cell>
          <cell r="D3519">
            <v>0</v>
          </cell>
        </row>
        <row r="3520">
          <cell r="B3520">
            <v>0</v>
          </cell>
          <cell r="C3520">
            <v>0</v>
          </cell>
          <cell r="D3520">
            <v>0</v>
          </cell>
        </row>
        <row r="3521">
          <cell r="B3521">
            <v>0</v>
          </cell>
          <cell r="C3521">
            <v>0</v>
          </cell>
          <cell r="D3521">
            <v>0</v>
          </cell>
        </row>
        <row r="3522">
          <cell r="B3522">
            <v>0</v>
          </cell>
          <cell r="C3522">
            <v>0</v>
          </cell>
          <cell r="D3522">
            <v>0</v>
          </cell>
        </row>
        <row r="3523">
          <cell r="B3523">
            <v>0</v>
          </cell>
          <cell r="C3523">
            <v>0</v>
          </cell>
          <cell r="D3523">
            <v>0</v>
          </cell>
        </row>
        <row r="3524">
          <cell r="B3524">
            <v>0</v>
          </cell>
          <cell r="C3524">
            <v>0</v>
          </cell>
          <cell r="D3524">
            <v>0</v>
          </cell>
        </row>
        <row r="3525">
          <cell r="B3525">
            <v>0</v>
          </cell>
          <cell r="C3525">
            <v>0</v>
          </cell>
          <cell r="D3525">
            <v>0</v>
          </cell>
        </row>
        <row r="3526">
          <cell r="B3526">
            <v>0</v>
          </cell>
          <cell r="C3526">
            <v>0</v>
          </cell>
          <cell r="D3526">
            <v>0</v>
          </cell>
        </row>
        <row r="3527">
          <cell r="B3527">
            <v>0</v>
          </cell>
          <cell r="C3527">
            <v>0</v>
          </cell>
          <cell r="D3527">
            <v>0</v>
          </cell>
        </row>
        <row r="3528">
          <cell r="B3528">
            <v>0</v>
          </cell>
          <cell r="C3528">
            <v>0</v>
          </cell>
          <cell r="D3528">
            <v>0</v>
          </cell>
        </row>
        <row r="3529">
          <cell r="B3529">
            <v>0</v>
          </cell>
          <cell r="C3529">
            <v>0</v>
          </cell>
          <cell r="D3529">
            <v>0</v>
          </cell>
        </row>
        <row r="3530">
          <cell r="B3530">
            <v>0</v>
          </cell>
          <cell r="C3530">
            <v>0</v>
          </cell>
          <cell r="D3530">
            <v>0</v>
          </cell>
        </row>
        <row r="3531">
          <cell r="B3531">
            <v>0</v>
          </cell>
          <cell r="C3531">
            <v>0</v>
          </cell>
          <cell r="D3531">
            <v>0</v>
          </cell>
        </row>
        <row r="3532">
          <cell r="B3532">
            <v>0</v>
          </cell>
          <cell r="C3532">
            <v>0</v>
          </cell>
          <cell r="D3532">
            <v>0</v>
          </cell>
        </row>
        <row r="3533">
          <cell r="B3533">
            <v>0</v>
          </cell>
          <cell r="C3533">
            <v>0</v>
          </cell>
          <cell r="D3533">
            <v>0</v>
          </cell>
        </row>
        <row r="3534">
          <cell r="B3534">
            <v>0</v>
          </cell>
          <cell r="C3534">
            <v>0</v>
          </cell>
          <cell r="D3534">
            <v>0</v>
          </cell>
        </row>
        <row r="3535">
          <cell r="B3535">
            <v>0</v>
          </cell>
          <cell r="C3535">
            <v>0</v>
          </cell>
          <cell r="D3535">
            <v>0</v>
          </cell>
        </row>
        <row r="3536">
          <cell r="B3536">
            <v>0</v>
          </cell>
          <cell r="C3536">
            <v>0</v>
          </cell>
          <cell r="D3536">
            <v>0</v>
          </cell>
        </row>
        <row r="3537">
          <cell r="B3537">
            <v>0</v>
          </cell>
          <cell r="C3537">
            <v>0</v>
          </cell>
          <cell r="D3537">
            <v>0</v>
          </cell>
        </row>
        <row r="3538">
          <cell r="B3538">
            <v>0</v>
          </cell>
          <cell r="C3538">
            <v>0</v>
          </cell>
          <cell r="D3538">
            <v>0</v>
          </cell>
        </row>
        <row r="3539">
          <cell r="B3539">
            <v>0</v>
          </cell>
          <cell r="C3539">
            <v>0</v>
          </cell>
          <cell r="D3539">
            <v>0</v>
          </cell>
        </row>
        <row r="3540">
          <cell r="B3540">
            <v>0</v>
          </cell>
          <cell r="C3540">
            <v>0</v>
          </cell>
          <cell r="D3540">
            <v>0</v>
          </cell>
        </row>
        <row r="3541">
          <cell r="B3541">
            <v>0</v>
          </cell>
          <cell r="C3541">
            <v>0</v>
          </cell>
          <cell r="D3541">
            <v>0</v>
          </cell>
        </row>
        <row r="3542">
          <cell r="B3542">
            <v>0</v>
          </cell>
          <cell r="C3542">
            <v>0</v>
          </cell>
          <cell r="D3542">
            <v>0</v>
          </cell>
        </row>
        <row r="3543">
          <cell r="B3543">
            <v>0</v>
          </cell>
          <cell r="C3543">
            <v>0</v>
          </cell>
          <cell r="D3543">
            <v>0</v>
          </cell>
        </row>
        <row r="3544">
          <cell r="B3544">
            <v>0</v>
          </cell>
          <cell r="C3544">
            <v>0</v>
          </cell>
          <cell r="D3544">
            <v>0</v>
          </cell>
        </row>
        <row r="3545">
          <cell r="B3545">
            <v>0</v>
          </cell>
          <cell r="C3545">
            <v>0</v>
          </cell>
          <cell r="D3545">
            <v>0</v>
          </cell>
        </row>
        <row r="3546">
          <cell r="B3546">
            <v>0</v>
          </cell>
          <cell r="C3546">
            <v>0</v>
          </cell>
          <cell r="D3546">
            <v>0</v>
          </cell>
        </row>
        <row r="3547">
          <cell r="B3547">
            <v>0</v>
          </cell>
          <cell r="C3547">
            <v>0</v>
          </cell>
          <cell r="D3547">
            <v>0</v>
          </cell>
        </row>
        <row r="3548">
          <cell r="B3548">
            <v>0</v>
          </cell>
          <cell r="C3548">
            <v>0</v>
          </cell>
          <cell r="D3548">
            <v>0</v>
          </cell>
        </row>
        <row r="3549">
          <cell r="B3549">
            <v>0</v>
          </cell>
          <cell r="C3549">
            <v>0</v>
          </cell>
          <cell r="D3549">
            <v>0</v>
          </cell>
        </row>
        <row r="3550">
          <cell r="B3550">
            <v>0</v>
          </cell>
          <cell r="C3550">
            <v>0</v>
          </cell>
          <cell r="D3550">
            <v>0</v>
          </cell>
        </row>
        <row r="3551">
          <cell r="B3551">
            <v>0</v>
          </cell>
          <cell r="C3551">
            <v>0</v>
          </cell>
          <cell r="D3551">
            <v>0</v>
          </cell>
        </row>
        <row r="3552">
          <cell r="B3552">
            <v>0</v>
          </cell>
          <cell r="C3552">
            <v>0</v>
          </cell>
          <cell r="D3552">
            <v>0</v>
          </cell>
        </row>
        <row r="3553">
          <cell r="B3553">
            <v>0</v>
          </cell>
          <cell r="C3553">
            <v>0</v>
          </cell>
          <cell r="D3553">
            <v>0</v>
          </cell>
        </row>
        <row r="3554">
          <cell r="B3554">
            <v>0</v>
          </cell>
          <cell r="C3554">
            <v>0</v>
          </cell>
          <cell r="D3554">
            <v>0</v>
          </cell>
        </row>
        <row r="3555">
          <cell r="B3555">
            <v>0</v>
          </cell>
          <cell r="C3555">
            <v>0</v>
          </cell>
          <cell r="D3555">
            <v>0</v>
          </cell>
        </row>
        <row r="3556">
          <cell r="B3556">
            <v>0</v>
          </cell>
          <cell r="C3556">
            <v>0</v>
          </cell>
          <cell r="D3556">
            <v>0</v>
          </cell>
        </row>
        <row r="3557">
          <cell r="B3557">
            <v>0</v>
          </cell>
          <cell r="C3557">
            <v>0</v>
          </cell>
          <cell r="D3557">
            <v>0</v>
          </cell>
        </row>
        <row r="3558">
          <cell r="B3558">
            <v>0</v>
          </cell>
          <cell r="C3558">
            <v>0</v>
          </cell>
          <cell r="D3558">
            <v>0</v>
          </cell>
        </row>
        <row r="3559">
          <cell r="B3559">
            <v>0</v>
          </cell>
          <cell r="C3559">
            <v>0</v>
          </cell>
          <cell r="D3559">
            <v>0</v>
          </cell>
        </row>
        <row r="3560">
          <cell r="B3560">
            <v>0</v>
          </cell>
          <cell r="C3560">
            <v>0</v>
          </cell>
          <cell r="D3560">
            <v>0</v>
          </cell>
        </row>
        <row r="3561">
          <cell r="B3561">
            <v>0</v>
          </cell>
          <cell r="C3561">
            <v>0</v>
          </cell>
          <cell r="D3561">
            <v>0</v>
          </cell>
        </row>
        <row r="3562">
          <cell r="B3562">
            <v>0</v>
          </cell>
          <cell r="C3562">
            <v>0</v>
          </cell>
          <cell r="D3562">
            <v>0</v>
          </cell>
        </row>
        <row r="3563">
          <cell r="B3563">
            <v>0</v>
          </cell>
          <cell r="C3563">
            <v>0</v>
          </cell>
          <cell r="D3563">
            <v>0</v>
          </cell>
        </row>
        <row r="3564">
          <cell r="B3564">
            <v>0</v>
          </cell>
          <cell r="C3564">
            <v>0</v>
          </cell>
          <cell r="D3564">
            <v>0</v>
          </cell>
        </row>
        <row r="3565">
          <cell r="B3565">
            <v>0</v>
          </cell>
          <cell r="C3565">
            <v>0</v>
          </cell>
          <cell r="D3565">
            <v>0</v>
          </cell>
        </row>
        <row r="3566">
          <cell r="B3566">
            <v>0</v>
          </cell>
          <cell r="C3566">
            <v>0</v>
          </cell>
          <cell r="D3566">
            <v>0</v>
          </cell>
        </row>
        <row r="3567">
          <cell r="B3567">
            <v>0</v>
          </cell>
          <cell r="C3567">
            <v>0</v>
          </cell>
          <cell r="D3567">
            <v>0</v>
          </cell>
        </row>
        <row r="3568">
          <cell r="B3568">
            <v>0</v>
          </cell>
          <cell r="C3568">
            <v>0</v>
          </cell>
          <cell r="D3568">
            <v>0</v>
          </cell>
        </row>
        <row r="3569">
          <cell r="B3569">
            <v>0</v>
          </cell>
          <cell r="C3569">
            <v>0</v>
          </cell>
          <cell r="D3569">
            <v>0</v>
          </cell>
        </row>
        <row r="3570">
          <cell r="B3570">
            <v>0</v>
          </cell>
          <cell r="C3570">
            <v>0</v>
          </cell>
          <cell r="D3570">
            <v>0</v>
          </cell>
        </row>
        <row r="3571">
          <cell r="B3571">
            <v>0</v>
          </cell>
          <cell r="C3571">
            <v>0</v>
          </cell>
          <cell r="D3571">
            <v>0</v>
          </cell>
        </row>
        <row r="3572">
          <cell r="B3572">
            <v>0</v>
          </cell>
          <cell r="C3572">
            <v>0</v>
          </cell>
          <cell r="D3572">
            <v>0</v>
          </cell>
        </row>
        <row r="3573">
          <cell r="B3573">
            <v>0</v>
          </cell>
          <cell r="C3573">
            <v>0</v>
          </cell>
          <cell r="D3573">
            <v>0</v>
          </cell>
        </row>
        <row r="3574">
          <cell r="B3574">
            <v>0</v>
          </cell>
          <cell r="C3574">
            <v>0</v>
          </cell>
          <cell r="D3574">
            <v>0</v>
          </cell>
        </row>
        <row r="3575">
          <cell r="B3575">
            <v>0</v>
          </cell>
          <cell r="C3575">
            <v>0</v>
          </cell>
          <cell r="D3575">
            <v>0</v>
          </cell>
        </row>
        <row r="3576">
          <cell r="B3576">
            <v>0</v>
          </cell>
          <cell r="C3576">
            <v>0</v>
          </cell>
          <cell r="D3576">
            <v>0</v>
          </cell>
        </row>
        <row r="3577">
          <cell r="B3577">
            <v>0</v>
          </cell>
          <cell r="C3577">
            <v>0</v>
          </cell>
          <cell r="D3577">
            <v>0</v>
          </cell>
        </row>
        <row r="3578">
          <cell r="B3578">
            <v>0</v>
          </cell>
          <cell r="C3578">
            <v>0</v>
          </cell>
          <cell r="D3578">
            <v>0</v>
          </cell>
        </row>
        <row r="3579">
          <cell r="B3579">
            <v>0</v>
          </cell>
          <cell r="C3579">
            <v>0</v>
          </cell>
          <cell r="D3579">
            <v>0</v>
          </cell>
        </row>
        <row r="3580">
          <cell r="B3580">
            <v>0</v>
          </cell>
          <cell r="C3580">
            <v>0</v>
          </cell>
          <cell r="D3580">
            <v>0</v>
          </cell>
        </row>
        <row r="3581">
          <cell r="B3581">
            <v>0</v>
          </cell>
          <cell r="C3581">
            <v>0</v>
          </cell>
          <cell r="D3581">
            <v>0</v>
          </cell>
        </row>
        <row r="3582">
          <cell r="B3582">
            <v>0</v>
          </cell>
          <cell r="C3582">
            <v>0</v>
          </cell>
          <cell r="D3582">
            <v>0</v>
          </cell>
        </row>
        <row r="3583">
          <cell r="B3583">
            <v>0</v>
          </cell>
          <cell r="C3583">
            <v>0</v>
          </cell>
          <cell r="D3583">
            <v>0</v>
          </cell>
        </row>
        <row r="3584">
          <cell r="B3584">
            <v>0</v>
          </cell>
          <cell r="C3584">
            <v>0</v>
          </cell>
          <cell r="D3584">
            <v>0</v>
          </cell>
        </row>
        <row r="3585">
          <cell r="B3585">
            <v>0</v>
          </cell>
          <cell r="C3585">
            <v>0</v>
          </cell>
          <cell r="D3585">
            <v>0</v>
          </cell>
        </row>
        <row r="3586">
          <cell r="B3586">
            <v>0</v>
          </cell>
          <cell r="C3586">
            <v>0</v>
          </cell>
          <cell r="D3586">
            <v>0</v>
          </cell>
        </row>
        <row r="3587">
          <cell r="B3587">
            <v>0</v>
          </cell>
          <cell r="C3587">
            <v>0</v>
          </cell>
          <cell r="D3587">
            <v>0</v>
          </cell>
        </row>
        <row r="3588">
          <cell r="B3588">
            <v>0</v>
          </cell>
          <cell r="C3588">
            <v>0</v>
          </cell>
          <cell r="D3588">
            <v>0</v>
          </cell>
        </row>
        <row r="3589">
          <cell r="B3589">
            <v>0</v>
          </cell>
          <cell r="C3589">
            <v>0</v>
          </cell>
          <cell r="D3589">
            <v>0</v>
          </cell>
        </row>
        <row r="3590">
          <cell r="B3590">
            <v>0</v>
          </cell>
          <cell r="C3590">
            <v>0</v>
          </cell>
          <cell r="D3590">
            <v>0</v>
          </cell>
        </row>
        <row r="3591">
          <cell r="B3591">
            <v>0</v>
          </cell>
          <cell r="C3591">
            <v>0</v>
          </cell>
          <cell r="D3591">
            <v>0</v>
          </cell>
        </row>
        <row r="3592">
          <cell r="B3592">
            <v>0</v>
          </cell>
          <cell r="C3592">
            <v>0</v>
          </cell>
          <cell r="D3592">
            <v>0</v>
          </cell>
        </row>
        <row r="3593">
          <cell r="B3593">
            <v>0</v>
          </cell>
          <cell r="C3593">
            <v>0</v>
          </cell>
          <cell r="D3593">
            <v>0</v>
          </cell>
        </row>
        <row r="3594">
          <cell r="B3594">
            <v>0</v>
          </cell>
          <cell r="C3594">
            <v>0</v>
          </cell>
          <cell r="D3594">
            <v>0</v>
          </cell>
        </row>
        <row r="3595">
          <cell r="B3595">
            <v>0</v>
          </cell>
          <cell r="C3595">
            <v>0</v>
          </cell>
          <cell r="D3595">
            <v>0</v>
          </cell>
        </row>
        <row r="3596">
          <cell r="B3596">
            <v>0</v>
          </cell>
          <cell r="C3596">
            <v>0</v>
          </cell>
          <cell r="D3596">
            <v>0</v>
          </cell>
        </row>
        <row r="3597">
          <cell r="B3597">
            <v>0</v>
          </cell>
          <cell r="C3597">
            <v>0</v>
          </cell>
          <cell r="D3597">
            <v>0</v>
          </cell>
        </row>
        <row r="3598">
          <cell r="B3598">
            <v>0</v>
          </cell>
          <cell r="C3598">
            <v>0</v>
          </cell>
          <cell r="D3598">
            <v>0</v>
          </cell>
        </row>
        <row r="3599">
          <cell r="B3599">
            <v>0</v>
          </cell>
          <cell r="C3599">
            <v>0</v>
          </cell>
          <cell r="D3599">
            <v>0</v>
          </cell>
        </row>
        <row r="3600">
          <cell r="B3600">
            <v>0</v>
          </cell>
          <cell r="C3600">
            <v>0</v>
          </cell>
          <cell r="D3600">
            <v>0</v>
          </cell>
        </row>
        <row r="3601">
          <cell r="B3601">
            <v>0</v>
          </cell>
          <cell r="C3601">
            <v>0</v>
          </cell>
          <cell r="D3601">
            <v>0</v>
          </cell>
        </row>
        <row r="3602">
          <cell r="B3602">
            <v>0</v>
          </cell>
          <cell r="C3602">
            <v>0</v>
          </cell>
          <cell r="D3602">
            <v>0</v>
          </cell>
        </row>
        <row r="3603">
          <cell r="B3603">
            <v>0</v>
          </cell>
          <cell r="C3603">
            <v>0</v>
          </cell>
          <cell r="D3603">
            <v>0</v>
          </cell>
        </row>
        <row r="3604">
          <cell r="B3604">
            <v>0</v>
          </cell>
          <cell r="C3604">
            <v>0</v>
          </cell>
          <cell r="D3604">
            <v>0</v>
          </cell>
        </row>
        <row r="3605">
          <cell r="B3605">
            <v>0</v>
          </cell>
          <cell r="C3605">
            <v>0</v>
          </cell>
          <cell r="D3605">
            <v>0</v>
          </cell>
        </row>
        <row r="3606">
          <cell r="B3606">
            <v>0</v>
          </cell>
          <cell r="C3606">
            <v>0</v>
          </cell>
          <cell r="D3606">
            <v>0</v>
          </cell>
        </row>
        <row r="3607">
          <cell r="B3607">
            <v>0</v>
          </cell>
          <cell r="C3607">
            <v>0</v>
          </cell>
          <cell r="D3607">
            <v>0</v>
          </cell>
        </row>
        <row r="3608">
          <cell r="B3608">
            <v>0</v>
          </cell>
          <cell r="C3608">
            <v>0</v>
          </cell>
          <cell r="D3608">
            <v>0</v>
          </cell>
        </row>
        <row r="3609">
          <cell r="B3609">
            <v>0</v>
          </cell>
          <cell r="C3609">
            <v>0</v>
          </cell>
          <cell r="D3609">
            <v>0</v>
          </cell>
        </row>
        <row r="3610">
          <cell r="B3610">
            <v>0</v>
          </cell>
          <cell r="C3610">
            <v>0</v>
          </cell>
          <cell r="D3610">
            <v>0</v>
          </cell>
        </row>
        <row r="3611">
          <cell r="B3611">
            <v>0</v>
          </cell>
          <cell r="C3611">
            <v>0</v>
          </cell>
          <cell r="D3611">
            <v>0</v>
          </cell>
        </row>
        <row r="3612">
          <cell r="B3612">
            <v>0</v>
          </cell>
          <cell r="C3612">
            <v>0</v>
          </cell>
          <cell r="D3612">
            <v>0</v>
          </cell>
        </row>
        <row r="3613">
          <cell r="B3613">
            <v>0</v>
          </cell>
          <cell r="C3613">
            <v>0</v>
          </cell>
          <cell r="D3613">
            <v>0</v>
          </cell>
        </row>
        <row r="3614">
          <cell r="B3614">
            <v>0</v>
          </cell>
          <cell r="C3614">
            <v>0</v>
          </cell>
          <cell r="D3614">
            <v>0</v>
          </cell>
        </row>
        <row r="3615">
          <cell r="B3615">
            <v>0</v>
          </cell>
          <cell r="C3615">
            <v>0</v>
          </cell>
          <cell r="D3615">
            <v>0</v>
          </cell>
        </row>
        <row r="3616">
          <cell r="B3616">
            <v>0</v>
          </cell>
          <cell r="C3616">
            <v>0</v>
          </cell>
          <cell r="D3616">
            <v>0</v>
          </cell>
        </row>
        <row r="3617">
          <cell r="B3617">
            <v>0</v>
          </cell>
          <cell r="C3617">
            <v>0</v>
          </cell>
          <cell r="D3617">
            <v>0</v>
          </cell>
        </row>
        <row r="3618">
          <cell r="B3618">
            <v>0</v>
          </cell>
          <cell r="C3618">
            <v>0</v>
          </cell>
          <cell r="D3618">
            <v>0</v>
          </cell>
        </row>
        <row r="3619">
          <cell r="B3619">
            <v>0</v>
          </cell>
          <cell r="C3619">
            <v>0</v>
          </cell>
          <cell r="D3619">
            <v>0</v>
          </cell>
        </row>
        <row r="3620">
          <cell r="B3620">
            <v>0</v>
          </cell>
          <cell r="C3620">
            <v>0</v>
          </cell>
          <cell r="D3620">
            <v>0</v>
          </cell>
        </row>
        <row r="3621">
          <cell r="B3621">
            <v>0</v>
          </cell>
          <cell r="C3621">
            <v>0</v>
          </cell>
          <cell r="D3621">
            <v>0</v>
          </cell>
        </row>
        <row r="3622">
          <cell r="B3622">
            <v>0</v>
          </cell>
          <cell r="C3622">
            <v>0</v>
          </cell>
          <cell r="D3622">
            <v>0</v>
          </cell>
        </row>
        <row r="3623">
          <cell r="B3623">
            <v>0</v>
          </cell>
          <cell r="C3623">
            <v>0</v>
          </cell>
          <cell r="D3623">
            <v>0</v>
          </cell>
        </row>
        <row r="3624">
          <cell r="B3624">
            <v>0</v>
          </cell>
          <cell r="C3624">
            <v>0</v>
          </cell>
          <cell r="D3624">
            <v>0</v>
          </cell>
        </row>
        <row r="3625">
          <cell r="B3625">
            <v>0</v>
          </cell>
          <cell r="C3625">
            <v>0</v>
          </cell>
          <cell r="D3625">
            <v>0</v>
          </cell>
        </row>
        <row r="3626">
          <cell r="B3626">
            <v>0</v>
          </cell>
          <cell r="C3626">
            <v>0</v>
          </cell>
          <cell r="D3626">
            <v>0</v>
          </cell>
        </row>
        <row r="3627">
          <cell r="B3627">
            <v>0</v>
          </cell>
          <cell r="C3627">
            <v>0</v>
          </cell>
          <cell r="D3627">
            <v>0</v>
          </cell>
        </row>
        <row r="3628">
          <cell r="B3628">
            <v>0</v>
          </cell>
          <cell r="C3628">
            <v>0</v>
          </cell>
          <cell r="D3628">
            <v>0</v>
          </cell>
        </row>
        <row r="3629">
          <cell r="B3629">
            <v>0</v>
          </cell>
          <cell r="C3629">
            <v>0</v>
          </cell>
          <cell r="D3629">
            <v>0</v>
          </cell>
        </row>
        <row r="3630">
          <cell r="B3630">
            <v>0</v>
          </cell>
          <cell r="C3630">
            <v>0</v>
          </cell>
          <cell r="D3630">
            <v>0</v>
          </cell>
        </row>
        <row r="3631">
          <cell r="B3631">
            <v>0</v>
          </cell>
          <cell r="C3631">
            <v>0</v>
          </cell>
          <cell r="D3631">
            <v>0</v>
          </cell>
        </row>
        <row r="3632">
          <cell r="B3632">
            <v>0</v>
          </cell>
          <cell r="C3632">
            <v>0</v>
          </cell>
          <cell r="D3632">
            <v>0</v>
          </cell>
        </row>
        <row r="3633">
          <cell r="B3633">
            <v>0</v>
          </cell>
          <cell r="C3633">
            <v>0</v>
          </cell>
          <cell r="D3633">
            <v>0</v>
          </cell>
        </row>
        <row r="3634">
          <cell r="B3634">
            <v>0</v>
          </cell>
          <cell r="C3634">
            <v>0</v>
          </cell>
          <cell r="D3634">
            <v>0</v>
          </cell>
        </row>
        <row r="3635">
          <cell r="B3635">
            <v>0</v>
          </cell>
          <cell r="C3635">
            <v>0</v>
          </cell>
          <cell r="D3635">
            <v>0</v>
          </cell>
        </row>
        <row r="3636">
          <cell r="B3636">
            <v>0</v>
          </cell>
          <cell r="C3636">
            <v>0</v>
          </cell>
          <cell r="D3636">
            <v>0</v>
          </cell>
        </row>
        <row r="3637">
          <cell r="B3637">
            <v>0</v>
          </cell>
          <cell r="C3637">
            <v>0</v>
          </cell>
          <cell r="D3637">
            <v>0</v>
          </cell>
        </row>
        <row r="3638">
          <cell r="B3638">
            <v>0</v>
          </cell>
          <cell r="C3638">
            <v>0</v>
          </cell>
          <cell r="D3638">
            <v>0</v>
          </cell>
        </row>
        <row r="3639">
          <cell r="B3639">
            <v>0</v>
          </cell>
          <cell r="C3639">
            <v>0</v>
          </cell>
          <cell r="D3639">
            <v>0</v>
          </cell>
        </row>
        <row r="3640">
          <cell r="B3640">
            <v>0</v>
          </cell>
          <cell r="C3640">
            <v>0</v>
          </cell>
          <cell r="D3640">
            <v>0</v>
          </cell>
        </row>
        <row r="3641">
          <cell r="B3641">
            <v>0</v>
          </cell>
          <cell r="C3641">
            <v>0</v>
          </cell>
          <cell r="D3641">
            <v>0</v>
          </cell>
        </row>
        <row r="3642">
          <cell r="B3642">
            <v>0</v>
          </cell>
          <cell r="C3642">
            <v>0</v>
          </cell>
          <cell r="D3642">
            <v>0</v>
          </cell>
        </row>
        <row r="3643">
          <cell r="B3643">
            <v>0</v>
          </cell>
          <cell r="C3643">
            <v>0</v>
          </cell>
          <cell r="D3643">
            <v>0</v>
          </cell>
        </row>
        <row r="3644">
          <cell r="B3644">
            <v>0</v>
          </cell>
          <cell r="C3644">
            <v>0</v>
          </cell>
          <cell r="D3644">
            <v>0</v>
          </cell>
        </row>
        <row r="3645">
          <cell r="B3645">
            <v>0</v>
          </cell>
          <cell r="C3645">
            <v>0</v>
          </cell>
          <cell r="D3645">
            <v>0</v>
          </cell>
        </row>
        <row r="3646">
          <cell r="B3646">
            <v>0</v>
          </cell>
          <cell r="C3646">
            <v>0</v>
          </cell>
          <cell r="D3646">
            <v>0</v>
          </cell>
        </row>
        <row r="3647">
          <cell r="B3647">
            <v>0</v>
          </cell>
          <cell r="C3647">
            <v>0</v>
          </cell>
          <cell r="D3647">
            <v>0</v>
          </cell>
        </row>
        <row r="3648">
          <cell r="B3648">
            <v>0</v>
          </cell>
          <cell r="C3648">
            <v>0</v>
          </cell>
          <cell r="D3648">
            <v>0</v>
          </cell>
        </row>
        <row r="3649">
          <cell r="B3649">
            <v>0</v>
          </cell>
          <cell r="C3649">
            <v>0</v>
          </cell>
          <cell r="D3649">
            <v>0</v>
          </cell>
        </row>
        <row r="3650">
          <cell r="B3650">
            <v>0</v>
          </cell>
          <cell r="C3650">
            <v>0</v>
          </cell>
          <cell r="D3650">
            <v>0</v>
          </cell>
        </row>
        <row r="3651">
          <cell r="B3651">
            <v>0</v>
          </cell>
          <cell r="C3651">
            <v>0</v>
          </cell>
          <cell r="D3651">
            <v>0</v>
          </cell>
        </row>
        <row r="3652">
          <cell r="B3652">
            <v>0</v>
          </cell>
          <cell r="C3652">
            <v>0</v>
          </cell>
          <cell r="D3652">
            <v>0</v>
          </cell>
        </row>
        <row r="3653">
          <cell r="B3653">
            <v>0</v>
          </cell>
          <cell r="C3653">
            <v>0</v>
          </cell>
          <cell r="D3653">
            <v>0</v>
          </cell>
        </row>
        <row r="3654">
          <cell r="B3654">
            <v>0</v>
          </cell>
          <cell r="C3654">
            <v>0</v>
          </cell>
          <cell r="D3654">
            <v>0</v>
          </cell>
        </row>
        <row r="3655">
          <cell r="B3655">
            <v>0</v>
          </cell>
          <cell r="C3655">
            <v>0</v>
          </cell>
          <cell r="D3655">
            <v>0</v>
          </cell>
        </row>
        <row r="3656">
          <cell r="B3656">
            <v>0</v>
          </cell>
          <cell r="C3656">
            <v>0</v>
          </cell>
          <cell r="D3656">
            <v>0</v>
          </cell>
        </row>
        <row r="3657">
          <cell r="B3657">
            <v>0</v>
          </cell>
          <cell r="C3657">
            <v>0</v>
          </cell>
          <cell r="D3657">
            <v>0</v>
          </cell>
        </row>
        <row r="3658">
          <cell r="B3658">
            <v>0</v>
          </cell>
          <cell r="C3658">
            <v>0</v>
          </cell>
          <cell r="D3658">
            <v>0</v>
          </cell>
        </row>
        <row r="3659">
          <cell r="B3659">
            <v>0</v>
          </cell>
          <cell r="C3659">
            <v>0</v>
          </cell>
          <cell r="D3659">
            <v>0</v>
          </cell>
        </row>
        <row r="3660">
          <cell r="B3660">
            <v>0</v>
          </cell>
          <cell r="C3660">
            <v>0</v>
          </cell>
          <cell r="D3660">
            <v>0</v>
          </cell>
        </row>
        <row r="3661">
          <cell r="B3661">
            <v>0</v>
          </cell>
          <cell r="C3661">
            <v>0</v>
          </cell>
          <cell r="D3661">
            <v>0</v>
          </cell>
        </row>
        <row r="3662">
          <cell r="B3662">
            <v>0</v>
          </cell>
          <cell r="C3662">
            <v>0</v>
          </cell>
          <cell r="D3662">
            <v>0</v>
          </cell>
        </row>
        <row r="3663">
          <cell r="B3663">
            <v>0</v>
          </cell>
          <cell r="C3663">
            <v>0</v>
          </cell>
          <cell r="D3663">
            <v>0</v>
          </cell>
        </row>
        <row r="3664">
          <cell r="B3664">
            <v>0</v>
          </cell>
          <cell r="C3664">
            <v>0</v>
          </cell>
          <cell r="D3664">
            <v>0</v>
          </cell>
        </row>
        <row r="3665">
          <cell r="B3665">
            <v>0</v>
          </cell>
          <cell r="C3665">
            <v>0</v>
          </cell>
          <cell r="D3665">
            <v>0</v>
          </cell>
        </row>
        <row r="3666">
          <cell r="B3666">
            <v>0</v>
          </cell>
          <cell r="C3666">
            <v>0</v>
          </cell>
          <cell r="D3666">
            <v>0</v>
          </cell>
        </row>
        <row r="3667">
          <cell r="B3667">
            <v>0</v>
          </cell>
          <cell r="C3667">
            <v>0</v>
          </cell>
          <cell r="D3667">
            <v>0</v>
          </cell>
        </row>
        <row r="3668">
          <cell r="B3668">
            <v>0</v>
          </cell>
          <cell r="C3668">
            <v>0</v>
          </cell>
          <cell r="D3668">
            <v>0</v>
          </cell>
        </row>
        <row r="3669">
          <cell r="B3669">
            <v>0</v>
          </cell>
          <cell r="C3669">
            <v>0</v>
          </cell>
          <cell r="D3669">
            <v>0</v>
          </cell>
        </row>
        <row r="3670">
          <cell r="B3670">
            <v>0</v>
          </cell>
          <cell r="C3670">
            <v>0</v>
          </cell>
          <cell r="D3670">
            <v>0</v>
          </cell>
        </row>
        <row r="3671">
          <cell r="B3671">
            <v>0</v>
          </cell>
          <cell r="C3671">
            <v>0</v>
          </cell>
          <cell r="D3671">
            <v>0</v>
          </cell>
        </row>
        <row r="3672">
          <cell r="B3672">
            <v>0</v>
          </cell>
          <cell r="C3672">
            <v>0</v>
          </cell>
          <cell r="D3672">
            <v>0</v>
          </cell>
        </row>
        <row r="3673">
          <cell r="B3673">
            <v>0</v>
          </cell>
          <cell r="C3673">
            <v>0</v>
          </cell>
          <cell r="D3673">
            <v>0</v>
          </cell>
        </row>
        <row r="3674">
          <cell r="B3674">
            <v>0</v>
          </cell>
          <cell r="C3674">
            <v>0</v>
          </cell>
          <cell r="D3674">
            <v>0</v>
          </cell>
        </row>
        <row r="3675">
          <cell r="B3675">
            <v>0</v>
          </cell>
          <cell r="C3675">
            <v>0</v>
          </cell>
          <cell r="D3675">
            <v>0</v>
          </cell>
        </row>
        <row r="3676">
          <cell r="B3676">
            <v>0</v>
          </cell>
          <cell r="C3676">
            <v>0</v>
          </cell>
          <cell r="D3676">
            <v>0</v>
          </cell>
        </row>
        <row r="3677">
          <cell r="B3677">
            <v>0</v>
          </cell>
          <cell r="C3677">
            <v>0</v>
          </cell>
          <cell r="D3677">
            <v>0</v>
          </cell>
        </row>
        <row r="3678">
          <cell r="B3678">
            <v>0</v>
          </cell>
          <cell r="C3678">
            <v>0</v>
          </cell>
          <cell r="D3678">
            <v>0</v>
          </cell>
        </row>
        <row r="3679">
          <cell r="B3679">
            <v>0</v>
          </cell>
          <cell r="C3679">
            <v>0</v>
          </cell>
          <cell r="D3679">
            <v>0</v>
          </cell>
        </row>
        <row r="3680">
          <cell r="B3680">
            <v>0</v>
          </cell>
          <cell r="C3680">
            <v>0</v>
          </cell>
          <cell r="D3680">
            <v>0</v>
          </cell>
        </row>
        <row r="3681">
          <cell r="B3681">
            <v>0</v>
          </cell>
          <cell r="C3681">
            <v>0</v>
          </cell>
          <cell r="D3681">
            <v>0</v>
          </cell>
        </row>
        <row r="3682">
          <cell r="B3682">
            <v>0</v>
          </cell>
          <cell r="C3682">
            <v>0</v>
          </cell>
          <cell r="D3682">
            <v>0</v>
          </cell>
        </row>
        <row r="3683">
          <cell r="B3683">
            <v>0</v>
          </cell>
          <cell r="C3683">
            <v>0</v>
          </cell>
          <cell r="D3683">
            <v>0</v>
          </cell>
        </row>
        <row r="3684">
          <cell r="B3684">
            <v>0</v>
          </cell>
          <cell r="C3684">
            <v>0</v>
          </cell>
          <cell r="D3684">
            <v>0</v>
          </cell>
        </row>
        <row r="3685">
          <cell r="B3685">
            <v>0</v>
          </cell>
          <cell r="C3685">
            <v>0</v>
          </cell>
          <cell r="D3685">
            <v>0</v>
          </cell>
        </row>
        <row r="3686">
          <cell r="B3686">
            <v>0</v>
          </cell>
          <cell r="C3686">
            <v>0</v>
          </cell>
          <cell r="D3686">
            <v>0</v>
          </cell>
        </row>
        <row r="3687">
          <cell r="B3687">
            <v>0</v>
          </cell>
          <cell r="C3687">
            <v>0</v>
          </cell>
          <cell r="D3687">
            <v>0</v>
          </cell>
        </row>
        <row r="3688">
          <cell r="B3688">
            <v>0</v>
          </cell>
          <cell r="C3688">
            <v>0</v>
          </cell>
          <cell r="D3688">
            <v>0</v>
          </cell>
        </row>
        <row r="3689">
          <cell r="B3689">
            <v>0</v>
          </cell>
          <cell r="C3689">
            <v>0</v>
          </cell>
          <cell r="D3689">
            <v>0</v>
          </cell>
        </row>
        <row r="3690">
          <cell r="B3690">
            <v>0</v>
          </cell>
          <cell r="C3690">
            <v>0</v>
          </cell>
          <cell r="D3690">
            <v>0</v>
          </cell>
        </row>
        <row r="3691">
          <cell r="B3691">
            <v>0</v>
          </cell>
          <cell r="C3691">
            <v>0</v>
          </cell>
          <cell r="D3691">
            <v>0</v>
          </cell>
        </row>
        <row r="3692">
          <cell r="B3692">
            <v>0</v>
          </cell>
          <cell r="C3692">
            <v>0</v>
          </cell>
          <cell r="D3692">
            <v>0</v>
          </cell>
        </row>
        <row r="3693">
          <cell r="B3693">
            <v>0</v>
          </cell>
          <cell r="C3693">
            <v>0</v>
          </cell>
          <cell r="D3693">
            <v>0</v>
          </cell>
        </row>
        <row r="3694">
          <cell r="B3694">
            <v>0</v>
          </cell>
          <cell r="C3694">
            <v>0</v>
          </cell>
          <cell r="D3694">
            <v>0</v>
          </cell>
        </row>
        <row r="3695">
          <cell r="B3695">
            <v>0</v>
          </cell>
          <cell r="C3695">
            <v>0</v>
          </cell>
          <cell r="D3695">
            <v>0</v>
          </cell>
        </row>
        <row r="3696">
          <cell r="B3696">
            <v>0</v>
          </cell>
          <cell r="C3696">
            <v>0</v>
          </cell>
          <cell r="D3696">
            <v>0</v>
          </cell>
        </row>
        <row r="3697">
          <cell r="B3697">
            <v>0</v>
          </cell>
          <cell r="C3697">
            <v>0</v>
          </cell>
          <cell r="D3697">
            <v>0</v>
          </cell>
        </row>
        <row r="3698">
          <cell r="B3698">
            <v>0</v>
          </cell>
          <cell r="C3698">
            <v>0</v>
          </cell>
          <cell r="D3698">
            <v>0</v>
          </cell>
        </row>
        <row r="3699">
          <cell r="B3699">
            <v>0</v>
          </cell>
          <cell r="C3699">
            <v>0</v>
          </cell>
          <cell r="D3699">
            <v>0</v>
          </cell>
        </row>
        <row r="3700">
          <cell r="B3700">
            <v>0</v>
          </cell>
          <cell r="C3700">
            <v>0</v>
          </cell>
          <cell r="D3700">
            <v>0</v>
          </cell>
        </row>
        <row r="3701">
          <cell r="B3701">
            <v>0</v>
          </cell>
          <cell r="C3701">
            <v>0</v>
          </cell>
          <cell r="D3701">
            <v>0</v>
          </cell>
        </row>
        <row r="3702">
          <cell r="B3702">
            <v>0</v>
          </cell>
          <cell r="C3702">
            <v>0</v>
          </cell>
          <cell r="D3702">
            <v>0</v>
          </cell>
        </row>
        <row r="3703">
          <cell r="B3703">
            <v>0</v>
          </cell>
          <cell r="C3703">
            <v>0</v>
          </cell>
          <cell r="D3703">
            <v>0</v>
          </cell>
        </row>
        <row r="3704">
          <cell r="B3704">
            <v>0</v>
          </cell>
          <cell r="C3704">
            <v>0</v>
          </cell>
          <cell r="D3704">
            <v>0</v>
          </cell>
        </row>
        <row r="3705">
          <cell r="B3705">
            <v>0</v>
          </cell>
          <cell r="C3705">
            <v>0</v>
          </cell>
          <cell r="D3705">
            <v>0</v>
          </cell>
        </row>
        <row r="3706">
          <cell r="B3706">
            <v>0</v>
          </cell>
          <cell r="C3706">
            <v>0</v>
          </cell>
          <cell r="D3706">
            <v>0</v>
          </cell>
        </row>
        <row r="3707">
          <cell r="B3707">
            <v>0</v>
          </cell>
          <cell r="C3707">
            <v>0</v>
          </cell>
          <cell r="D3707">
            <v>0</v>
          </cell>
        </row>
        <row r="3708">
          <cell r="B3708">
            <v>0</v>
          </cell>
          <cell r="C3708">
            <v>0</v>
          </cell>
          <cell r="D3708">
            <v>0</v>
          </cell>
        </row>
        <row r="3709">
          <cell r="B3709">
            <v>0</v>
          </cell>
          <cell r="C3709">
            <v>0</v>
          </cell>
          <cell r="D3709">
            <v>0</v>
          </cell>
        </row>
        <row r="3710">
          <cell r="B3710">
            <v>0</v>
          </cell>
          <cell r="C3710">
            <v>0</v>
          </cell>
          <cell r="D3710">
            <v>0</v>
          </cell>
        </row>
        <row r="3711">
          <cell r="B3711">
            <v>0</v>
          </cell>
          <cell r="C3711">
            <v>0</v>
          </cell>
          <cell r="D3711">
            <v>0</v>
          </cell>
        </row>
        <row r="3712">
          <cell r="B3712">
            <v>0</v>
          </cell>
          <cell r="C3712">
            <v>0</v>
          </cell>
          <cell r="D3712">
            <v>0</v>
          </cell>
        </row>
        <row r="3713">
          <cell r="B3713">
            <v>0</v>
          </cell>
          <cell r="C3713">
            <v>0</v>
          </cell>
          <cell r="D3713">
            <v>0</v>
          </cell>
        </row>
        <row r="3714">
          <cell r="B3714">
            <v>0</v>
          </cell>
          <cell r="C3714">
            <v>0</v>
          </cell>
          <cell r="D3714">
            <v>0</v>
          </cell>
        </row>
        <row r="3715">
          <cell r="B3715">
            <v>0</v>
          </cell>
          <cell r="C3715">
            <v>0</v>
          </cell>
          <cell r="D3715">
            <v>0</v>
          </cell>
        </row>
        <row r="3716">
          <cell r="B3716">
            <v>0</v>
          </cell>
          <cell r="C3716">
            <v>0</v>
          </cell>
          <cell r="D3716">
            <v>0</v>
          </cell>
        </row>
        <row r="3717">
          <cell r="B3717">
            <v>0</v>
          </cell>
          <cell r="C3717">
            <v>0</v>
          </cell>
          <cell r="D3717">
            <v>0</v>
          </cell>
        </row>
        <row r="3718">
          <cell r="B3718">
            <v>0</v>
          </cell>
          <cell r="C3718">
            <v>0</v>
          </cell>
          <cell r="D3718">
            <v>0</v>
          </cell>
        </row>
        <row r="3719">
          <cell r="B3719">
            <v>0</v>
          </cell>
          <cell r="C3719">
            <v>0</v>
          </cell>
          <cell r="D3719">
            <v>0</v>
          </cell>
        </row>
        <row r="3720">
          <cell r="B3720">
            <v>0</v>
          </cell>
          <cell r="C3720">
            <v>0</v>
          </cell>
          <cell r="D3720">
            <v>0</v>
          </cell>
        </row>
        <row r="3721">
          <cell r="B3721">
            <v>0</v>
          </cell>
          <cell r="C3721">
            <v>0</v>
          </cell>
          <cell r="D3721">
            <v>0</v>
          </cell>
        </row>
        <row r="3722">
          <cell r="B3722">
            <v>0</v>
          </cell>
          <cell r="C3722">
            <v>0</v>
          </cell>
          <cell r="D3722">
            <v>0</v>
          </cell>
        </row>
        <row r="3723">
          <cell r="B3723">
            <v>0</v>
          </cell>
          <cell r="C3723">
            <v>0</v>
          </cell>
          <cell r="D3723">
            <v>0</v>
          </cell>
        </row>
        <row r="3724">
          <cell r="B3724">
            <v>0</v>
          </cell>
          <cell r="C3724">
            <v>0</v>
          </cell>
          <cell r="D3724">
            <v>0</v>
          </cell>
        </row>
        <row r="3725">
          <cell r="B3725">
            <v>0</v>
          </cell>
          <cell r="C3725">
            <v>0</v>
          </cell>
          <cell r="D3725">
            <v>0</v>
          </cell>
        </row>
        <row r="3726">
          <cell r="B3726">
            <v>0</v>
          </cell>
          <cell r="C3726">
            <v>0</v>
          </cell>
          <cell r="D3726">
            <v>0</v>
          </cell>
        </row>
        <row r="3727">
          <cell r="B3727">
            <v>0</v>
          </cell>
          <cell r="C3727">
            <v>0</v>
          </cell>
          <cell r="D3727">
            <v>0</v>
          </cell>
        </row>
        <row r="3728">
          <cell r="B3728">
            <v>0</v>
          </cell>
          <cell r="C3728">
            <v>0</v>
          </cell>
          <cell r="D3728">
            <v>0</v>
          </cell>
        </row>
        <row r="3729">
          <cell r="B3729">
            <v>0</v>
          </cell>
          <cell r="C3729">
            <v>0</v>
          </cell>
          <cell r="D3729">
            <v>0</v>
          </cell>
        </row>
        <row r="3730">
          <cell r="B3730">
            <v>0</v>
          </cell>
          <cell r="C3730">
            <v>0</v>
          </cell>
          <cell r="D3730">
            <v>0</v>
          </cell>
        </row>
        <row r="3731">
          <cell r="B3731">
            <v>0</v>
          </cell>
          <cell r="C3731">
            <v>0</v>
          </cell>
          <cell r="D3731">
            <v>0</v>
          </cell>
        </row>
        <row r="3732">
          <cell r="B3732">
            <v>0</v>
          </cell>
          <cell r="C3732">
            <v>0</v>
          </cell>
          <cell r="D3732">
            <v>0</v>
          </cell>
        </row>
        <row r="3733">
          <cell r="B3733">
            <v>0</v>
          </cell>
          <cell r="C3733">
            <v>0</v>
          </cell>
          <cell r="D3733">
            <v>0</v>
          </cell>
        </row>
        <row r="3734">
          <cell r="B3734">
            <v>0</v>
          </cell>
          <cell r="C3734">
            <v>0</v>
          </cell>
          <cell r="D3734">
            <v>0</v>
          </cell>
        </row>
        <row r="3735">
          <cell r="B3735">
            <v>0</v>
          </cell>
          <cell r="C3735">
            <v>0</v>
          </cell>
          <cell r="D3735">
            <v>0</v>
          </cell>
        </row>
        <row r="3736">
          <cell r="B3736">
            <v>0</v>
          </cell>
          <cell r="C3736">
            <v>0</v>
          </cell>
          <cell r="D3736">
            <v>0</v>
          </cell>
        </row>
        <row r="3737">
          <cell r="B3737">
            <v>0</v>
          </cell>
          <cell r="C3737">
            <v>0</v>
          </cell>
          <cell r="D3737">
            <v>0</v>
          </cell>
        </row>
        <row r="3738">
          <cell r="B3738">
            <v>0</v>
          </cell>
          <cell r="C3738">
            <v>0</v>
          </cell>
          <cell r="D3738">
            <v>0</v>
          </cell>
        </row>
        <row r="3739">
          <cell r="B3739">
            <v>0</v>
          </cell>
          <cell r="C3739">
            <v>0</v>
          </cell>
          <cell r="D3739">
            <v>0</v>
          </cell>
        </row>
        <row r="3740">
          <cell r="B3740">
            <v>0</v>
          </cell>
          <cell r="C3740">
            <v>0</v>
          </cell>
          <cell r="D3740">
            <v>0</v>
          </cell>
        </row>
        <row r="3741">
          <cell r="B3741">
            <v>0</v>
          </cell>
          <cell r="C3741">
            <v>0</v>
          </cell>
          <cell r="D3741">
            <v>0</v>
          </cell>
        </row>
        <row r="3742">
          <cell r="B3742">
            <v>0</v>
          </cell>
          <cell r="C3742">
            <v>0</v>
          </cell>
          <cell r="D3742">
            <v>0</v>
          </cell>
        </row>
        <row r="3743">
          <cell r="B3743">
            <v>0</v>
          </cell>
          <cell r="C3743">
            <v>0</v>
          </cell>
          <cell r="D3743">
            <v>0</v>
          </cell>
        </row>
        <row r="3744">
          <cell r="B3744">
            <v>0</v>
          </cell>
          <cell r="C3744">
            <v>0</v>
          </cell>
          <cell r="D3744">
            <v>0</v>
          </cell>
        </row>
        <row r="3745">
          <cell r="B3745">
            <v>0</v>
          </cell>
          <cell r="C3745">
            <v>0</v>
          </cell>
          <cell r="D3745">
            <v>0</v>
          </cell>
        </row>
        <row r="3746">
          <cell r="B3746">
            <v>0</v>
          </cell>
          <cell r="C3746">
            <v>0</v>
          </cell>
          <cell r="D3746">
            <v>0</v>
          </cell>
        </row>
        <row r="3747">
          <cell r="B3747">
            <v>0</v>
          </cell>
          <cell r="C3747">
            <v>0</v>
          </cell>
          <cell r="D3747">
            <v>0</v>
          </cell>
        </row>
        <row r="3748">
          <cell r="B3748">
            <v>0</v>
          </cell>
          <cell r="C3748">
            <v>0</v>
          </cell>
          <cell r="D3748">
            <v>0</v>
          </cell>
        </row>
        <row r="3749">
          <cell r="B3749">
            <v>0</v>
          </cell>
          <cell r="C3749">
            <v>0</v>
          </cell>
          <cell r="D3749">
            <v>0</v>
          </cell>
        </row>
        <row r="3750">
          <cell r="B3750">
            <v>0</v>
          </cell>
          <cell r="C3750">
            <v>0</v>
          </cell>
          <cell r="D3750">
            <v>0</v>
          </cell>
        </row>
        <row r="3751">
          <cell r="B3751">
            <v>0</v>
          </cell>
          <cell r="C3751">
            <v>0</v>
          </cell>
          <cell r="D3751">
            <v>0</v>
          </cell>
        </row>
        <row r="3752">
          <cell r="B3752">
            <v>0</v>
          </cell>
          <cell r="C3752">
            <v>0</v>
          </cell>
          <cell r="D3752">
            <v>0</v>
          </cell>
        </row>
        <row r="3753">
          <cell r="B3753">
            <v>0</v>
          </cell>
          <cell r="C3753">
            <v>0</v>
          </cell>
          <cell r="D3753">
            <v>0</v>
          </cell>
        </row>
        <row r="3754">
          <cell r="B3754">
            <v>0</v>
          </cell>
          <cell r="C3754">
            <v>0</v>
          </cell>
          <cell r="D3754">
            <v>0</v>
          </cell>
        </row>
        <row r="3755">
          <cell r="B3755">
            <v>0</v>
          </cell>
          <cell r="C3755">
            <v>0</v>
          </cell>
          <cell r="D3755">
            <v>0</v>
          </cell>
        </row>
        <row r="3756">
          <cell r="B3756">
            <v>0</v>
          </cell>
          <cell r="C3756">
            <v>0</v>
          </cell>
          <cell r="D3756">
            <v>0</v>
          </cell>
        </row>
        <row r="3757">
          <cell r="B3757">
            <v>0</v>
          </cell>
          <cell r="C3757">
            <v>0</v>
          </cell>
          <cell r="D3757">
            <v>0</v>
          </cell>
        </row>
        <row r="3758">
          <cell r="B3758">
            <v>0</v>
          </cell>
          <cell r="C3758">
            <v>0</v>
          </cell>
          <cell r="D3758">
            <v>0</v>
          </cell>
        </row>
        <row r="3759">
          <cell r="B3759">
            <v>0</v>
          </cell>
          <cell r="C3759">
            <v>0</v>
          </cell>
          <cell r="D3759">
            <v>0</v>
          </cell>
        </row>
        <row r="3760">
          <cell r="B3760">
            <v>0</v>
          </cell>
          <cell r="C3760">
            <v>0</v>
          </cell>
          <cell r="D3760">
            <v>0</v>
          </cell>
        </row>
        <row r="3761">
          <cell r="B3761">
            <v>0</v>
          </cell>
          <cell r="C3761">
            <v>0</v>
          </cell>
          <cell r="D3761">
            <v>0</v>
          </cell>
        </row>
        <row r="3762">
          <cell r="B3762">
            <v>0</v>
          </cell>
          <cell r="C3762">
            <v>0</v>
          </cell>
          <cell r="D3762">
            <v>0</v>
          </cell>
        </row>
        <row r="3763">
          <cell r="B3763">
            <v>0</v>
          </cell>
          <cell r="C3763">
            <v>0</v>
          </cell>
          <cell r="D3763">
            <v>0</v>
          </cell>
        </row>
        <row r="3764">
          <cell r="B3764">
            <v>0</v>
          </cell>
          <cell r="C3764">
            <v>0</v>
          </cell>
          <cell r="D3764">
            <v>0</v>
          </cell>
        </row>
        <row r="3765">
          <cell r="B3765">
            <v>0</v>
          </cell>
          <cell r="C3765">
            <v>0</v>
          </cell>
          <cell r="D3765">
            <v>0</v>
          </cell>
        </row>
        <row r="3766">
          <cell r="B3766">
            <v>0</v>
          </cell>
          <cell r="C3766">
            <v>0</v>
          </cell>
          <cell r="D3766">
            <v>0</v>
          </cell>
        </row>
        <row r="3767">
          <cell r="B3767">
            <v>0</v>
          </cell>
          <cell r="C3767">
            <v>0</v>
          </cell>
          <cell r="D3767">
            <v>0</v>
          </cell>
        </row>
        <row r="3768">
          <cell r="B3768">
            <v>0</v>
          </cell>
          <cell r="C3768">
            <v>0</v>
          </cell>
          <cell r="D3768">
            <v>0</v>
          </cell>
        </row>
        <row r="3769">
          <cell r="B3769">
            <v>0</v>
          </cell>
          <cell r="C3769">
            <v>0</v>
          </cell>
          <cell r="D3769">
            <v>0</v>
          </cell>
        </row>
        <row r="3770">
          <cell r="B3770">
            <v>0</v>
          </cell>
          <cell r="C3770">
            <v>0</v>
          </cell>
          <cell r="D3770">
            <v>0</v>
          </cell>
        </row>
        <row r="3771">
          <cell r="B3771">
            <v>0</v>
          </cell>
          <cell r="C3771">
            <v>0</v>
          </cell>
          <cell r="D3771">
            <v>0</v>
          </cell>
        </row>
        <row r="3772">
          <cell r="B3772">
            <v>0</v>
          </cell>
          <cell r="C3772">
            <v>0</v>
          </cell>
          <cell r="D3772">
            <v>0</v>
          </cell>
        </row>
        <row r="3773">
          <cell r="B3773">
            <v>0</v>
          </cell>
          <cell r="C3773">
            <v>0</v>
          </cell>
          <cell r="D3773">
            <v>0</v>
          </cell>
        </row>
        <row r="3774">
          <cell r="B3774">
            <v>0</v>
          </cell>
          <cell r="C3774">
            <v>0</v>
          </cell>
          <cell r="D3774">
            <v>0</v>
          </cell>
        </row>
        <row r="3775">
          <cell r="B3775">
            <v>0</v>
          </cell>
          <cell r="C3775">
            <v>0</v>
          </cell>
          <cell r="D3775">
            <v>0</v>
          </cell>
        </row>
        <row r="3776">
          <cell r="B3776">
            <v>0</v>
          </cell>
          <cell r="C3776">
            <v>0</v>
          </cell>
          <cell r="D3776">
            <v>0</v>
          </cell>
        </row>
        <row r="3777">
          <cell r="B3777">
            <v>0</v>
          </cell>
          <cell r="C3777">
            <v>0</v>
          </cell>
          <cell r="D3777">
            <v>0</v>
          </cell>
        </row>
        <row r="3778">
          <cell r="B3778">
            <v>0</v>
          </cell>
          <cell r="C3778">
            <v>0</v>
          </cell>
          <cell r="D3778">
            <v>0</v>
          </cell>
        </row>
        <row r="3779">
          <cell r="B3779">
            <v>0</v>
          </cell>
          <cell r="C3779">
            <v>0</v>
          </cell>
          <cell r="D3779">
            <v>0</v>
          </cell>
        </row>
        <row r="3780">
          <cell r="B3780">
            <v>0</v>
          </cell>
          <cell r="C3780">
            <v>0</v>
          </cell>
          <cell r="D3780">
            <v>0</v>
          </cell>
        </row>
        <row r="3781">
          <cell r="B3781">
            <v>0</v>
          </cell>
          <cell r="C3781">
            <v>0</v>
          </cell>
          <cell r="D3781">
            <v>0</v>
          </cell>
        </row>
        <row r="3782">
          <cell r="B3782">
            <v>0</v>
          </cell>
          <cell r="C3782">
            <v>0</v>
          </cell>
          <cell r="D3782">
            <v>0</v>
          </cell>
        </row>
        <row r="3783">
          <cell r="B3783">
            <v>0</v>
          </cell>
          <cell r="C3783">
            <v>0</v>
          </cell>
          <cell r="D3783">
            <v>0</v>
          </cell>
        </row>
        <row r="3784">
          <cell r="B3784">
            <v>0</v>
          </cell>
          <cell r="C3784">
            <v>0</v>
          </cell>
          <cell r="D3784">
            <v>0</v>
          </cell>
        </row>
        <row r="3785">
          <cell r="B3785">
            <v>0</v>
          </cell>
          <cell r="C3785">
            <v>0</v>
          </cell>
          <cell r="D3785">
            <v>0</v>
          </cell>
        </row>
        <row r="3786">
          <cell r="B3786">
            <v>0</v>
          </cell>
          <cell r="C3786">
            <v>0</v>
          </cell>
          <cell r="D3786">
            <v>0</v>
          </cell>
        </row>
        <row r="3787">
          <cell r="B3787">
            <v>0</v>
          </cell>
          <cell r="C3787">
            <v>0</v>
          </cell>
          <cell r="D3787">
            <v>0</v>
          </cell>
        </row>
        <row r="3788">
          <cell r="B3788">
            <v>0</v>
          </cell>
          <cell r="C3788">
            <v>0</v>
          </cell>
          <cell r="D3788">
            <v>0</v>
          </cell>
        </row>
        <row r="3789">
          <cell r="B3789">
            <v>0</v>
          </cell>
          <cell r="C3789">
            <v>0</v>
          </cell>
          <cell r="D3789">
            <v>0</v>
          </cell>
        </row>
        <row r="3790">
          <cell r="B3790">
            <v>0</v>
          </cell>
          <cell r="C3790">
            <v>0</v>
          </cell>
          <cell r="D3790">
            <v>0</v>
          </cell>
        </row>
        <row r="3791">
          <cell r="B3791">
            <v>0</v>
          </cell>
          <cell r="C3791">
            <v>0</v>
          </cell>
          <cell r="D3791">
            <v>0</v>
          </cell>
        </row>
        <row r="3792">
          <cell r="B3792">
            <v>0</v>
          </cell>
          <cell r="C3792">
            <v>0</v>
          </cell>
          <cell r="D3792">
            <v>0</v>
          </cell>
        </row>
        <row r="3793">
          <cell r="B3793">
            <v>0</v>
          </cell>
          <cell r="C3793">
            <v>0</v>
          </cell>
          <cell r="D3793">
            <v>0</v>
          </cell>
        </row>
        <row r="3794">
          <cell r="B3794">
            <v>0</v>
          </cell>
          <cell r="C3794">
            <v>0</v>
          </cell>
          <cell r="D3794">
            <v>0</v>
          </cell>
        </row>
        <row r="3795">
          <cell r="B3795">
            <v>0</v>
          </cell>
          <cell r="C3795">
            <v>0</v>
          </cell>
          <cell r="D3795">
            <v>0</v>
          </cell>
        </row>
        <row r="3796">
          <cell r="B3796">
            <v>0</v>
          </cell>
          <cell r="C3796">
            <v>0</v>
          </cell>
          <cell r="D3796">
            <v>0</v>
          </cell>
        </row>
        <row r="3797">
          <cell r="B3797">
            <v>0</v>
          </cell>
          <cell r="C3797">
            <v>0</v>
          </cell>
          <cell r="D3797">
            <v>0</v>
          </cell>
        </row>
        <row r="3798">
          <cell r="B3798">
            <v>0</v>
          </cell>
          <cell r="C3798">
            <v>0</v>
          </cell>
          <cell r="D3798">
            <v>0</v>
          </cell>
        </row>
        <row r="3799">
          <cell r="B3799">
            <v>0</v>
          </cell>
          <cell r="C3799">
            <v>0</v>
          </cell>
          <cell r="D3799">
            <v>0</v>
          </cell>
        </row>
        <row r="3800">
          <cell r="B3800">
            <v>0</v>
          </cell>
          <cell r="C3800">
            <v>0</v>
          </cell>
          <cell r="D3800">
            <v>0</v>
          </cell>
        </row>
        <row r="3801">
          <cell r="B3801">
            <v>0</v>
          </cell>
          <cell r="C3801">
            <v>0</v>
          </cell>
          <cell r="D3801">
            <v>0</v>
          </cell>
        </row>
        <row r="3802">
          <cell r="B3802">
            <v>0</v>
          </cell>
          <cell r="C3802">
            <v>0</v>
          </cell>
          <cell r="D3802">
            <v>0</v>
          </cell>
        </row>
        <row r="3803">
          <cell r="B3803">
            <v>0</v>
          </cell>
          <cell r="C3803">
            <v>0</v>
          </cell>
          <cell r="D3803">
            <v>0</v>
          </cell>
        </row>
        <row r="3804">
          <cell r="B3804">
            <v>0</v>
          </cell>
          <cell r="C3804">
            <v>0</v>
          </cell>
          <cell r="D3804">
            <v>0</v>
          </cell>
        </row>
        <row r="3805">
          <cell r="B3805">
            <v>0</v>
          </cell>
          <cell r="C3805">
            <v>0</v>
          </cell>
          <cell r="D3805">
            <v>0</v>
          </cell>
        </row>
        <row r="3806">
          <cell r="B3806">
            <v>0</v>
          </cell>
          <cell r="C3806">
            <v>0</v>
          </cell>
          <cell r="D3806">
            <v>0</v>
          </cell>
        </row>
        <row r="3807">
          <cell r="B3807">
            <v>0</v>
          </cell>
          <cell r="C3807">
            <v>0</v>
          </cell>
          <cell r="D3807">
            <v>0</v>
          </cell>
        </row>
        <row r="3808">
          <cell r="B3808">
            <v>0</v>
          </cell>
          <cell r="C3808">
            <v>0</v>
          </cell>
          <cell r="D3808">
            <v>0</v>
          </cell>
        </row>
        <row r="3809">
          <cell r="B3809">
            <v>0</v>
          </cell>
          <cell r="C3809">
            <v>0</v>
          </cell>
          <cell r="D3809">
            <v>0</v>
          </cell>
        </row>
        <row r="3810">
          <cell r="B3810">
            <v>0</v>
          </cell>
          <cell r="C3810">
            <v>0</v>
          </cell>
          <cell r="D3810">
            <v>0</v>
          </cell>
        </row>
        <row r="3811">
          <cell r="B3811">
            <v>0</v>
          </cell>
          <cell r="C3811">
            <v>0</v>
          </cell>
          <cell r="D3811">
            <v>0</v>
          </cell>
        </row>
        <row r="3812">
          <cell r="B3812">
            <v>0</v>
          </cell>
          <cell r="C3812">
            <v>0</v>
          </cell>
          <cell r="D3812">
            <v>0</v>
          </cell>
        </row>
        <row r="3813">
          <cell r="B3813">
            <v>0</v>
          </cell>
          <cell r="C3813">
            <v>0</v>
          </cell>
          <cell r="D3813">
            <v>0</v>
          </cell>
        </row>
        <row r="3814">
          <cell r="B3814">
            <v>0</v>
          </cell>
          <cell r="C3814">
            <v>0</v>
          </cell>
          <cell r="D3814">
            <v>0</v>
          </cell>
        </row>
        <row r="3815">
          <cell r="B3815">
            <v>0</v>
          </cell>
          <cell r="C3815">
            <v>0</v>
          </cell>
          <cell r="D3815">
            <v>0</v>
          </cell>
        </row>
        <row r="3816">
          <cell r="B3816">
            <v>0</v>
          </cell>
          <cell r="C3816">
            <v>0</v>
          </cell>
          <cell r="D3816">
            <v>0</v>
          </cell>
        </row>
        <row r="3817">
          <cell r="B3817">
            <v>0</v>
          </cell>
          <cell r="C3817">
            <v>0</v>
          </cell>
          <cell r="D3817">
            <v>0</v>
          </cell>
        </row>
        <row r="3818">
          <cell r="B3818">
            <v>0</v>
          </cell>
          <cell r="C3818">
            <v>0</v>
          </cell>
          <cell r="D3818">
            <v>0</v>
          </cell>
        </row>
        <row r="3819">
          <cell r="B3819">
            <v>0</v>
          </cell>
          <cell r="C3819">
            <v>0</v>
          </cell>
          <cell r="D3819">
            <v>0</v>
          </cell>
        </row>
        <row r="3820">
          <cell r="B3820">
            <v>0</v>
          </cell>
          <cell r="C3820">
            <v>0</v>
          </cell>
          <cell r="D3820">
            <v>0</v>
          </cell>
        </row>
        <row r="3821">
          <cell r="B3821">
            <v>0</v>
          </cell>
          <cell r="C3821">
            <v>0</v>
          </cell>
          <cell r="D3821">
            <v>0</v>
          </cell>
        </row>
        <row r="3822">
          <cell r="B3822">
            <v>0</v>
          </cell>
          <cell r="C3822">
            <v>0</v>
          </cell>
          <cell r="D3822">
            <v>0</v>
          </cell>
        </row>
        <row r="3823">
          <cell r="B3823">
            <v>0</v>
          </cell>
          <cell r="C3823">
            <v>0</v>
          </cell>
          <cell r="D3823">
            <v>0</v>
          </cell>
        </row>
        <row r="3824">
          <cell r="B3824">
            <v>0</v>
          </cell>
          <cell r="C3824">
            <v>0</v>
          </cell>
          <cell r="D3824">
            <v>0</v>
          </cell>
        </row>
        <row r="3825">
          <cell r="B3825">
            <v>0</v>
          </cell>
          <cell r="C3825">
            <v>0</v>
          </cell>
          <cell r="D3825">
            <v>0</v>
          </cell>
        </row>
        <row r="3826">
          <cell r="B3826">
            <v>0</v>
          </cell>
          <cell r="C3826">
            <v>0</v>
          </cell>
          <cell r="D3826">
            <v>0</v>
          </cell>
        </row>
        <row r="3827">
          <cell r="B3827">
            <v>0</v>
          </cell>
          <cell r="C3827">
            <v>0</v>
          </cell>
          <cell r="D3827">
            <v>0</v>
          </cell>
        </row>
        <row r="3828">
          <cell r="B3828">
            <v>0</v>
          </cell>
          <cell r="C3828">
            <v>0</v>
          </cell>
          <cell r="D3828">
            <v>0</v>
          </cell>
        </row>
        <row r="3829">
          <cell r="B3829">
            <v>0</v>
          </cell>
          <cell r="C3829">
            <v>0</v>
          </cell>
          <cell r="D3829">
            <v>0</v>
          </cell>
        </row>
        <row r="3830">
          <cell r="B3830">
            <v>0</v>
          </cell>
          <cell r="C3830">
            <v>0</v>
          </cell>
          <cell r="D3830">
            <v>0</v>
          </cell>
        </row>
        <row r="3831">
          <cell r="B3831">
            <v>0</v>
          </cell>
          <cell r="C3831">
            <v>0</v>
          </cell>
          <cell r="D3831">
            <v>0</v>
          </cell>
        </row>
        <row r="3832">
          <cell r="B3832">
            <v>0</v>
          </cell>
          <cell r="C3832">
            <v>0</v>
          </cell>
          <cell r="D3832">
            <v>0</v>
          </cell>
        </row>
        <row r="3833">
          <cell r="B3833">
            <v>0</v>
          </cell>
          <cell r="C3833">
            <v>0</v>
          </cell>
          <cell r="D3833">
            <v>0</v>
          </cell>
        </row>
        <row r="3834">
          <cell r="B3834">
            <v>0</v>
          </cell>
          <cell r="C3834">
            <v>0</v>
          </cell>
          <cell r="D3834">
            <v>0</v>
          </cell>
        </row>
        <row r="3835">
          <cell r="B3835">
            <v>0</v>
          </cell>
          <cell r="C3835">
            <v>0</v>
          </cell>
          <cell r="D3835">
            <v>0</v>
          </cell>
        </row>
        <row r="3836">
          <cell r="B3836">
            <v>0</v>
          </cell>
          <cell r="C3836">
            <v>0</v>
          </cell>
          <cell r="D3836">
            <v>0</v>
          </cell>
        </row>
        <row r="3837">
          <cell r="B3837">
            <v>0</v>
          </cell>
          <cell r="C3837">
            <v>0</v>
          </cell>
          <cell r="D3837">
            <v>0</v>
          </cell>
        </row>
        <row r="3838">
          <cell r="B3838">
            <v>0</v>
          </cell>
          <cell r="C3838">
            <v>0</v>
          </cell>
          <cell r="D3838">
            <v>0</v>
          </cell>
        </row>
        <row r="3839">
          <cell r="B3839">
            <v>0</v>
          </cell>
          <cell r="C3839">
            <v>0</v>
          </cell>
          <cell r="D3839">
            <v>0</v>
          </cell>
        </row>
        <row r="3840">
          <cell r="B3840">
            <v>0</v>
          </cell>
          <cell r="C3840">
            <v>0</v>
          </cell>
          <cell r="D3840">
            <v>0</v>
          </cell>
        </row>
        <row r="3841">
          <cell r="B3841">
            <v>0</v>
          </cell>
          <cell r="C3841">
            <v>0</v>
          </cell>
          <cell r="D3841">
            <v>0</v>
          </cell>
        </row>
        <row r="3842">
          <cell r="B3842">
            <v>0</v>
          </cell>
          <cell r="C3842">
            <v>0</v>
          </cell>
          <cell r="D3842">
            <v>0</v>
          </cell>
        </row>
        <row r="3843">
          <cell r="B3843">
            <v>0</v>
          </cell>
          <cell r="C3843">
            <v>0</v>
          </cell>
          <cell r="D3843">
            <v>0</v>
          </cell>
        </row>
        <row r="3844">
          <cell r="B3844">
            <v>0</v>
          </cell>
          <cell r="C3844">
            <v>0</v>
          </cell>
          <cell r="D3844">
            <v>0</v>
          </cell>
        </row>
        <row r="3845">
          <cell r="B3845">
            <v>0</v>
          </cell>
          <cell r="C3845">
            <v>0</v>
          </cell>
          <cell r="D3845">
            <v>0</v>
          </cell>
        </row>
        <row r="3846">
          <cell r="B3846">
            <v>0</v>
          </cell>
          <cell r="C3846">
            <v>0</v>
          </cell>
          <cell r="D3846">
            <v>0</v>
          </cell>
        </row>
        <row r="3847">
          <cell r="B3847">
            <v>0</v>
          </cell>
          <cell r="C3847">
            <v>0</v>
          </cell>
          <cell r="D3847">
            <v>0</v>
          </cell>
        </row>
        <row r="3848">
          <cell r="B3848">
            <v>0</v>
          </cell>
          <cell r="C3848">
            <v>0</v>
          </cell>
          <cell r="D3848">
            <v>0</v>
          </cell>
        </row>
        <row r="3849">
          <cell r="B3849">
            <v>0</v>
          </cell>
          <cell r="C3849">
            <v>0</v>
          </cell>
          <cell r="D3849">
            <v>0</v>
          </cell>
        </row>
        <row r="3850">
          <cell r="B3850">
            <v>0</v>
          </cell>
          <cell r="C3850">
            <v>0</v>
          </cell>
          <cell r="D3850">
            <v>0</v>
          </cell>
        </row>
        <row r="3851">
          <cell r="B3851">
            <v>0</v>
          </cell>
          <cell r="C3851">
            <v>0</v>
          </cell>
          <cell r="D3851">
            <v>0</v>
          </cell>
        </row>
        <row r="3852">
          <cell r="B3852">
            <v>0</v>
          </cell>
          <cell r="C3852">
            <v>0</v>
          </cell>
          <cell r="D3852">
            <v>0</v>
          </cell>
        </row>
        <row r="3853">
          <cell r="B3853">
            <v>0</v>
          </cell>
          <cell r="C3853">
            <v>0</v>
          </cell>
          <cell r="D3853">
            <v>0</v>
          </cell>
        </row>
        <row r="3854">
          <cell r="B3854">
            <v>0</v>
          </cell>
          <cell r="C3854">
            <v>0</v>
          </cell>
          <cell r="D3854">
            <v>0</v>
          </cell>
        </row>
        <row r="3855">
          <cell r="B3855">
            <v>0</v>
          </cell>
          <cell r="C3855">
            <v>0</v>
          </cell>
          <cell r="D3855">
            <v>0</v>
          </cell>
        </row>
        <row r="3856">
          <cell r="B3856">
            <v>0</v>
          </cell>
          <cell r="C3856">
            <v>0</v>
          </cell>
          <cell r="D3856">
            <v>0</v>
          </cell>
        </row>
        <row r="3857">
          <cell r="B3857">
            <v>0</v>
          </cell>
          <cell r="C3857">
            <v>0</v>
          </cell>
          <cell r="D3857">
            <v>0</v>
          </cell>
        </row>
        <row r="3858">
          <cell r="B3858">
            <v>0</v>
          </cell>
          <cell r="C3858">
            <v>0</v>
          </cell>
          <cell r="D3858">
            <v>0</v>
          </cell>
        </row>
        <row r="3859">
          <cell r="B3859">
            <v>0</v>
          </cell>
          <cell r="C3859">
            <v>0</v>
          </cell>
          <cell r="D3859">
            <v>0</v>
          </cell>
        </row>
        <row r="3860">
          <cell r="B3860">
            <v>0</v>
          </cell>
          <cell r="C3860">
            <v>0</v>
          </cell>
          <cell r="D3860">
            <v>0</v>
          </cell>
        </row>
        <row r="3861">
          <cell r="B3861">
            <v>0</v>
          </cell>
          <cell r="C3861">
            <v>0</v>
          </cell>
          <cell r="D3861">
            <v>0</v>
          </cell>
        </row>
        <row r="3862">
          <cell r="B3862">
            <v>0</v>
          </cell>
          <cell r="C3862">
            <v>0</v>
          </cell>
          <cell r="D3862">
            <v>0</v>
          </cell>
        </row>
        <row r="3863">
          <cell r="B3863">
            <v>0</v>
          </cell>
          <cell r="C3863">
            <v>0</v>
          </cell>
          <cell r="D3863">
            <v>0</v>
          </cell>
        </row>
        <row r="3864">
          <cell r="B3864">
            <v>0</v>
          </cell>
          <cell r="C3864">
            <v>0</v>
          </cell>
          <cell r="D3864">
            <v>0</v>
          </cell>
        </row>
        <row r="3865">
          <cell r="B3865">
            <v>0</v>
          </cell>
          <cell r="C3865">
            <v>0</v>
          </cell>
          <cell r="D3865">
            <v>0</v>
          </cell>
        </row>
        <row r="3866">
          <cell r="B3866">
            <v>0</v>
          </cell>
          <cell r="C3866">
            <v>0</v>
          </cell>
          <cell r="D3866">
            <v>0</v>
          </cell>
        </row>
        <row r="3867">
          <cell r="B3867">
            <v>0</v>
          </cell>
          <cell r="C3867">
            <v>0</v>
          </cell>
          <cell r="D3867">
            <v>0</v>
          </cell>
        </row>
        <row r="3868">
          <cell r="B3868">
            <v>0</v>
          </cell>
          <cell r="C3868">
            <v>0</v>
          </cell>
          <cell r="D3868">
            <v>0</v>
          </cell>
        </row>
        <row r="3869">
          <cell r="B3869">
            <v>0</v>
          </cell>
          <cell r="C3869">
            <v>0</v>
          </cell>
          <cell r="D3869">
            <v>0</v>
          </cell>
        </row>
        <row r="3870">
          <cell r="B3870">
            <v>0</v>
          </cell>
          <cell r="C3870">
            <v>0</v>
          </cell>
          <cell r="D3870">
            <v>0</v>
          </cell>
        </row>
        <row r="3871">
          <cell r="B3871">
            <v>0</v>
          </cell>
          <cell r="C3871">
            <v>0</v>
          </cell>
          <cell r="D3871">
            <v>0</v>
          </cell>
        </row>
        <row r="3872">
          <cell r="B3872">
            <v>0</v>
          </cell>
          <cell r="C3872">
            <v>0</v>
          </cell>
          <cell r="D3872">
            <v>0</v>
          </cell>
        </row>
        <row r="3873">
          <cell r="B3873">
            <v>0</v>
          </cell>
          <cell r="C3873">
            <v>0</v>
          </cell>
          <cell r="D3873">
            <v>0</v>
          </cell>
        </row>
        <row r="3874">
          <cell r="B3874">
            <v>0</v>
          </cell>
          <cell r="C3874">
            <v>0</v>
          </cell>
          <cell r="D3874">
            <v>0</v>
          </cell>
        </row>
        <row r="3875">
          <cell r="B3875">
            <v>0</v>
          </cell>
          <cell r="C3875">
            <v>0</v>
          </cell>
          <cell r="D3875">
            <v>0</v>
          </cell>
        </row>
        <row r="3876">
          <cell r="B3876">
            <v>0</v>
          </cell>
          <cell r="C3876">
            <v>0</v>
          </cell>
          <cell r="D3876">
            <v>0</v>
          </cell>
        </row>
        <row r="3877">
          <cell r="B3877">
            <v>0</v>
          </cell>
          <cell r="C3877">
            <v>0</v>
          </cell>
          <cell r="D3877">
            <v>0</v>
          </cell>
        </row>
        <row r="3878">
          <cell r="B3878">
            <v>0</v>
          </cell>
          <cell r="C3878">
            <v>0</v>
          </cell>
          <cell r="D3878">
            <v>0</v>
          </cell>
        </row>
        <row r="3879">
          <cell r="B3879">
            <v>0</v>
          </cell>
          <cell r="C3879">
            <v>0</v>
          </cell>
          <cell r="D3879">
            <v>0</v>
          </cell>
        </row>
        <row r="3880">
          <cell r="B3880">
            <v>0</v>
          </cell>
          <cell r="C3880">
            <v>0</v>
          </cell>
          <cell r="D3880">
            <v>0</v>
          </cell>
        </row>
        <row r="3881">
          <cell r="B3881">
            <v>0</v>
          </cell>
          <cell r="C3881">
            <v>0</v>
          </cell>
          <cell r="D3881">
            <v>0</v>
          </cell>
        </row>
        <row r="3882">
          <cell r="B3882">
            <v>0</v>
          </cell>
          <cell r="C3882">
            <v>0</v>
          </cell>
          <cell r="D3882">
            <v>0</v>
          </cell>
        </row>
        <row r="3883">
          <cell r="B3883">
            <v>0</v>
          </cell>
          <cell r="C3883">
            <v>0</v>
          </cell>
          <cell r="D3883">
            <v>0</v>
          </cell>
        </row>
        <row r="3884">
          <cell r="B3884">
            <v>0</v>
          </cell>
          <cell r="C3884">
            <v>0</v>
          </cell>
          <cell r="D3884">
            <v>0</v>
          </cell>
        </row>
        <row r="3885">
          <cell r="B3885">
            <v>0</v>
          </cell>
          <cell r="C3885">
            <v>0</v>
          </cell>
          <cell r="D3885">
            <v>0</v>
          </cell>
        </row>
        <row r="3886">
          <cell r="B3886">
            <v>0</v>
          </cell>
          <cell r="C3886">
            <v>0</v>
          </cell>
          <cell r="D3886">
            <v>0</v>
          </cell>
        </row>
        <row r="3887">
          <cell r="B3887">
            <v>0</v>
          </cell>
          <cell r="C3887">
            <v>0</v>
          </cell>
          <cell r="D3887">
            <v>0</v>
          </cell>
        </row>
        <row r="3888">
          <cell r="B3888">
            <v>0</v>
          </cell>
          <cell r="C3888">
            <v>0</v>
          </cell>
          <cell r="D3888">
            <v>0</v>
          </cell>
        </row>
        <row r="3889">
          <cell r="B3889">
            <v>0</v>
          </cell>
          <cell r="C3889">
            <v>0</v>
          </cell>
          <cell r="D3889">
            <v>0</v>
          </cell>
        </row>
        <row r="3890">
          <cell r="B3890">
            <v>0</v>
          </cell>
          <cell r="C3890">
            <v>0</v>
          </cell>
          <cell r="D3890">
            <v>0</v>
          </cell>
        </row>
        <row r="3891">
          <cell r="B3891">
            <v>0</v>
          </cell>
          <cell r="C3891">
            <v>0</v>
          </cell>
          <cell r="D3891">
            <v>0</v>
          </cell>
        </row>
        <row r="3892">
          <cell r="B3892">
            <v>0</v>
          </cell>
          <cell r="C3892">
            <v>0</v>
          </cell>
          <cell r="D3892">
            <v>0</v>
          </cell>
        </row>
        <row r="3893">
          <cell r="B3893">
            <v>0</v>
          </cell>
          <cell r="C3893">
            <v>0</v>
          </cell>
          <cell r="D3893">
            <v>0</v>
          </cell>
        </row>
        <row r="3894">
          <cell r="B3894">
            <v>0</v>
          </cell>
          <cell r="C3894">
            <v>0</v>
          </cell>
          <cell r="D3894">
            <v>0</v>
          </cell>
        </row>
        <row r="3895">
          <cell r="B3895">
            <v>0</v>
          </cell>
          <cell r="C3895">
            <v>0</v>
          </cell>
          <cell r="D3895">
            <v>0</v>
          </cell>
        </row>
        <row r="3896">
          <cell r="B3896">
            <v>0</v>
          </cell>
          <cell r="C3896">
            <v>0</v>
          </cell>
          <cell r="D3896">
            <v>0</v>
          </cell>
        </row>
        <row r="3897">
          <cell r="B3897">
            <v>0</v>
          </cell>
          <cell r="C3897">
            <v>0</v>
          </cell>
          <cell r="D3897">
            <v>0</v>
          </cell>
        </row>
        <row r="3898">
          <cell r="B3898">
            <v>0</v>
          </cell>
          <cell r="C3898">
            <v>0</v>
          </cell>
          <cell r="D3898">
            <v>0</v>
          </cell>
        </row>
        <row r="3899">
          <cell r="B3899">
            <v>0</v>
          </cell>
          <cell r="C3899">
            <v>0</v>
          </cell>
          <cell r="D3899">
            <v>0</v>
          </cell>
        </row>
        <row r="3900">
          <cell r="B3900">
            <v>0</v>
          </cell>
          <cell r="C3900">
            <v>0</v>
          </cell>
          <cell r="D3900">
            <v>0</v>
          </cell>
        </row>
        <row r="3901">
          <cell r="B3901">
            <v>0</v>
          </cell>
          <cell r="C3901">
            <v>0</v>
          </cell>
          <cell r="D3901">
            <v>0</v>
          </cell>
        </row>
        <row r="3902">
          <cell r="B3902">
            <v>0</v>
          </cell>
          <cell r="C3902">
            <v>0</v>
          </cell>
          <cell r="D3902">
            <v>0</v>
          </cell>
        </row>
        <row r="3903">
          <cell r="B3903">
            <v>0</v>
          </cell>
          <cell r="C3903">
            <v>0</v>
          </cell>
          <cell r="D3903">
            <v>0</v>
          </cell>
        </row>
        <row r="3904">
          <cell r="B3904">
            <v>0</v>
          </cell>
          <cell r="C3904">
            <v>0</v>
          </cell>
          <cell r="D3904">
            <v>0</v>
          </cell>
        </row>
        <row r="3905">
          <cell r="B3905">
            <v>0</v>
          </cell>
          <cell r="C3905">
            <v>0</v>
          </cell>
          <cell r="D3905">
            <v>0</v>
          </cell>
        </row>
        <row r="3906">
          <cell r="B3906">
            <v>0</v>
          </cell>
          <cell r="C3906">
            <v>0</v>
          </cell>
          <cell r="D3906">
            <v>0</v>
          </cell>
        </row>
        <row r="3907">
          <cell r="B3907">
            <v>0</v>
          </cell>
          <cell r="C3907">
            <v>0</v>
          </cell>
          <cell r="D3907">
            <v>0</v>
          </cell>
        </row>
        <row r="3908">
          <cell r="B3908">
            <v>0</v>
          </cell>
          <cell r="C3908">
            <v>0</v>
          </cell>
          <cell r="D3908">
            <v>0</v>
          </cell>
        </row>
        <row r="3909">
          <cell r="B3909">
            <v>0</v>
          </cell>
          <cell r="C3909">
            <v>0</v>
          </cell>
          <cell r="D3909">
            <v>0</v>
          </cell>
        </row>
        <row r="3910">
          <cell r="B3910">
            <v>0</v>
          </cell>
          <cell r="C3910">
            <v>0</v>
          </cell>
          <cell r="D3910">
            <v>0</v>
          </cell>
        </row>
        <row r="3911">
          <cell r="B3911">
            <v>0</v>
          </cell>
          <cell r="C3911">
            <v>0</v>
          </cell>
          <cell r="D3911">
            <v>0</v>
          </cell>
        </row>
        <row r="3912">
          <cell r="B3912">
            <v>0</v>
          </cell>
          <cell r="C3912">
            <v>0</v>
          </cell>
          <cell r="D3912">
            <v>0</v>
          </cell>
        </row>
        <row r="3913">
          <cell r="B3913">
            <v>0</v>
          </cell>
          <cell r="C3913">
            <v>0</v>
          </cell>
          <cell r="D3913">
            <v>0</v>
          </cell>
        </row>
        <row r="3914">
          <cell r="B3914">
            <v>0</v>
          </cell>
          <cell r="C3914">
            <v>0</v>
          </cell>
          <cell r="D3914">
            <v>0</v>
          </cell>
        </row>
        <row r="3915">
          <cell r="B3915">
            <v>0</v>
          </cell>
          <cell r="C3915">
            <v>0</v>
          </cell>
          <cell r="D3915">
            <v>0</v>
          </cell>
        </row>
        <row r="3916">
          <cell r="B3916">
            <v>0</v>
          </cell>
          <cell r="C3916">
            <v>0</v>
          </cell>
          <cell r="D3916">
            <v>0</v>
          </cell>
        </row>
        <row r="3917">
          <cell r="B3917">
            <v>0</v>
          </cell>
          <cell r="C3917">
            <v>0</v>
          </cell>
          <cell r="D3917">
            <v>0</v>
          </cell>
        </row>
        <row r="3918">
          <cell r="B3918">
            <v>0</v>
          </cell>
          <cell r="C3918">
            <v>0</v>
          </cell>
          <cell r="D3918">
            <v>0</v>
          </cell>
        </row>
        <row r="3919">
          <cell r="B3919">
            <v>0</v>
          </cell>
          <cell r="C3919">
            <v>0</v>
          </cell>
          <cell r="D3919">
            <v>0</v>
          </cell>
        </row>
        <row r="3920">
          <cell r="B3920">
            <v>0</v>
          </cell>
          <cell r="C3920">
            <v>0</v>
          </cell>
          <cell r="D3920">
            <v>0</v>
          </cell>
        </row>
        <row r="3921">
          <cell r="B3921">
            <v>0</v>
          </cell>
          <cell r="C3921">
            <v>0</v>
          </cell>
          <cell r="D3921">
            <v>0</v>
          </cell>
        </row>
        <row r="3922">
          <cell r="B3922">
            <v>0</v>
          </cell>
          <cell r="C3922">
            <v>0</v>
          </cell>
          <cell r="D3922">
            <v>0</v>
          </cell>
        </row>
        <row r="3923">
          <cell r="B3923">
            <v>0</v>
          </cell>
          <cell r="C3923">
            <v>0</v>
          </cell>
          <cell r="D3923">
            <v>0</v>
          </cell>
        </row>
        <row r="3924">
          <cell r="B3924">
            <v>0</v>
          </cell>
          <cell r="C3924">
            <v>0</v>
          </cell>
          <cell r="D3924">
            <v>0</v>
          </cell>
        </row>
        <row r="3925">
          <cell r="B3925">
            <v>0</v>
          </cell>
          <cell r="C3925">
            <v>0</v>
          </cell>
          <cell r="D3925">
            <v>0</v>
          </cell>
        </row>
        <row r="3926">
          <cell r="B3926">
            <v>0</v>
          </cell>
          <cell r="C3926">
            <v>0</v>
          </cell>
          <cell r="D3926">
            <v>0</v>
          </cell>
        </row>
        <row r="3927">
          <cell r="B3927">
            <v>0</v>
          </cell>
          <cell r="C3927">
            <v>0</v>
          </cell>
          <cell r="D3927">
            <v>0</v>
          </cell>
        </row>
        <row r="3928">
          <cell r="B3928">
            <v>0</v>
          </cell>
          <cell r="C3928">
            <v>0</v>
          </cell>
          <cell r="D3928">
            <v>0</v>
          </cell>
        </row>
        <row r="3929">
          <cell r="B3929">
            <v>0</v>
          </cell>
          <cell r="C3929">
            <v>0</v>
          </cell>
          <cell r="D3929">
            <v>0</v>
          </cell>
        </row>
        <row r="3930">
          <cell r="B3930">
            <v>0</v>
          </cell>
          <cell r="C3930">
            <v>0</v>
          </cell>
          <cell r="D3930">
            <v>0</v>
          </cell>
        </row>
        <row r="3931">
          <cell r="B3931">
            <v>0</v>
          </cell>
          <cell r="C3931">
            <v>0</v>
          </cell>
          <cell r="D3931">
            <v>0</v>
          </cell>
        </row>
        <row r="3932">
          <cell r="B3932">
            <v>0</v>
          </cell>
          <cell r="C3932">
            <v>0</v>
          </cell>
          <cell r="D3932">
            <v>0</v>
          </cell>
        </row>
        <row r="3933">
          <cell r="B3933">
            <v>0</v>
          </cell>
          <cell r="C3933">
            <v>0</v>
          </cell>
          <cell r="D3933">
            <v>0</v>
          </cell>
        </row>
        <row r="3934">
          <cell r="B3934">
            <v>0</v>
          </cell>
          <cell r="C3934">
            <v>0</v>
          </cell>
          <cell r="D3934">
            <v>0</v>
          </cell>
        </row>
        <row r="3935">
          <cell r="B3935">
            <v>0</v>
          </cell>
          <cell r="C3935">
            <v>0</v>
          </cell>
          <cell r="D3935">
            <v>0</v>
          </cell>
        </row>
        <row r="3936">
          <cell r="B3936">
            <v>0</v>
          </cell>
          <cell r="C3936">
            <v>0</v>
          </cell>
          <cell r="D3936">
            <v>0</v>
          </cell>
        </row>
        <row r="3937">
          <cell r="B3937">
            <v>0</v>
          </cell>
          <cell r="C3937">
            <v>0</v>
          </cell>
          <cell r="D3937">
            <v>0</v>
          </cell>
        </row>
        <row r="3938">
          <cell r="B3938">
            <v>0</v>
          </cell>
          <cell r="C3938">
            <v>0</v>
          </cell>
          <cell r="D3938">
            <v>0</v>
          </cell>
        </row>
        <row r="3939">
          <cell r="B3939">
            <v>0</v>
          </cell>
          <cell r="C3939">
            <v>0</v>
          </cell>
          <cell r="D3939">
            <v>0</v>
          </cell>
        </row>
        <row r="3940">
          <cell r="B3940">
            <v>0</v>
          </cell>
          <cell r="C3940">
            <v>0</v>
          </cell>
          <cell r="D3940">
            <v>0</v>
          </cell>
        </row>
        <row r="3941">
          <cell r="B3941">
            <v>0</v>
          </cell>
          <cell r="C3941">
            <v>0</v>
          </cell>
          <cell r="D3941">
            <v>0</v>
          </cell>
        </row>
        <row r="3942">
          <cell r="B3942">
            <v>0</v>
          </cell>
          <cell r="C3942">
            <v>0</v>
          </cell>
          <cell r="D3942">
            <v>0</v>
          </cell>
        </row>
        <row r="3943">
          <cell r="B3943">
            <v>0</v>
          </cell>
          <cell r="C3943">
            <v>0</v>
          </cell>
          <cell r="D3943">
            <v>0</v>
          </cell>
        </row>
        <row r="3944">
          <cell r="B3944">
            <v>0</v>
          </cell>
          <cell r="C3944">
            <v>0</v>
          </cell>
          <cell r="D3944">
            <v>0</v>
          </cell>
        </row>
        <row r="3945">
          <cell r="B3945">
            <v>0</v>
          </cell>
          <cell r="C3945">
            <v>0</v>
          </cell>
          <cell r="D3945">
            <v>0</v>
          </cell>
        </row>
        <row r="3946">
          <cell r="B3946">
            <v>0</v>
          </cell>
          <cell r="C3946">
            <v>0</v>
          </cell>
          <cell r="D3946">
            <v>0</v>
          </cell>
        </row>
        <row r="3947">
          <cell r="B3947">
            <v>0</v>
          </cell>
          <cell r="C3947">
            <v>0</v>
          </cell>
          <cell r="D3947">
            <v>0</v>
          </cell>
        </row>
        <row r="3948">
          <cell r="B3948">
            <v>0</v>
          </cell>
          <cell r="C3948">
            <v>0</v>
          </cell>
          <cell r="D3948">
            <v>0</v>
          </cell>
        </row>
        <row r="3949">
          <cell r="B3949">
            <v>0</v>
          </cell>
          <cell r="C3949">
            <v>0</v>
          </cell>
          <cell r="D3949">
            <v>0</v>
          </cell>
        </row>
        <row r="3950">
          <cell r="B3950">
            <v>0</v>
          </cell>
          <cell r="C3950">
            <v>0</v>
          </cell>
          <cell r="D3950">
            <v>0</v>
          </cell>
        </row>
        <row r="3951">
          <cell r="B3951">
            <v>0</v>
          </cell>
          <cell r="C3951">
            <v>0</v>
          </cell>
          <cell r="D3951">
            <v>0</v>
          </cell>
        </row>
        <row r="3952">
          <cell r="B3952">
            <v>0</v>
          </cell>
          <cell r="C3952">
            <v>0</v>
          </cell>
          <cell r="D3952">
            <v>0</v>
          </cell>
        </row>
        <row r="3953">
          <cell r="B3953">
            <v>0</v>
          </cell>
          <cell r="C3953">
            <v>0</v>
          </cell>
          <cell r="D3953">
            <v>0</v>
          </cell>
        </row>
        <row r="3954">
          <cell r="B3954">
            <v>0</v>
          </cell>
          <cell r="C3954">
            <v>0</v>
          </cell>
          <cell r="D3954">
            <v>0</v>
          </cell>
        </row>
        <row r="3955">
          <cell r="B3955">
            <v>0</v>
          </cell>
          <cell r="C3955">
            <v>0</v>
          </cell>
          <cell r="D3955">
            <v>0</v>
          </cell>
        </row>
        <row r="3956">
          <cell r="B3956">
            <v>0</v>
          </cell>
          <cell r="C3956">
            <v>0</v>
          </cell>
          <cell r="D3956">
            <v>0</v>
          </cell>
        </row>
        <row r="3957">
          <cell r="B3957">
            <v>0</v>
          </cell>
          <cell r="C3957">
            <v>0</v>
          </cell>
          <cell r="D3957">
            <v>0</v>
          </cell>
        </row>
        <row r="3958">
          <cell r="B3958">
            <v>0</v>
          </cell>
          <cell r="C3958">
            <v>0</v>
          </cell>
          <cell r="D3958">
            <v>0</v>
          </cell>
        </row>
        <row r="3959">
          <cell r="B3959">
            <v>0</v>
          </cell>
          <cell r="C3959">
            <v>0</v>
          </cell>
          <cell r="D3959">
            <v>0</v>
          </cell>
        </row>
        <row r="3960">
          <cell r="B3960">
            <v>0</v>
          </cell>
          <cell r="C3960">
            <v>0</v>
          </cell>
          <cell r="D3960">
            <v>0</v>
          </cell>
        </row>
        <row r="3961">
          <cell r="B3961">
            <v>0</v>
          </cell>
          <cell r="C3961">
            <v>0</v>
          </cell>
          <cell r="D3961">
            <v>0</v>
          </cell>
        </row>
        <row r="3962">
          <cell r="B3962">
            <v>0</v>
          </cell>
          <cell r="C3962">
            <v>0</v>
          </cell>
          <cell r="D3962">
            <v>0</v>
          </cell>
        </row>
        <row r="3963">
          <cell r="B3963">
            <v>0</v>
          </cell>
          <cell r="C3963">
            <v>0</v>
          </cell>
          <cell r="D3963">
            <v>0</v>
          </cell>
        </row>
        <row r="3964">
          <cell r="B3964">
            <v>0</v>
          </cell>
          <cell r="C3964">
            <v>0</v>
          </cell>
          <cell r="D3964">
            <v>0</v>
          </cell>
        </row>
        <row r="3965">
          <cell r="B3965">
            <v>0</v>
          </cell>
          <cell r="C3965">
            <v>0</v>
          </cell>
          <cell r="D3965">
            <v>0</v>
          </cell>
        </row>
        <row r="3966">
          <cell r="B3966">
            <v>0</v>
          </cell>
          <cell r="C3966">
            <v>0</v>
          </cell>
          <cell r="D3966">
            <v>0</v>
          </cell>
        </row>
        <row r="3967">
          <cell r="B3967">
            <v>0</v>
          </cell>
          <cell r="C3967">
            <v>0</v>
          </cell>
          <cell r="D3967">
            <v>0</v>
          </cell>
        </row>
        <row r="3968">
          <cell r="B3968">
            <v>0</v>
          </cell>
          <cell r="C3968">
            <v>0</v>
          </cell>
          <cell r="D3968">
            <v>0</v>
          </cell>
        </row>
        <row r="3969">
          <cell r="B3969">
            <v>0</v>
          </cell>
          <cell r="C3969">
            <v>0</v>
          </cell>
          <cell r="D3969">
            <v>0</v>
          </cell>
        </row>
        <row r="3970">
          <cell r="B3970">
            <v>0</v>
          </cell>
          <cell r="C3970">
            <v>0</v>
          </cell>
          <cell r="D3970">
            <v>0</v>
          </cell>
        </row>
        <row r="3971">
          <cell r="B3971">
            <v>0</v>
          </cell>
          <cell r="C3971">
            <v>0</v>
          </cell>
          <cell r="D3971">
            <v>0</v>
          </cell>
        </row>
        <row r="3972">
          <cell r="B3972">
            <v>0</v>
          </cell>
          <cell r="C3972">
            <v>0</v>
          </cell>
          <cell r="D3972">
            <v>0</v>
          </cell>
        </row>
        <row r="3973">
          <cell r="B3973">
            <v>0</v>
          </cell>
          <cell r="C3973">
            <v>0</v>
          </cell>
          <cell r="D3973">
            <v>0</v>
          </cell>
        </row>
        <row r="3974">
          <cell r="B3974">
            <v>0</v>
          </cell>
          <cell r="C3974">
            <v>0</v>
          </cell>
          <cell r="D3974">
            <v>0</v>
          </cell>
        </row>
        <row r="3975">
          <cell r="B3975">
            <v>0</v>
          </cell>
          <cell r="C3975">
            <v>0</v>
          </cell>
          <cell r="D3975">
            <v>0</v>
          </cell>
        </row>
        <row r="3976">
          <cell r="B3976">
            <v>0</v>
          </cell>
          <cell r="C3976">
            <v>0</v>
          </cell>
          <cell r="D3976">
            <v>0</v>
          </cell>
        </row>
        <row r="3977">
          <cell r="B3977">
            <v>0</v>
          </cell>
          <cell r="C3977">
            <v>0</v>
          </cell>
          <cell r="D3977">
            <v>0</v>
          </cell>
        </row>
        <row r="3978">
          <cell r="B3978">
            <v>0</v>
          </cell>
          <cell r="C3978">
            <v>0</v>
          </cell>
          <cell r="D3978">
            <v>0</v>
          </cell>
        </row>
        <row r="3979">
          <cell r="B3979">
            <v>0</v>
          </cell>
          <cell r="C3979">
            <v>0</v>
          </cell>
          <cell r="D3979">
            <v>0</v>
          </cell>
        </row>
        <row r="3980">
          <cell r="B3980">
            <v>0</v>
          </cell>
          <cell r="C3980">
            <v>0</v>
          </cell>
          <cell r="D3980">
            <v>0</v>
          </cell>
        </row>
        <row r="3981">
          <cell r="B3981">
            <v>0</v>
          </cell>
          <cell r="C3981">
            <v>0</v>
          </cell>
          <cell r="D3981">
            <v>0</v>
          </cell>
        </row>
        <row r="3982">
          <cell r="B3982">
            <v>0</v>
          </cell>
          <cell r="C3982">
            <v>0</v>
          </cell>
          <cell r="D3982">
            <v>0</v>
          </cell>
        </row>
        <row r="3983">
          <cell r="B3983">
            <v>0</v>
          </cell>
          <cell r="C3983">
            <v>0</v>
          </cell>
          <cell r="D3983">
            <v>0</v>
          </cell>
        </row>
        <row r="3984">
          <cell r="B3984">
            <v>0</v>
          </cell>
          <cell r="C3984">
            <v>0</v>
          </cell>
          <cell r="D3984">
            <v>0</v>
          </cell>
        </row>
        <row r="3985">
          <cell r="B3985">
            <v>0</v>
          </cell>
          <cell r="C3985">
            <v>0</v>
          </cell>
          <cell r="D3985">
            <v>0</v>
          </cell>
        </row>
        <row r="3986">
          <cell r="B3986">
            <v>0</v>
          </cell>
          <cell r="C3986">
            <v>0</v>
          </cell>
          <cell r="D3986">
            <v>0</v>
          </cell>
        </row>
        <row r="3987">
          <cell r="B3987">
            <v>0</v>
          </cell>
          <cell r="C3987">
            <v>0</v>
          </cell>
          <cell r="D3987">
            <v>0</v>
          </cell>
        </row>
        <row r="3988">
          <cell r="B3988">
            <v>0</v>
          </cell>
          <cell r="C3988">
            <v>0</v>
          </cell>
          <cell r="D3988">
            <v>0</v>
          </cell>
        </row>
        <row r="3989">
          <cell r="B3989">
            <v>0</v>
          </cell>
          <cell r="C3989">
            <v>0</v>
          </cell>
          <cell r="D3989">
            <v>0</v>
          </cell>
        </row>
        <row r="3990">
          <cell r="B3990">
            <v>0</v>
          </cell>
          <cell r="C3990">
            <v>0</v>
          </cell>
          <cell r="D3990">
            <v>0</v>
          </cell>
        </row>
        <row r="3991">
          <cell r="B3991">
            <v>0</v>
          </cell>
          <cell r="C3991">
            <v>0</v>
          </cell>
          <cell r="D3991">
            <v>0</v>
          </cell>
        </row>
        <row r="3992">
          <cell r="B3992">
            <v>0</v>
          </cell>
          <cell r="C3992">
            <v>0</v>
          </cell>
          <cell r="D3992">
            <v>0</v>
          </cell>
        </row>
        <row r="3993">
          <cell r="B3993">
            <v>0</v>
          </cell>
          <cell r="C3993">
            <v>0</v>
          </cell>
          <cell r="D3993">
            <v>0</v>
          </cell>
        </row>
        <row r="3994">
          <cell r="B3994">
            <v>0</v>
          </cell>
          <cell r="C3994">
            <v>0</v>
          </cell>
          <cell r="D3994">
            <v>0</v>
          </cell>
        </row>
        <row r="3995">
          <cell r="B3995">
            <v>0</v>
          </cell>
          <cell r="C3995">
            <v>0</v>
          </cell>
          <cell r="D3995">
            <v>0</v>
          </cell>
        </row>
        <row r="3996">
          <cell r="B3996">
            <v>0</v>
          </cell>
          <cell r="C3996">
            <v>0</v>
          </cell>
          <cell r="D3996">
            <v>0</v>
          </cell>
        </row>
        <row r="3997">
          <cell r="B3997">
            <v>0</v>
          </cell>
          <cell r="C3997">
            <v>0</v>
          </cell>
          <cell r="D3997">
            <v>0</v>
          </cell>
        </row>
        <row r="3998">
          <cell r="B3998">
            <v>0</v>
          </cell>
          <cell r="C3998">
            <v>0</v>
          </cell>
          <cell r="D3998">
            <v>0</v>
          </cell>
        </row>
        <row r="3999">
          <cell r="B3999">
            <v>0</v>
          </cell>
          <cell r="C3999">
            <v>0</v>
          </cell>
          <cell r="D3999">
            <v>0</v>
          </cell>
        </row>
        <row r="4000">
          <cell r="B4000">
            <v>0</v>
          </cell>
          <cell r="C4000">
            <v>0</v>
          </cell>
          <cell r="D4000">
            <v>0</v>
          </cell>
        </row>
        <row r="4001">
          <cell r="B4001">
            <v>0</v>
          </cell>
          <cell r="C4001">
            <v>0</v>
          </cell>
          <cell r="D4001">
            <v>0</v>
          </cell>
        </row>
        <row r="4002">
          <cell r="B4002">
            <v>0</v>
          </cell>
          <cell r="C4002">
            <v>0</v>
          </cell>
          <cell r="D4002">
            <v>0</v>
          </cell>
        </row>
        <row r="4003">
          <cell r="B4003">
            <v>0</v>
          </cell>
          <cell r="C4003">
            <v>0</v>
          </cell>
          <cell r="D4003">
            <v>0</v>
          </cell>
        </row>
        <row r="4004">
          <cell r="B4004">
            <v>0</v>
          </cell>
          <cell r="C4004">
            <v>0</v>
          </cell>
          <cell r="D4004">
            <v>0</v>
          </cell>
        </row>
        <row r="4005">
          <cell r="B4005">
            <v>0</v>
          </cell>
          <cell r="C4005">
            <v>0</v>
          </cell>
          <cell r="D4005">
            <v>0</v>
          </cell>
        </row>
        <row r="4006">
          <cell r="B4006">
            <v>0</v>
          </cell>
          <cell r="C4006">
            <v>0</v>
          </cell>
          <cell r="D4006">
            <v>0</v>
          </cell>
        </row>
        <row r="4007">
          <cell r="B4007">
            <v>0</v>
          </cell>
          <cell r="C4007">
            <v>0</v>
          </cell>
          <cell r="D4007">
            <v>0</v>
          </cell>
        </row>
        <row r="4008">
          <cell r="B4008">
            <v>0</v>
          </cell>
          <cell r="C4008">
            <v>0</v>
          </cell>
          <cell r="D4008">
            <v>0</v>
          </cell>
        </row>
        <row r="4009">
          <cell r="B4009">
            <v>0</v>
          </cell>
          <cell r="C4009">
            <v>0</v>
          </cell>
          <cell r="D4009">
            <v>0</v>
          </cell>
        </row>
        <row r="4010">
          <cell r="B4010">
            <v>0</v>
          </cell>
          <cell r="C4010">
            <v>0</v>
          </cell>
          <cell r="D4010">
            <v>0</v>
          </cell>
        </row>
        <row r="4011">
          <cell r="B4011">
            <v>0</v>
          </cell>
          <cell r="C4011">
            <v>0</v>
          </cell>
          <cell r="D4011">
            <v>0</v>
          </cell>
        </row>
        <row r="4012">
          <cell r="B4012">
            <v>0</v>
          </cell>
          <cell r="C4012">
            <v>0</v>
          </cell>
          <cell r="D4012">
            <v>0</v>
          </cell>
        </row>
        <row r="4013">
          <cell r="B4013">
            <v>0</v>
          </cell>
          <cell r="C4013">
            <v>0</v>
          </cell>
          <cell r="D4013">
            <v>0</v>
          </cell>
        </row>
        <row r="4014">
          <cell r="B4014">
            <v>0</v>
          </cell>
          <cell r="C4014">
            <v>0</v>
          </cell>
          <cell r="D4014">
            <v>0</v>
          </cell>
        </row>
        <row r="4015">
          <cell r="B4015">
            <v>0</v>
          </cell>
          <cell r="C4015">
            <v>0</v>
          </cell>
          <cell r="D4015">
            <v>0</v>
          </cell>
        </row>
        <row r="4016">
          <cell r="B4016">
            <v>0</v>
          </cell>
          <cell r="C4016">
            <v>0</v>
          </cell>
          <cell r="D4016">
            <v>0</v>
          </cell>
        </row>
        <row r="4017">
          <cell r="B4017">
            <v>0</v>
          </cell>
          <cell r="C4017">
            <v>0</v>
          </cell>
          <cell r="D4017">
            <v>0</v>
          </cell>
        </row>
        <row r="4018">
          <cell r="B4018">
            <v>0</v>
          </cell>
          <cell r="C4018">
            <v>0</v>
          </cell>
          <cell r="D4018">
            <v>0</v>
          </cell>
        </row>
        <row r="4019">
          <cell r="B4019">
            <v>0</v>
          </cell>
          <cell r="C4019">
            <v>0</v>
          </cell>
          <cell r="D4019">
            <v>0</v>
          </cell>
        </row>
        <row r="4020">
          <cell r="B4020">
            <v>0</v>
          </cell>
          <cell r="C4020">
            <v>0</v>
          </cell>
          <cell r="D4020">
            <v>0</v>
          </cell>
        </row>
        <row r="4021">
          <cell r="B4021">
            <v>0</v>
          </cell>
          <cell r="C4021">
            <v>0</v>
          </cell>
          <cell r="D4021">
            <v>0</v>
          </cell>
        </row>
        <row r="4022">
          <cell r="B4022">
            <v>0</v>
          </cell>
          <cell r="C4022">
            <v>0</v>
          </cell>
          <cell r="D4022">
            <v>0</v>
          </cell>
        </row>
        <row r="4023">
          <cell r="B4023">
            <v>0</v>
          </cell>
          <cell r="C4023">
            <v>0</v>
          </cell>
          <cell r="D4023">
            <v>0</v>
          </cell>
        </row>
        <row r="4024">
          <cell r="B4024">
            <v>0</v>
          </cell>
          <cell r="C4024">
            <v>0</v>
          </cell>
          <cell r="D4024">
            <v>0</v>
          </cell>
        </row>
        <row r="4025">
          <cell r="B4025">
            <v>0</v>
          </cell>
          <cell r="C4025">
            <v>0</v>
          </cell>
          <cell r="D4025">
            <v>0</v>
          </cell>
        </row>
        <row r="4026">
          <cell r="B4026">
            <v>0</v>
          </cell>
          <cell r="C4026">
            <v>0</v>
          </cell>
          <cell r="D4026">
            <v>0</v>
          </cell>
        </row>
        <row r="4027">
          <cell r="B4027">
            <v>0</v>
          </cell>
          <cell r="C4027">
            <v>0</v>
          </cell>
          <cell r="D4027">
            <v>0</v>
          </cell>
        </row>
        <row r="4028">
          <cell r="B4028">
            <v>0</v>
          </cell>
          <cell r="C4028">
            <v>0</v>
          </cell>
          <cell r="D4028">
            <v>0</v>
          </cell>
        </row>
        <row r="4029">
          <cell r="B4029">
            <v>0</v>
          </cell>
          <cell r="C4029">
            <v>0</v>
          </cell>
          <cell r="D4029">
            <v>0</v>
          </cell>
        </row>
        <row r="4030">
          <cell r="B4030">
            <v>0</v>
          </cell>
          <cell r="C4030">
            <v>0</v>
          </cell>
          <cell r="D4030">
            <v>0</v>
          </cell>
        </row>
        <row r="4031">
          <cell r="B4031">
            <v>0</v>
          </cell>
          <cell r="C4031">
            <v>0</v>
          </cell>
          <cell r="D4031">
            <v>0</v>
          </cell>
        </row>
        <row r="4032">
          <cell r="B4032">
            <v>0</v>
          </cell>
          <cell r="C4032">
            <v>0</v>
          </cell>
          <cell r="D4032">
            <v>0</v>
          </cell>
        </row>
        <row r="4033">
          <cell r="B4033">
            <v>0</v>
          </cell>
          <cell r="C4033">
            <v>0</v>
          </cell>
          <cell r="D4033">
            <v>0</v>
          </cell>
        </row>
        <row r="4034">
          <cell r="B4034">
            <v>0</v>
          </cell>
          <cell r="C4034">
            <v>0</v>
          </cell>
          <cell r="D4034">
            <v>0</v>
          </cell>
        </row>
        <row r="4035">
          <cell r="B4035">
            <v>0</v>
          </cell>
          <cell r="C4035">
            <v>0</v>
          </cell>
          <cell r="D4035">
            <v>0</v>
          </cell>
        </row>
        <row r="4036">
          <cell r="B4036">
            <v>0</v>
          </cell>
          <cell r="C4036">
            <v>0</v>
          </cell>
          <cell r="D4036">
            <v>0</v>
          </cell>
        </row>
        <row r="4037">
          <cell r="B4037">
            <v>0</v>
          </cell>
          <cell r="C4037">
            <v>0</v>
          </cell>
          <cell r="D4037">
            <v>0</v>
          </cell>
        </row>
        <row r="4038">
          <cell r="B4038">
            <v>0</v>
          </cell>
          <cell r="C4038">
            <v>0</v>
          </cell>
          <cell r="D4038">
            <v>0</v>
          </cell>
        </row>
        <row r="4039">
          <cell r="B4039">
            <v>0</v>
          </cell>
          <cell r="C4039">
            <v>0</v>
          </cell>
          <cell r="D4039">
            <v>0</v>
          </cell>
        </row>
        <row r="4040">
          <cell r="B4040">
            <v>0</v>
          </cell>
          <cell r="C4040">
            <v>0</v>
          </cell>
          <cell r="D4040">
            <v>0</v>
          </cell>
        </row>
        <row r="4041">
          <cell r="B4041">
            <v>0</v>
          </cell>
          <cell r="C4041">
            <v>0</v>
          </cell>
          <cell r="D4041">
            <v>0</v>
          </cell>
        </row>
        <row r="4042">
          <cell r="B4042">
            <v>0</v>
          </cell>
          <cell r="C4042">
            <v>0</v>
          </cell>
          <cell r="D4042">
            <v>0</v>
          </cell>
        </row>
        <row r="4043">
          <cell r="B4043">
            <v>0</v>
          </cell>
          <cell r="C4043">
            <v>0</v>
          </cell>
          <cell r="D4043">
            <v>0</v>
          </cell>
        </row>
        <row r="4044">
          <cell r="B4044">
            <v>0</v>
          </cell>
          <cell r="C4044">
            <v>0</v>
          </cell>
          <cell r="D4044">
            <v>0</v>
          </cell>
        </row>
        <row r="4045">
          <cell r="B4045">
            <v>0</v>
          </cell>
          <cell r="C4045">
            <v>0</v>
          </cell>
          <cell r="D4045">
            <v>0</v>
          </cell>
        </row>
        <row r="4046">
          <cell r="B4046">
            <v>0</v>
          </cell>
          <cell r="C4046">
            <v>0</v>
          </cell>
          <cell r="D4046">
            <v>0</v>
          </cell>
        </row>
        <row r="4047">
          <cell r="B4047">
            <v>0</v>
          </cell>
          <cell r="C4047">
            <v>0</v>
          </cell>
          <cell r="D4047">
            <v>0</v>
          </cell>
        </row>
        <row r="4048">
          <cell r="B4048">
            <v>0</v>
          </cell>
          <cell r="C4048">
            <v>0</v>
          </cell>
          <cell r="D4048">
            <v>0</v>
          </cell>
        </row>
        <row r="4049">
          <cell r="B4049">
            <v>0</v>
          </cell>
          <cell r="C4049">
            <v>0</v>
          </cell>
          <cell r="D4049">
            <v>0</v>
          </cell>
        </row>
        <row r="4050">
          <cell r="B4050">
            <v>0</v>
          </cell>
          <cell r="C4050">
            <v>0</v>
          </cell>
          <cell r="D4050">
            <v>0</v>
          </cell>
        </row>
        <row r="4051">
          <cell r="B4051">
            <v>0</v>
          </cell>
          <cell r="C4051">
            <v>0</v>
          </cell>
          <cell r="D4051">
            <v>0</v>
          </cell>
        </row>
        <row r="4052">
          <cell r="B4052">
            <v>0</v>
          </cell>
          <cell r="C4052">
            <v>0</v>
          </cell>
          <cell r="D4052">
            <v>0</v>
          </cell>
        </row>
        <row r="4053">
          <cell r="B4053">
            <v>0</v>
          </cell>
          <cell r="C4053">
            <v>0</v>
          </cell>
          <cell r="D4053">
            <v>0</v>
          </cell>
        </row>
        <row r="4054">
          <cell r="B4054">
            <v>0</v>
          </cell>
          <cell r="C4054">
            <v>0</v>
          </cell>
          <cell r="D4054">
            <v>0</v>
          </cell>
        </row>
        <row r="4055">
          <cell r="B4055">
            <v>0</v>
          </cell>
          <cell r="C4055">
            <v>0</v>
          </cell>
          <cell r="D4055">
            <v>0</v>
          </cell>
        </row>
        <row r="4056">
          <cell r="B4056">
            <v>0</v>
          </cell>
          <cell r="C4056">
            <v>0</v>
          </cell>
          <cell r="D4056">
            <v>0</v>
          </cell>
        </row>
        <row r="4057">
          <cell r="B4057">
            <v>0</v>
          </cell>
          <cell r="C4057">
            <v>0</v>
          </cell>
          <cell r="D4057">
            <v>0</v>
          </cell>
        </row>
        <row r="4058">
          <cell r="B4058">
            <v>0</v>
          </cell>
          <cell r="C4058">
            <v>0</v>
          </cell>
          <cell r="D4058">
            <v>0</v>
          </cell>
        </row>
        <row r="4059">
          <cell r="B4059">
            <v>0</v>
          </cell>
          <cell r="C4059">
            <v>0</v>
          </cell>
          <cell r="D4059">
            <v>0</v>
          </cell>
        </row>
        <row r="4060">
          <cell r="B4060">
            <v>0</v>
          </cell>
          <cell r="C4060">
            <v>0</v>
          </cell>
          <cell r="D4060">
            <v>0</v>
          </cell>
        </row>
        <row r="4061">
          <cell r="B4061">
            <v>0</v>
          </cell>
          <cell r="C4061">
            <v>0</v>
          </cell>
          <cell r="D4061">
            <v>0</v>
          </cell>
        </row>
        <row r="4062">
          <cell r="B4062">
            <v>0</v>
          </cell>
          <cell r="C4062">
            <v>0</v>
          </cell>
          <cell r="D4062">
            <v>0</v>
          </cell>
        </row>
        <row r="4063">
          <cell r="B4063">
            <v>0</v>
          </cell>
          <cell r="C4063">
            <v>0</v>
          </cell>
          <cell r="D4063">
            <v>0</v>
          </cell>
        </row>
        <row r="4064">
          <cell r="B4064">
            <v>0</v>
          </cell>
          <cell r="C4064">
            <v>0</v>
          </cell>
          <cell r="D4064">
            <v>0</v>
          </cell>
        </row>
        <row r="4065">
          <cell r="B4065">
            <v>0</v>
          </cell>
          <cell r="C4065">
            <v>0</v>
          </cell>
          <cell r="D4065">
            <v>0</v>
          </cell>
        </row>
        <row r="4066">
          <cell r="B4066">
            <v>0</v>
          </cell>
          <cell r="C4066">
            <v>0</v>
          </cell>
          <cell r="D4066">
            <v>0</v>
          </cell>
        </row>
        <row r="4067">
          <cell r="B4067">
            <v>0</v>
          </cell>
          <cell r="C4067">
            <v>0</v>
          </cell>
          <cell r="D4067">
            <v>0</v>
          </cell>
        </row>
        <row r="4068">
          <cell r="B4068">
            <v>0</v>
          </cell>
          <cell r="C4068">
            <v>0</v>
          </cell>
          <cell r="D4068">
            <v>0</v>
          </cell>
        </row>
        <row r="4069">
          <cell r="B4069">
            <v>0</v>
          </cell>
          <cell r="C4069">
            <v>0</v>
          </cell>
          <cell r="D4069">
            <v>0</v>
          </cell>
        </row>
        <row r="4070">
          <cell r="B4070">
            <v>0</v>
          </cell>
          <cell r="C4070">
            <v>0</v>
          </cell>
          <cell r="D4070">
            <v>0</v>
          </cell>
        </row>
        <row r="4071">
          <cell r="B4071">
            <v>0</v>
          </cell>
          <cell r="C4071">
            <v>0</v>
          </cell>
          <cell r="D4071">
            <v>0</v>
          </cell>
        </row>
        <row r="4072">
          <cell r="B4072">
            <v>0</v>
          </cell>
          <cell r="C4072">
            <v>0</v>
          </cell>
          <cell r="D4072">
            <v>0</v>
          </cell>
        </row>
        <row r="4073">
          <cell r="B4073">
            <v>0</v>
          </cell>
          <cell r="C4073">
            <v>0</v>
          </cell>
          <cell r="D4073">
            <v>0</v>
          </cell>
        </row>
        <row r="4074">
          <cell r="B4074">
            <v>0</v>
          </cell>
          <cell r="C4074">
            <v>0</v>
          </cell>
          <cell r="D4074">
            <v>0</v>
          </cell>
        </row>
        <row r="4075">
          <cell r="B4075">
            <v>0</v>
          </cell>
          <cell r="C4075">
            <v>0</v>
          </cell>
          <cell r="D4075">
            <v>0</v>
          </cell>
        </row>
        <row r="4076">
          <cell r="B4076">
            <v>0</v>
          </cell>
          <cell r="C4076">
            <v>0</v>
          </cell>
          <cell r="D4076">
            <v>0</v>
          </cell>
        </row>
        <row r="4077">
          <cell r="B4077">
            <v>0</v>
          </cell>
          <cell r="C4077">
            <v>0</v>
          </cell>
          <cell r="D4077">
            <v>0</v>
          </cell>
        </row>
        <row r="4078">
          <cell r="B4078">
            <v>0</v>
          </cell>
          <cell r="C4078">
            <v>0</v>
          </cell>
          <cell r="D4078">
            <v>0</v>
          </cell>
        </row>
        <row r="4079">
          <cell r="B4079">
            <v>0</v>
          </cell>
          <cell r="C4079">
            <v>0</v>
          </cell>
          <cell r="D4079">
            <v>0</v>
          </cell>
        </row>
        <row r="4080">
          <cell r="B4080">
            <v>0</v>
          </cell>
          <cell r="C4080">
            <v>0</v>
          </cell>
          <cell r="D4080">
            <v>0</v>
          </cell>
        </row>
        <row r="4081">
          <cell r="B4081">
            <v>0</v>
          </cell>
          <cell r="C4081">
            <v>0</v>
          </cell>
          <cell r="D4081">
            <v>0</v>
          </cell>
        </row>
        <row r="4082">
          <cell r="B4082">
            <v>0</v>
          </cell>
          <cell r="C4082">
            <v>0</v>
          </cell>
          <cell r="D4082">
            <v>0</v>
          </cell>
        </row>
        <row r="4083">
          <cell r="B4083">
            <v>0</v>
          </cell>
          <cell r="C4083">
            <v>0</v>
          </cell>
          <cell r="D4083">
            <v>0</v>
          </cell>
        </row>
        <row r="4084">
          <cell r="B4084">
            <v>0</v>
          </cell>
          <cell r="C4084">
            <v>0</v>
          </cell>
          <cell r="D4084">
            <v>0</v>
          </cell>
        </row>
        <row r="4085">
          <cell r="B4085">
            <v>0</v>
          </cell>
          <cell r="C4085">
            <v>0</v>
          </cell>
          <cell r="D4085">
            <v>0</v>
          </cell>
        </row>
        <row r="4086">
          <cell r="B4086">
            <v>0</v>
          </cell>
          <cell r="C4086">
            <v>0</v>
          </cell>
          <cell r="D4086">
            <v>0</v>
          </cell>
        </row>
        <row r="4087">
          <cell r="B4087">
            <v>0</v>
          </cell>
          <cell r="C4087">
            <v>0</v>
          </cell>
          <cell r="D4087">
            <v>0</v>
          </cell>
        </row>
        <row r="4088">
          <cell r="B4088">
            <v>0</v>
          </cell>
          <cell r="C4088">
            <v>0</v>
          </cell>
          <cell r="D4088">
            <v>0</v>
          </cell>
        </row>
        <row r="4089">
          <cell r="B4089">
            <v>0</v>
          </cell>
          <cell r="C4089">
            <v>0</v>
          </cell>
          <cell r="D4089">
            <v>0</v>
          </cell>
        </row>
        <row r="4090">
          <cell r="B4090">
            <v>0</v>
          </cell>
          <cell r="C4090">
            <v>0</v>
          </cell>
          <cell r="D4090">
            <v>0</v>
          </cell>
        </row>
        <row r="4091">
          <cell r="B4091">
            <v>0</v>
          </cell>
          <cell r="C4091">
            <v>0</v>
          </cell>
          <cell r="D4091">
            <v>0</v>
          </cell>
        </row>
        <row r="4092">
          <cell r="B4092">
            <v>0</v>
          </cell>
          <cell r="C4092">
            <v>0</v>
          </cell>
          <cell r="D4092">
            <v>0</v>
          </cell>
        </row>
        <row r="4093">
          <cell r="B4093">
            <v>0</v>
          </cell>
          <cell r="C4093">
            <v>0</v>
          </cell>
          <cell r="D4093">
            <v>0</v>
          </cell>
        </row>
        <row r="4094">
          <cell r="B4094">
            <v>0</v>
          </cell>
          <cell r="C4094">
            <v>0</v>
          </cell>
          <cell r="D4094">
            <v>0</v>
          </cell>
        </row>
        <row r="4095">
          <cell r="B4095">
            <v>0</v>
          </cell>
          <cell r="C4095">
            <v>0</v>
          </cell>
          <cell r="D4095">
            <v>0</v>
          </cell>
        </row>
        <row r="4096">
          <cell r="B4096">
            <v>0</v>
          </cell>
          <cell r="C4096">
            <v>0</v>
          </cell>
          <cell r="D4096">
            <v>0</v>
          </cell>
        </row>
        <row r="4097">
          <cell r="B4097">
            <v>0</v>
          </cell>
          <cell r="C4097">
            <v>0</v>
          </cell>
          <cell r="D4097">
            <v>0</v>
          </cell>
        </row>
        <row r="4098">
          <cell r="B4098">
            <v>0</v>
          </cell>
          <cell r="C4098">
            <v>0</v>
          </cell>
          <cell r="D4098">
            <v>0</v>
          </cell>
        </row>
        <row r="4099">
          <cell r="B4099">
            <v>0</v>
          </cell>
          <cell r="C4099">
            <v>0</v>
          </cell>
          <cell r="D4099">
            <v>0</v>
          </cell>
        </row>
        <row r="4100">
          <cell r="B4100">
            <v>0</v>
          </cell>
          <cell r="C4100">
            <v>0</v>
          </cell>
          <cell r="D4100">
            <v>0</v>
          </cell>
        </row>
        <row r="4101">
          <cell r="B4101">
            <v>0</v>
          </cell>
          <cell r="C4101">
            <v>0</v>
          </cell>
          <cell r="D4101">
            <v>0</v>
          </cell>
        </row>
        <row r="4102">
          <cell r="B4102">
            <v>0</v>
          </cell>
          <cell r="C4102">
            <v>0</v>
          </cell>
          <cell r="D4102">
            <v>0</v>
          </cell>
        </row>
        <row r="4103">
          <cell r="B4103">
            <v>0</v>
          </cell>
          <cell r="C4103">
            <v>0</v>
          </cell>
          <cell r="D4103">
            <v>0</v>
          </cell>
        </row>
        <row r="4104">
          <cell r="B4104">
            <v>0</v>
          </cell>
          <cell r="C4104">
            <v>0</v>
          </cell>
          <cell r="D4104">
            <v>0</v>
          </cell>
        </row>
        <row r="4105">
          <cell r="B4105">
            <v>0</v>
          </cell>
          <cell r="C4105">
            <v>0</v>
          </cell>
          <cell r="D4105">
            <v>0</v>
          </cell>
        </row>
        <row r="4106">
          <cell r="B4106">
            <v>0</v>
          </cell>
          <cell r="C4106">
            <v>0</v>
          </cell>
          <cell r="D4106">
            <v>0</v>
          </cell>
        </row>
        <row r="4107">
          <cell r="B4107">
            <v>0</v>
          </cell>
          <cell r="C4107">
            <v>0</v>
          </cell>
          <cell r="D4107">
            <v>0</v>
          </cell>
        </row>
        <row r="4108">
          <cell r="B4108">
            <v>0</v>
          </cell>
          <cell r="C4108">
            <v>0</v>
          </cell>
          <cell r="D4108">
            <v>0</v>
          </cell>
        </row>
        <row r="4109">
          <cell r="B4109">
            <v>0</v>
          </cell>
          <cell r="C4109">
            <v>0</v>
          </cell>
          <cell r="D4109">
            <v>0</v>
          </cell>
        </row>
        <row r="4110">
          <cell r="B4110">
            <v>0</v>
          </cell>
          <cell r="C4110">
            <v>0</v>
          </cell>
          <cell r="D4110">
            <v>0</v>
          </cell>
        </row>
        <row r="4111">
          <cell r="B4111">
            <v>0</v>
          </cell>
          <cell r="C4111">
            <v>0</v>
          </cell>
          <cell r="D4111">
            <v>0</v>
          </cell>
        </row>
        <row r="4112">
          <cell r="B4112">
            <v>0</v>
          </cell>
          <cell r="C4112">
            <v>0</v>
          </cell>
          <cell r="D4112">
            <v>0</v>
          </cell>
        </row>
        <row r="4113">
          <cell r="B4113">
            <v>0</v>
          </cell>
          <cell r="C4113">
            <v>0</v>
          </cell>
          <cell r="D4113">
            <v>0</v>
          </cell>
        </row>
        <row r="4114">
          <cell r="B4114">
            <v>0</v>
          </cell>
          <cell r="C4114">
            <v>0</v>
          </cell>
          <cell r="D4114">
            <v>0</v>
          </cell>
        </row>
        <row r="4115">
          <cell r="B4115">
            <v>0</v>
          </cell>
          <cell r="C4115">
            <v>0</v>
          </cell>
          <cell r="D4115">
            <v>0</v>
          </cell>
        </row>
        <row r="4116">
          <cell r="B4116">
            <v>0</v>
          </cell>
          <cell r="C4116">
            <v>0</v>
          </cell>
          <cell r="D4116">
            <v>0</v>
          </cell>
        </row>
        <row r="4117">
          <cell r="B4117">
            <v>0</v>
          </cell>
          <cell r="C4117">
            <v>0</v>
          </cell>
          <cell r="D4117">
            <v>0</v>
          </cell>
        </row>
        <row r="4118">
          <cell r="B4118">
            <v>0</v>
          </cell>
          <cell r="C4118">
            <v>0</v>
          </cell>
          <cell r="D4118">
            <v>0</v>
          </cell>
        </row>
        <row r="4119">
          <cell r="B4119">
            <v>0</v>
          </cell>
          <cell r="C4119">
            <v>0</v>
          </cell>
          <cell r="D4119">
            <v>0</v>
          </cell>
        </row>
        <row r="4120">
          <cell r="B4120">
            <v>0</v>
          </cell>
          <cell r="C4120">
            <v>0</v>
          </cell>
          <cell r="D4120">
            <v>0</v>
          </cell>
        </row>
        <row r="4121">
          <cell r="B4121">
            <v>0</v>
          </cell>
          <cell r="C4121">
            <v>0</v>
          </cell>
          <cell r="D4121">
            <v>0</v>
          </cell>
        </row>
        <row r="4122">
          <cell r="B4122">
            <v>0</v>
          </cell>
          <cell r="C4122">
            <v>0</v>
          </cell>
          <cell r="D4122">
            <v>0</v>
          </cell>
        </row>
        <row r="4123">
          <cell r="B4123">
            <v>0</v>
          </cell>
          <cell r="C4123">
            <v>0</v>
          </cell>
          <cell r="D4123">
            <v>0</v>
          </cell>
        </row>
        <row r="4124">
          <cell r="B4124">
            <v>0</v>
          </cell>
          <cell r="C4124">
            <v>0</v>
          </cell>
          <cell r="D4124">
            <v>0</v>
          </cell>
        </row>
        <row r="4125">
          <cell r="B4125">
            <v>0</v>
          </cell>
          <cell r="C4125">
            <v>0</v>
          </cell>
          <cell r="D4125">
            <v>0</v>
          </cell>
        </row>
        <row r="4126">
          <cell r="B4126">
            <v>0</v>
          </cell>
          <cell r="C4126">
            <v>0</v>
          </cell>
          <cell r="D4126">
            <v>0</v>
          </cell>
        </row>
        <row r="4127">
          <cell r="B4127">
            <v>0</v>
          </cell>
          <cell r="C4127">
            <v>0</v>
          </cell>
          <cell r="D4127">
            <v>0</v>
          </cell>
        </row>
        <row r="4128">
          <cell r="B4128">
            <v>0</v>
          </cell>
          <cell r="C4128">
            <v>0</v>
          </cell>
          <cell r="D4128">
            <v>0</v>
          </cell>
        </row>
        <row r="4129">
          <cell r="B4129">
            <v>0</v>
          </cell>
          <cell r="C4129">
            <v>0</v>
          </cell>
          <cell r="D4129">
            <v>0</v>
          </cell>
        </row>
        <row r="4130">
          <cell r="B4130">
            <v>0</v>
          </cell>
          <cell r="C4130">
            <v>0</v>
          </cell>
          <cell r="D4130">
            <v>0</v>
          </cell>
        </row>
        <row r="4131">
          <cell r="B4131">
            <v>0</v>
          </cell>
          <cell r="C4131">
            <v>0</v>
          </cell>
          <cell r="D4131">
            <v>0</v>
          </cell>
        </row>
        <row r="4132">
          <cell r="B4132">
            <v>0</v>
          </cell>
          <cell r="C4132">
            <v>0</v>
          </cell>
          <cell r="D4132">
            <v>0</v>
          </cell>
        </row>
        <row r="4133">
          <cell r="B4133">
            <v>0</v>
          </cell>
          <cell r="C4133">
            <v>0</v>
          </cell>
          <cell r="D4133">
            <v>0</v>
          </cell>
        </row>
        <row r="4134">
          <cell r="B4134">
            <v>0</v>
          </cell>
          <cell r="C4134">
            <v>0</v>
          </cell>
          <cell r="D4134">
            <v>0</v>
          </cell>
        </row>
        <row r="4135">
          <cell r="B4135">
            <v>0</v>
          </cell>
          <cell r="C4135">
            <v>0</v>
          </cell>
          <cell r="D4135">
            <v>0</v>
          </cell>
        </row>
        <row r="4136">
          <cell r="B4136">
            <v>0</v>
          </cell>
          <cell r="C4136">
            <v>0</v>
          </cell>
          <cell r="D4136">
            <v>0</v>
          </cell>
        </row>
        <row r="4137">
          <cell r="B4137">
            <v>0</v>
          </cell>
          <cell r="C4137">
            <v>0</v>
          </cell>
          <cell r="D4137">
            <v>0</v>
          </cell>
        </row>
        <row r="4138">
          <cell r="B4138">
            <v>0</v>
          </cell>
          <cell r="C4138">
            <v>0</v>
          </cell>
          <cell r="D4138">
            <v>0</v>
          </cell>
        </row>
        <row r="4139">
          <cell r="B4139">
            <v>0</v>
          </cell>
          <cell r="C4139">
            <v>0</v>
          </cell>
          <cell r="D4139">
            <v>0</v>
          </cell>
        </row>
        <row r="4140">
          <cell r="B4140">
            <v>0</v>
          </cell>
          <cell r="C4140">
            <v>0</v>
          </cell>
          <cell r="D4140">
            <v>0</v>
          </cell>
        </row>
        <row r="4141">
          <cell r="B4141">
            <v>0</v>
          </cell>
          <cell r="C4141">
            <v>0</v>
          </cell>
          <cell r="D4141">
            <v>0</v>
          </cell>
        </row>
        <row r="4142">
          <cell r="B4142">
            <v>0</v>
          </cell>
          <cell r="C4142">
            <v>0</v>
          </cell>
          <cell r="D4142">
            <v>0</v>
          </cell>
        </row>
        <row r="4143">
          <cell r="B4143">
            <v>0</v>
          </cell>
          <cell r="C4143">
            <v>0</v>
          </cell>
          <cell r="D4143">
            <v>0</v>
          </cell>
        </row>
        <row r="4144">
          <cell r="B4144">
            <v>0</v>
          </cell>
          <cell r="C4144">
            <v>0</v>
          </cell>
          <cell r="D4144">
            <v>0</v>
          </cell>
        </row>
        <row r="4145">
          <cell r="B4145">
            <v>0</v>
          </cell>
          <cell r="C4145">
            <v>0</v>
          </cell>
          <cell r="D4145">
            <v>0</v>
          </cell>
        </row>
        <row r="4146">
          <cell r="B4146">
            <v>0</v>
          </cell>
          <cell r="C4146">
            <v>0</v>
          </cell>
          <cell r="D4146">
            <v>0</v>
          </cell>
        </row>
        <row r="4147">
          <cell r="B4147">
            <v>0</v>
          </cell>
          <cell r="C4147">
            <v>0</v>
          </cell>
          <cell r="D4147">
            <v>0</v>
          </cell>
        </row>
        <row r="4148">
          <cell r="B4148">
            <v>0</v>
          </cell>
          <cell r="C4148">
            <v>0</v>
          </cell>
          <cell r="D4148">
            <v>0</v>
          </cell>
        </row>
        <row r="4149">
          <cell r="B4149">
            <v>0</v>
          </cell>
          <cell r="C4149">
            <v>0</v>
          </cell>
          <cell r="D4149">
            <v>0</v>
          </cell>
        </row>
        <row r="4150">
          <cell r="B4150">
            <v>0</v>
          </cell>
          <cell r="C4150">
            <v>0</v>
          </cell>
          <cell r="D4150">
            <v>0</v>
          </cell>
        </row>
        <row r="4151">
          <cell r="B4151">
            <v>0</v>
          </cell>
          <cell r="C4151">
            <v>0</v>
          </cell>
          <cell r="D4151">
            <v>0</v>
          </cell>
        </row>
        <row r="4152">
          <cell r="B4152">
            <v>0</v>
          </cell>
          <cell r="C4152">
            <v>0</v>
          </cell>
          <cell r="D4152">
            <v>0</v>
          </cell>
        </row>
        <row r="4153">
          <cell r="B4153">
            <v>0</v>
          </cell>
          <cell r="C4153">
            <v>0</v>
          </cell>
          <cell r="D4153">
            <v>0</v>
          </cell>
        </row>
        <row r="4154">
          <cell r="B4154">
            <v>0</v>
          </cell>
          <cell r="C4154">
            <v>0</v>
          </cell>
          <cell r="D4154">
            <v>0</v>
          </cell>
        </row>
        <row r="4155">
          <cell r="B4155">
            <v>0</v>
          </cell>
          <cell r="C4155">
            <v>0</v>
          </cell>
          <cell r="D4155">
            <v>0</v>
          </cell>
        </row>
        <row r="4156">
          <cell r="B4156">
            <v>0</v>
          </cell>
          <cell r="C4156">
            <v>0</v>
          </cell>
          <cell r="D4156">
            <v>0</v>
          </cell>
        </row>
        <row r="4157">
          <cell r="B4157">
            <v>0</v>
          </cell>
          <cell r="C4157">
            <v>0</v>
          </cell>
          <cell r="D4157">
            <v>0</v>
          </cell>
        </row>
        <row r="4158">
          <cell r="B4158">
            <v>0</v>
          </cell>
          <cell r="C4158">
            <v>0</v>
          </cell>
          <cell r="D4158">
            <v>0</v>
          </cell>
        </row>
        <row r="4159">
          <cell r="B4159">
            <v>0</v>
          </cell>
          <cell r="C4159">
            <v>0</v>
          </cell>
          <cell r="D4159">
            <v>0</v>
          </cell>
        </row>
        <row r="4160">
          <cell r="B4160">
            <v>0</v>
          </cell>
          <cell r="C4160">
            <v>0</v>
          </cell>
          <cell r="D4160">
            <v>0</v>
          </cell>
        </row>
        <row r="4161">
          <cell r="B4161">
            <v>0</v>
          </cell>
          <cell r="C4161">
            <v>0</v>
          </cell>
          <cell r="D4161">
            <v>0</v>
          </cell>
        </row>
        <row r="4162">
          <cell r="B4162">
            <v>0</v>
          </cell>
          <cell r="C4162">
            <v>0</v>
          </cell>
          <cell r="D4162">
            <v>0</v>
          </cell>
        </row>
        <row r="4163">
          <cell r="B4163">
            <v>0</v>
          </cell>
          <cell r="C4163">
            <v>0</v>
          </cell>
          <cell r="D4163">
            <v>0</v>
          </cell>
        </row>
        <row r="4164">
          <cell r="B4164">
            <v>0</v>
          </cell>
          <cell r="C4164">
            <v>0</v>
          </cell>
          <cell r="D4164">
            <v>0</v>
          </cell>
        </row>
        <row r="4165">
          <cell r="B4165">
            <v>0</v>
          </cell>
          <cell r="C4165">
            <v>0</v>
          </cell>
          <cell r="D4165">
            <v>0</v>
          </cell>
        </row>
        <row r="4166">
          <cell r="B4166">
            <v>0</v>
          </cell>
          <cell r="C4166">
            <v>0</v>
          </cell>
          <cell r="D4166">
            <v>0</v>
          </cell>
        </row>
        <row r="4167">
          <cell r="B4167">
            <v>0</v>
          </cell>
          <cell r="C4167">
            <v>0</v>
          </cell>
          <cell r="D4167">
            <v>0</v>
          </cell>
        </row>
        <row r="4168">
          <cell r="B4168">
            <v>0</v>
          </cell>
          <cell r="C4168">
            <v>0</v>
          </cell>
          <cell r="D4168">
            <v>0</v>
          </cell>
        </row>
        <row r="4169">
          <cell r="B4169">
            <v>0</v>
          </cell>
          <cell r="C4169">
            <v>0</v>
          </cell>
          <cell r="D4169">
            <v>0</v>
          </cell>
        </row>
        <row r="4170">
          <cell r="B4170">
            <v>0</v>
          </cell>
          <cell r="C4170">
            <v>0</v>
          </cell>
          <cell r="D4170">
            <v>0</v>
          </cell>
        </row>
        <row r="4171">
          <cell r="B4171">
            <v>0</v>
          </cell>
          <cell r="C4171">
            <v>0</v>
          </cell>
          <cell r="D4171">
            <v>0</v>
          </cell>
        </row>
        <row r="4172">
          <cell r="B4172">
            <v>0</v>
          </cell>
          <cell r="C4172">
            <v>0</v>
          </cell>
          <cell r="D4172">
            <v>0</v>
          </cell>
        </row>
        <row r="4173">
          <cell r="B4173">
            <v>0</v>
          </cell>
          <cell r="C4173">
            <v>0</v>
          </cell>
          <cell r="D4173">
            <v>0</v>
          </cell>
        </row>
        <row r="4174">
          <cell r="B4174">
            <v>0</v>
          </cell>
          <cell r="C4174">
            <v>0</v>
          </cell>
          <cell r="D4174">
            <v>0</v>
          </cell>
        </row>
        <row r="4175">
          <cell r="B4175">
            <v>0</v>
          </cell>
          <cell r="C4175">
            <v>0</v>
          </cell>
          <cell r="D4175">
            <v>0</v>
          </cell>
        </row>
        <row r="4176">
          <cell r="B4176">
            <v>0</v>
          </cell>
          <cell r="C4176">
            <v>0</v>
          </cell>
          <cell r="D4176">
            <v>0</v>
          </cell>
        </row>
        <row r="4177">
          <cell r="B4177">
            <v>0</v>
          </cell>
          <cell r="C4177">
            <v>0</v>
          </cell>
          <cell r="D4177">
            <v>0</v>
          </cell>
        </row>
        <row r="4178">
          <cell r="B4178">
            <v>0</v>
          </cell>
          <cell r="C4178">
            <v>0</v>
          </cell>
          <cell r="D4178">
            <v>0</v>
          </cell>
        </row>
        <row r="4179">
          <cell r="B4179">
            <v>0</v>
          </cell>
          <cell r="C4179">
            <v>0</v>
          </cell>
          <cell r="D4179">
            <v>0</v>
          </cell>
        </row>
        <row r="4180">
          <cell r="B4180">
            <v>0</v>
          </cell>
          <cell r="C4180">
            <v>0</v>
          </cell>
          <cell r="D4180">
            <v>0</v>
          </cell>
        </row>
        <row r="4181">
          <cell r="B4181">
            <v>0</v>
          </cell>
          <cell r="C4181">
            <v>0</v>
          </cell>
          <cell r="D4181">
            <v>0</v>
          </cell>
        </row>
        <row r="4182">
          <cell r="B4182">
            <v>0</v>
          </cell>
          <cell r="C4182">
            <v>0</v>
          </cell>
          <cell r="D4182">
            <v>0</v>
          </cell>
        </row>
        <row r="4183">
          <cell r="B4183">
            <v>0</v>
          </cell>
          <cell r="C4183">
            <v>0</v>
          </cell>
          <cell r="D4183">
            <v>0</v>
          </cell>
        </row>
        <row r="4184">
          <cell r="B4184">
            <v>0</v>
          </cell>
          <cell r="C4184">
            <v>0</v>
          </cell>
          <cell r="D4184">
            <v>0</v>
          </cell>
        </row>
        <row r="4185">
          <cell r="B4185">
            <v>0</v>
          </cell>
          <cell r="C4185">
            <v>0</v>
          </cell>
          <cell r="D4185">
            <v>0</v>
          </cell>
        </row>
        <row r="4186">
          <cell r="B4186">
            <v>0</v>
          </cell>
          <cell r="C4186">
            <v>0</v>
          </cell>
          <cell r="D4186">
            <v>0</v>
          </cell>
        </row>
        <row r="4187">
          <cell r="B4187">
            <v>0</v>
          </cell>
          <cell r="C4187">
            <v>0</v>
          </cell>
          <cell r="D4187">
            <v>0</v>
          </cell>
        </row>
        <row r="4188">
          <cell r="B4188">
            <v>0</v>
          </cell>
          <cell r="C4188">
            <v>0</v>
          </cell>
          <cell r="D4188">
            <v>0</v>
          </cell>
        </row>
        <row r="4189">
          <cell r="B4189">
            <v>0</v>
          </cell>
          <cell r="C4189">
            <v>0</v>
          </cell>
          <cell r="D4189">
            <v>0</v>
          </cell>
        </row>
        <row r="4190">
          <cell r="B4190">
            <v>0</v>
          </cell>
          <cell r="C4190">
            <v>0</v>
          </cell>
          <cell r="D4190">
            <v>0</v>
          </cell>
        </row>
        <row r="4191">
          <cell r="B4191">
            <v>0</v>
          </cell>
          <cell r="C4191">
            <v>0</v>
          </cell>
          <cell r="D4191">
            <v>0</v>
          </cell>
        </row>
        <row r="4192">
          <cell r="B4192">
            <v>0</v>
          </cell>
          <cell r="C4192">
            <v>0</v>
          </cell>
          <cell r="D4192">
            <v>0</v>
          </cell>
        </row>
        <row r="4193">
          <cell r="B4193">
            <v>0</v>
          </cell>
          <cell r="C4193">
            <v>0</v>
          </cell>
          <cell r="D4193">
            <v>0</v>
          </cell>
        </row>
        <row r="4194">
          <cell r="B4194">
            <v>0</v>
          </cell>
          <cell r="C4194">
            <v>0</v>
          </cell>
          <cell r="D4194">
            <v>0</v>
          </cell>
        </row>
        <row r="4195">
          <cell r="B4195">
            <v>0</v>
          </cell>
          <cell r="C4195">
            <v>0</v>
          </cell>
          <cell r="D4195">
            <v>0</v>
          </cell>
        </row>
        <row r="4196">
          <cell r="B4196">
            <v>0</v>
          </cell>
          <cell r="C4196">
            <v>0</v>
          </cell>
          <cell r="D4196">
            <v>0</v>
          </cell>
        </row>
        <row r="4197">
          <cell r="B4197">
            <v>0</v>
          </cell>
          <cell r="C4197">
            <v>0</v>
          </cell>
          <cell r="D4197">
            <v>0</v>
          </cell>
        </row>
        <row r="4198">
          <cell r="B4198">
            <v>0</v>
          </cell>
          <cell r="C4198">
            <v>0</v>
          </cell>
          <cell r="D4198">
            <v>0</v>
          </cell>
        </row>
        <row r="4199">
          <cell r="B4199">
            <v>0</v>
          </cell>
          <cell r="C4199">
            <v>0</v>
          </cell>
          <cell r="D4199">
            <v>0</v>
          </cell>
        </row>
        <row r="4200">
          <cell r="B4200">
            <v>0</v>
          </cell>
          <cell r="C4200">
            <v>0</v>
          </cell>
          <cell r="D4200">
            <v>0</v>
          </cell>
        </row>
        <row r="4201">
          <cell r="B4201">
            <v>0</v>
          </cell>
          <cell r="C4201">
            <v>0</v>
          </cell>
          <cell r="D4201">
            <v>0</v>
          </cell>
        </row>
        <row r="4202">
          <cell r="B4202">
            <v>0</v>
          </cell>
          <cell r="C4202">
            <v>0</v>
          </cell>
          <cell r="D4202">
            <v>0</v>
          </cell>
        </row>
        <row r="4203">
          <cell r="B4203">
            <v>0</v>
          </cell>
          <cell r="C4203">
            <v>0</v>
          </cell>
          <cell r="D4203">
            <v>0</v>
          </cell>
        </row>
        <row r="4204">
          <cell r="B4204">
            <v>0</v>
          </cell>
          <cell r="C4204">
            <v>0</v>
          </cell>
          <cell r="D4204">
            <v>0</v>
          </cell>
        </row>
        <row r="4205">
          <cell r="B4205">
            <v>0</v>
          </cell>
          <cell r="C4205">
            <v>0</v>
          </cell>
          <cell r="D4205">
            <v>0</v>
          </cell>
        </row>
        <row r="4206">
          <cell r="B4206">
            <v>0</v>
          </cell>
          <cell r="C4206">
            <v>0</v>
          </cell>
          <cell r="D4206">
            <v>0</v>
          </cell>
        </row>
        <row r="4207">
          <cell r="B4207">
            <v>0</v>
          </cell>
          <cell r="C4207">
            <v>0</v>
          </cell>
          <cell r="D4207">
            <v>0</v>
          </cell>
        </row>
        <row r="4208">
          <cell r="B4208">
            <v>0</v>
          </cell>
          <cell r="C4208">
            <v>0</v>
          </cell>
          <cell r="D4208">
            <v>0</v>
          </cell>
        </row>
        <row r="4209">
          <cell r="B4209">
            <v>0</v>
          </cell>
          <cell r="C4209">
            <v>0</v>
          </cell>
          <cell r="D4209">
            <v>0</v>
          </cell>
        </row>
        <row r="4210">
          <cell r="B4210">
            <v>0</v>
          </cell>
          <cell r="C4210">
            <v>0</v>
          </cell>
          <cell r="D4210">
            <v>0</v>
          </cell>
        </row>
        <row r="4211">
          <cell r="B4211">
            <v>0</v>
          </cell>
          <cell r="C4211">
            <v>0</v>
          </cell>
          <cell r="D4211">
            <v>0</v>
          </cell>
        </row>
        <row r="4212">
          <cell r="B4212">
            <v>0</v>
          </cell>
          <cell r="C4212">
            <v>0</v>
          </cell>
          <cell r="D4212">
            <v>0</v>
          </cell>
        </row>
        <row r="4213">
          <cell r="B4213">
            <v>0</v>
          </cell>
          <cell r="C4213">
            <v>0</v>
          </cell>
          <cell r="D4213">
            <v>0</v>
          </cell>
        </row>
        <row r="4214">
          <cell r="B4214">
            <v>0</v>
          </cell>
          <cell r="C4214">
            <v>0</v>
          </cell>
          <cell r="D4214">
            <v>0</v>
          </cell>
        </row>
        <row r="4215">
          <cell r="B4215">
            <v>0</v>
          </cell>
          <cell r="C4215">
            <v>0</v>
          </cell>
          <cell r="D4215">
            <v>0</v>
          </cell>
        </row>
        <row r="4216">
          <cell r="B4216">
            <v>0</v>
          </cell>
          <cell r="C4216">
            <v>0</v>
          </cell>
          <cell r="D4216">
            <v>0</v>
          </cell>
        </row>
        <row r="4217">
          <cell r="B4217">
            <v>0</v>
          </cell>
          <cell r="C4217">
            <v>0</v>
          </cell>
          <cell r="D4217">
            <v>0</v>
          </cell>
        </row>
        <row r="4218">
          <cell r="B4218">
            <v>0</v>
          </cell>
          <cell r="C4218">
            <v>0</v>
          </cell>
          <cell r="D4218">
            <v>0</v>
          </cell>
        </row>
        <row r="4219">
          <cell r="B4219">
            <v>0</v>
          </cell>
          <cell r="C4219">
            <v>0</v>
          </cell>
          <cell r="D4219">
            <v>0</v>
          </cell>
        </row>
        <row r="4220">
          <cell r="B4220">
            <v>0</v>
          </cell>
          <cell r="C4220">
            <v>0</v>
          </cell>
          <cell r="D4220">
            <v>0</v>
          </cell>
        </row>
        <row r="4221">
          <cell r="B4221">
            <v>0</v>
          </cell>
          <cell r="C4221">
            <v>0</v>
          </cell>
          <cell r="D4221">
            <v>0</v>
          </cell>
        </row>
        <row r="4222">
          <cell r="B4222">
            <v>0</v>
          </cell>
          <cell r="C4222">
            <v>0</v>
          </cell>
          <cell r="D4222">
            <v>0</v>
          </cell>
        </row>
        <row r="4223">
          <cell r="B4223">
            <v>0</v>
          </cell>
          <cell r="C4223">
            <v>0</v>
          </cell>
          <cell r="D4223">
            <v>0</v>
          </cell>
        </row>
        <row r="4224">
          <cell r="B4224">
            <v>0</v>
          </cell>
          <cell r="C4224">
            <v>0</v>
          </cell>
          <cell r="D4224">
            <v>0</v>
          </cell>
        </row>
        <row r="4225">
          <cell r="B4225">
            <v>0</v>
          </cell>
          <cell r="C4225">
            <v>0</v>
          </cell>
          <cell r="D4225">
            <v>0</v>
          </cell>
        </row>
        <row r="4226">
          <cell r="B4226">
            <v>0</v>
          </cell>
          <cell r="C4226">
            <v>0</v>
          </cell>
          <cell r="D4226">
            <v>0</v>
          </cell>
        </row>
        <row r="4227">
          <cell r="B4227">
            <v>0</v>
          </cell>
          <cell r="C4227">
            <v>0</v>
          </cell>
          <cell r="D4227">
            <v>0</v>
          </cell>
        </row>
        <row r="4228">
          <cell r="B4228">
            <v>0</v>
          </cell>
          <cell r="C4228">
            <v>0</v>
          </cell>
          <cell r="D4228">
            <v>0</v>
          </cell>
        </row>
        <row r="4229">
          <cell r="B4229">
            <v>0</v>
          </cell>
          <cell r="C4229">
            <v>0</v>
          </cell>
          <cell r="D4229">
            <v>0</v>
          </cell>
        </row>
        <row r="4230">
          <cell r="B4230">
            <v>0</v>
          </cell>
          <cell r="C4230">
            <v>0</v>
          </cell>
          <cell r="D4230">
            <v>0</v>
          </cell>
        </row>
        <row r="4231">
          <cell r="B4231">
            <v>0</v>
          </cell>
          <cell r="C4231">
            <v>0</v>
          </cell>
          <cell r="D4231">
            <v>0</v>
          </cell>
        </row>
        <row r="4232">
          <cell r="B4232">
            <v>0</v>
          </cell>
          <cell r="C4232">
            <v>0</v>
          </cell>
          <cell r="D4232">
            <v>0</v>
          </cell>
        </row>
        <row r="4233">
          <cell r="B4233">
            <v>0</v>
          </cell>
          <cell r="C4233">
            <v>0</v>
          </cell>
          <cell r="D4233">
            <v>0</v>
          </cell>
        </row>
        <row r="4234">
          <cell r="B4234">
            <v>0</v>
          </cell>
          <cell r="C4234">
            <v>0</v>
          </cell>
          <cell r="D4234">
            <v>0</v>
          </cell>
        </row>
        <row r="4235">
          <cell r="B4235">
            <v>0</v>
          </cell>
          <cell r="C4235">
            <v>0</v>
          </cell>
          <cell r="D4235">
            <v>0</v>
          </cell>
        </row>
        <row r="4236">
          <cell r="B4236">
            <v>0</v>
          </cell>
          <cell r="C4236">
            <v>0</v>
          </cell>
          <cell r="D4236">
            <v>0</v>
          </cell>
        </row>
        <row r="4237">
          <cell r="B4237">
            <v>0</v>
          </cell>
          <cell r="C4237">
            <v>0</v>
          </cell>
          <cell r="D4237">
            <v>0</v>
          </cell>
        </row>
        <row r="4238">
          <cell r="B4238">
            <v>0</v>
          </cell>
          <cell r="C4238">
            <v>0</v>
          </cell>
          <cell r="D4238">
            <v>0</v>
          </cell>
        </row>
        <row r="4239">
          <cell r="B4239">
            <v>0</v>
          </cell>
          <cell r="C4239">
            <v>0</v>
          </cell>
          <cell r="D4239">
            <v>0</v>
          </cell>
        </row>
        <row r="4240">
          <cell r="B4240">
            <v>0</v>
          </cell>
          <cell r="C4240">
            <v>0</v>
          </cell>
          <cell r="D4240">
            <v>0</v>
          </cell>
        </row>
        <row r="4241">
          <cell r="B4241">
            <v>0</v>
          </cell>
          <cell r="C4241">
            <v>0</v>
          </cell>
          <cell r="D4241">
            <v>0</v>
          </cell>
        </row>
        <row r="4242">
          <cell r="B4242">
            <v>0</v>
          </cell>
          <cell r="C4242">
            <v>0</v>
          </cell>
          <cell r="D4242">
            <v>0</v>
          </cell>
        </row>
        <row r="4243">
          <cell r="B4243">
            <v>0</v>
          </cell>
          <cell r="C4243">
            <v>0</v>
          </cell>
          <cell r="D4243">
            <v>0</v>
          </cell>
        </row>
        <row r="4244">
          <cell r="B4244">
            <v>0</v>
          </cell>
          <cell r="C4244">
            <v>0</v>
          </cell>
          <cell r="D4244">
            <v>0</v>
          </cell>
        </row>
        <row r="4245">
          <cell r="B4245">
            <v>0</v>
          </cell>
          <cell r="C4245">
            <v>0</v>
          </cell>
          <cell r="D4245">
            <v>0</v>
          </cell>
        </row>
        <row r="4246">
          <cell r="B4246">
            <v>0</v>
          </cell>
          <cell r="C4246">
            <v>0</v>
          </cell>
          <cell r="D4246">
            <v>0</v>
          </cell>
        </row>
        <row r="4247">
          <cell r="B4247">
            <v>0</v>
          </cell>
          <cell r="C4247">
            <v>0</v>
          </cell>
          <cell r="D4247">
            <v>0</v>
          </cell>
        </row>
        <row r="4248">
          <cell r="B4248">
            <v>0</v>
          </cell>
          <cell r="C4248">
            <v>0</v>
          </cell>
          <cell r="D4248">
            <v>0</v>
          </cell>
        </row>
        <row r="4249">
          <cell r="B4249">
            <v>0</v>
          </cell>
          <cell r="C4249">
            <v>0</v>
          </cell>
          <cell r="D4249">
            <v>0</v>
          </cell>
        </row>
        <row r="4250">
          <cell r="B4250">
            <v>0</v>
          </cell>
          <cell r="C4250">
            <v>0</v>
          </cell>
          <cell r="D4250">
            <v>0</v>
          </cell>
        </row>
        <row r="4251">
          <cell r="B4251">
            <v>0</v>
          </cell>
          <cell r="C4251">
            <v>0</v>
          </cell>
          <cell r="D4251">
            <v>0</v>
          </cell>
        </row>
        <row r="4252">
          <cell r="B4252">
            <v>0</v>
          </cell>
          <cell r="C4252">
            <v>0</v>
          </cell>
          <cell r="D4252">
            <v>0</v>
          </cell>
        </row>
        <row r="4253">
          <cell r="B4253">
            <v>0</v>
          </cell>
          <cell r="C4253">
            <v>0</v>
          </cell>
          <cell r="D4253">
            <v>0</v>
          </cell>
        </row>
        <row r="4254">
          <cell r="B4254">
            <v>0</v>
          </cell>
          <cell r="C4254">
            <v>0</v>
          </cell>
          <cell r="D4254">
            <v>0</v>
          </cell>
        </row>
        <row r="4255">
          <cell r="B4255">
            <v>0</v>
          </cell>
          <cell r="C4255">
            <v>0</v>
          </cell>
          <cell r="D4255">
            <v>0</v>
          </cell>
        </row>
        <row r="4256">
          <cell r="B4256">
            <v>0</v>
          </cell>
          <cell r="C4256">
            <v>0</v>
          </cell>
          <cell r="D4256">
            <v>0</v>
          </cell>
        </row>
        <row r="4257">
          <cell r="B4257">
            <v>0</v>
          </cell>
          <cell r="C4257">
            <v>0</v>
          </cell>
          <cell r="D4257">
            <v>0</v>
          </cell>
        </row>
        <row r="4258">
          <cell r="B4258">
            <v>0</v>
          </cell>
          <cell r="C4258">
            <v>0</v>
          </cell>
          <cell r="D4258">
            <v>0</v>
          </cell>
        </row>
        <row r="4259">
          <cell r="B4259">
            <v>0</v>
          </cell>
          <cell r="C4259">
            <v>0</v>
          </cell>
          <cell r="D4259">
            <v>0</v>
          </cell>
        </row>
        <row r="4260">
          <cell r="B4260">
            <v>0</v>
          </cell>
          <cell r="C4260">
            <v>0</v>
          </cell>
          <cell r="D4260">
            <v>0</v>
          </cell>
        </row>
        <row r="4261">
          <cell r="B4261">
            <v>0</v>
          </cell>
          <cell r="C4261">
            <v>0</v>
          </cell>
          <cell r="D4261">
            <v>0</v>
          </cell>
        </row>
        <row r="4262">
          <cell r="B4262">
            <v>0</v>
          </cell>
          <cell r="C4262">
            <v>0</v>
          </cell>
          <cell r="D4262">
            <v>0</v>
          </cell>
        </row>
        <row r="4263">
          <cell r="B4263">
            <v>0</v>
          </cell>
          <cell r="C4263">
            <v>0</v>
          </cell>
          <cell r="D4263">
            <v>0</v>
          </cell>
        </row>
        <row r="4264">
          <cell r="B4264">
            <v>0</v>
          </cell>
          <cell r="C4264">
            <v>0</v>
          </cell>
          <cell r="D4264">
            <v>0</v>
          </cell>
        </row>
        <row r="4265">
          <cell r="B4265">
            <v>0</v>
          </cell>
          <cell r="C4265">
            <v>0</v>
          </cell>
          <cell r="D4265">
            <v>0</v>
          </cell>
        </row>
        <row r="4266">
          <cell r="B4266">
            <v>0</v>
          </cell>
          <cell r="C4266">
            <v>0</v>
          </cell>
          <cell r="D4266">
            <v>0</v>
          </cell>
        </row>
        <row r="4267">
          <cell r="B4267">
            <v>0</v>
          </cell>
          <cell r="C4267">
            <v>0</v>
          </cell>
          <cell r="D4267">
            <v>0</v>
          </cell>
        </row>
        <row r="4268">
          <cell r="B4268">
            <v>0</v>
          </cell>
          <cell r="C4268">
            <v>0</v>
          </cell>
          <cell r="D4268">
            <v>0</v>
          </cell>
        </row>
        <row r="4269">
          <cell r="B4269">
            <v>0</v>
          </cell>
          <cell r="C4269">
            <v>0</v>
          </cell>
          <cell r="D4269">
            <v>0</v>
          </cell>
        </row>
        <row r="4270">
          <cell r="B4270">
            <v>0</v>
          </cell>
          <cell r="C4270">
            <v>0</v>
          </cell>
          <cell r="D4270">
            <v>0</v>
          </cell>
        </row>
        <row r="4271">
          <cell r="B4271">
            <v>0</v>
          </cell>
          <cell r="C4271">
            <v>0</v>
          </cell>
          <cell r="D4271">
            <v>0</v>
          </cell>
        </row>
        <row r="4272">
          <cell r="B4272">
            <v>0</v>
          </cell>
          <cell r="C4272">
            <v>0</v>
          </cell>
          <cell r="D4272">
            <v>0</v>
          </cell>
        </row>
        <row r="4273">
          <cell r="B4273">
            <v>0</v>
          </cell>
          <cell r="C4273">
            <v>0</v>
          </cell>
          <cell r="D4273">
            <v>0</v>
          </cell>
        </row>
        <row r="4274">
          <cell r="B4274">
            <v>0</v>
          </cell>
          <cell r="C4274">
            <v>0</v>
          </cell>
          <cell r="D4274">
            <v>0</v>
          </cell>
        </row>
        <row r="4275">
          <cell r="B4275">
            <v>0</v>
          </cell>
          <cell r="C4275">
            <v>0</v>
          </cell>
          <cell r="D4275">
            <v>0</v>
          </cell>
        </row>
        <row r="4276">
          <cell r="B4276">
            <v>0</v>
          </cell>
          <cell r="C4276">
            <v>0</v>
          </cell>
          <cell r="D4276">
            <v>0</v>
          </cell>
        </row>
        <row r="4277">
          <cell r="B4277">
            <v>0</v>
          </cell>
          <cell r="C4277">
            <v>0</v>
          </cell>
          <cell r="D4277">
            <v>0</v>
          </cell>
        </row>
        <row r="4278">
          <cell r="B4278">
            <v>0</v>
          </cell>
          <cell r="C4278">
            <v>0</v>
          </cell>
          <cell r="D4278">
            <v>0</v>
          </cell>
        </row>
        <row r="4279">
          <cell r="B4279">
            <v>0</v>
          </cell>
          <cell r="C4279">
            <v>0</v>
          </cell>
          <cell r="D4279">
            <v>0</v>
          </cell>
        </row>
        <row r="4280">
          <cell r="B4280">
            <v>0</v>
          </cell>
          <cell r="C4280">
            <v>0</v>
          </cell>
          <cell r="D4280">
            <v>0</v>
          </cell>
        </row>
        <row r="4281">
          <cell r="B4281">
            <v>0</v>
          </cell>
          <cell r="C4281">
            <v>0</v>
          </cell>
          <cell r="D4281">
            <v>0</v>
          </cell>
        </row>
        <row r="4282">
          <cell r="B4282">
            <v>0</v>
          </cell>
          <cell r="C4282">
            <v>0</v>
          </cell>
          <cell r="D4282">
            <v>0</v>
          </cell>
        </row>
        <row r="4283">
          <cell r="B4283">
            <v>0</v>
          </cell>
          <cell r="C4283">
            <v>0</v>
          </cell>
          <cell r="D4283">
            <v>0</v>
          </cell>
        </row>
        <row r="4284">
          <cell r="B4284">
            <v>0</v>
          </cell>
          <cell r="C4284">
            <v>0</v>
          </cell>
          <cell r="D4284">
            <v>0</v>
          </cell>
        </row>
        <row r="4285">
          <cell r="B4285">
            <v>0</v>
          </cell>
          <cell r="C4285">
            <v>0</v>
          </cell>
          <cell r="D4285">
            <v>0</v>
          </cell>
        </row>
        <row r="4286">
          <cell r="B4286">
            <v>0</v>
          </cell>
          <cell r="C4286">
            <v>0</v>
          </cell>
          <cell r="D4286">
            <v>0</v>
          </cell>
        </row>
        <row r="4287">
          <cell r="B4287">
            <v>0</v>
          </cell>
          <cell r="C4287">
            <v>0</v>
          </cell>
          <cell r="D4287">
            <v>0</v>
          </cell>
        </row>
        <row r="4288">
          <cell r="B4288">
            <v>0</v>
          </cell>
          <cell r="C4288">
            <v>0</v>
          </cell>
          <cell r="D4288">
            <v>0</v>
          </cell>
        </row>
        <row r="4289">
          <cell r="B4289">
            <v>0</v>
          </cell>
          <cell r="C4289">
            <v>0</v>
          </cell>
          <cell r="D4289">
            <v>0</v>
          </cell>
        </row>
        <row r="4290">
          <cell r="B4290">
            <v>0</v>
          </cell>
          <cell r="C4290">
            <v>0</v>
          </cell>
          <cell r="D4290">
            <v>0</v>
          </cell>
        </row>
        <row r="4291">
          <cell r="B4291">
            <v>0</v>
          </cell>
          <cell r="C4291">
            <v>0</v>
          </cell>
          <cell r="D4291">
            <v>0</v>
          </cell>
        </row>
        <row r="4292">
          <cell r="B4292">
            <v>0</v>
          </cell>
          <cell r="C4292">
            <v>0</v>
          </cell>
          <cell r="D4292">
            <v>0</v>
          </cell>
        </row>
        <row r="4293">
          <cell r="B4293">
            <v>0</v>
          </cell>
          <cell r="C4293">
            <v>0</v>
          </cell>
          <cell r="D4293">
            <v>0</v>
          </cell>
        </row>
        <row r="4294">
          <cell r="B4294">
            <v>0</v>
          </cell>
          <cell r="C4294">
            <v>0</v>
          </cell>
          <cell r="D4294">
            <v>0</v>
          </cell>
        </row>
        <row r="4295">
          <cell r="B4295">
            <v>0</v>
          </cell>
          <cell r="C4295">
            <v>0</v>
          </cell>
          <cell r="D4295">
            <v>0</v>
          </cell>
        </row>
        <row r="4296">
          <cell r="B4296">
            <v>0</v>
          </cell>
          <cell r="C4296">
            <v>0</v>
          </cell>
          <cell r="D4296">
            <v>0</v>
          </cell>
        </row>
        <row r="4297">
          <cell r="B4297">
            <v>0</v>
          </cell>
          <cell r="C4297">
            <v>0</v>
          </cell>
          <cell r="D4297">
            <v>0</v>
          </cell>
        </row>
        <row r="4298">
          <cell r="B4298">
            <v>0</v>
          </cell>
          <cell r="C4298">
            <v>0</v>
          </cell>
          <cell r="D4298">
            <v>0</v>
          </cell>
        </row>
        <row r="4299">
          <cell r="B4299">
            <v>0</v>
          </cell>
          <cell r="C4299">
            <v>0</v>
          </cell>
          <cell r="D4299">
            <v>0</v>
          </cell>
        </row>
        <row r="4300">
          <cell r="B4300">
            <v>0</v>
          </cell>
          <cell r="C4300">
            <v>0</v>
          </cell>
          <cell r="D4300">
            <v>0</v>
          </cell>
        </row>
        <row r="4301">
          <cell r="B4301">
            <v>0</v>
          </cell>
          <cell r="C4301">
            <v>0</v>
          </cell>
          <cell r="D4301">
            <v>0</v>
          </cell>
        </row>
        <row r="4302">
          <cell r="B4302">
            <v>0</v>
          </cell>
          <cell r="C4302">
            <v>0</v>
          </cell>
          <cell r="D4302">
            <v>0</v>
          </cell>
        </row>
        <row r="4303">
          <cell r="B4303">
            <v>0</v>
          </cell>
          <cell r="C4303">
            <v>0</v>
          </cell>
          <cell r="D4303">
            <v>0</v>
          </cell>
        </row>
        <row r="4304">
          <cell r="B4304">
            <v>0</v>
          </cell>
          <cell r="C4304">
            <v>0</v>
          </cell>
          <cell r="D4304">
            <v>0</v>
          </cell>
        </row>
        <row r="4305">
          <cell r="B4305">
            <v>0</v>
          </cell>
          <cell r="C4305">
            <v>0</v>
          </cell>
          <cell r="D4305">
            <v>0</v>
          </cell>
        </row>
        <row r="4306">
          <cell r="B4306">
            <v>0</v>
          </cell>
          <cell r="C4306">
            <v>0</v>
          </cell>
          <cell r="D4306">
            <v>0</v>
          </cell>
        </row>
        <row r="4307">
          <cell r="B4307">
            <v>0</v>
          </cell>
          <cell r="C4307">
            <v>0</v>
          </cell>
          <cell r="D4307">
            <v>0</v>
          </cell>
        </row>
        <row r="4308">
          <cell r="B4308">
            <v>0</v>
          </cell>
          <cell r="C4308">
            <v>0</v>
          </cell>
          <cell r="D4308">
            <v>0</v>
          </cell>
        </row>
        <row r="4309">
          <cell r="B4309">
            <v>0</v>
          </cell>
          <cell r="C4309">
            <v>0</v>
          </cell>
          <cell r="D4309">
            <v>0</v>
          </cell>
        </row>
        <row r="4310">
          <cell r="B4310">
            <v>0</v>
          </cell>
          <cell r="C4310">
            <v>0</v>
          </cell>
          <cell r="D4310">
            <v>0</v>
          </cell>
        </row>
        <row r="4311">
          <cell r="B4311">
            <v>0</v>
          </cell>
          <cell r="C4311">
            <v>0</v>
          </cell>
          <cell r="D4311">
            <v>0</v>
          </cell>
        </row>
        <row r="4312">
          <cell r="B4312">
            <v>0</v>
          </cell>
          <cell r="C4312">
            <v>0</v>
          </cell>
          <cell r="D4312">
            <v>0</v>
          </cell>
        </row>
        <row r="4313">
          <cell r="B4313">
            <v>0</v>
          </cell>
          <cell r="C4313">
            <v>0</v>
          </cell>
          <cell r="D4313">
            <v>0</v>
          </cell>
        </row>
        <row r="4314">
          <cell r="B4314">
            <v>0</v>
          </cell>
          <cell r="C4314">
            <v>0</v>
          </cell>
          <cell r="D4314">
            <v>0</v>
          </cell>
        </row>
        <row r="4315">
          <cell r="B4315">
            <v>0</v>
          </cell>
          <cell r="C4315">
            <v>0</v>
          </cell>
          <cell r="D4315">
            <v>0</v>
          </cell>
        </row>
        <row r="4316">
          <cell r="B4316">
            <v>0</v>
          </cell>
          <cell r="C4316">
            <v>0</v>
          </cell>
          <cell r="D4316">
            <v>0</v>
          </cell>
        </row>
        <row r="4317">
          <cell r="B4317">
            <v>0</v>
          </cell>
          <cell r="C4317">
            <v>0</v>
          </cell>
          <cell r="D4317">
            <v>0</v>
          </cell>
        </row>
        <row r="4318">
          <cell r="B4318">
            <v>0</v>
          </cell>
          <cell r="C4318">
            <v>0</v>
          </cell>
          <cell r="D4318">
            <v>0</v>
          </cell>
        </row>
        <row r="4319">
          <cell r="B4319">
            <v>0</v>
          </cell>
          <cell r="C4319">
            <v>0</v>
          </cell>
          <cell r="D4319">
            <v>0</v>
          </cell>
        </row>
        <row r="4320">
          <cell r="B4320">
            <v>0</v>
          </cell>
          <cell r="C4320">
            <v>0</v>
          </cell>
          <cell r="D4320">
            <v>0</v>
          </cell>
        </row>
        <row r="4321">
          <cell r="B4321">
            <v>0</v>
          </cell>
          <cell r="C4321">
            <v>0</v>
          </cell>
          <cell r="D4321">
            <v>0</v>
          </cell>
        </row>
        <row r="4322">
          <cell r="B4322">
            <v>0</v>
          </cell>
          <cell r="C4322">
            <v>0</v>
          </cell>
          <cell r="D4322">
            <v>0</v>
          </cell>
        </row>
        <row r="4323">
          <cell r="B4323">
            <v>0</v>
          </cell>
          <cell r="C4323">
            <v>0</v>
          </cell>
          <cell r="D4323">
            <v>0</v>
          </cell>
        </row>
        <row r="4324">
          <cell r="B4324">
            <v>0</v>
          </cell>
          <cell r="C4324">
            <v>0</v>
          </cell>
          <cell r="D4324">
            <v>0</v>
          </cell>
        </row>
        <row r="4325">
          <cell r="B4325">
            <v>0</v>
          </cell>
          <cell r="C4325">
            <v>0</v>
          </cell>
          <cell r="D4325">
            <v>0</v>
          </cell>
        </row>
        <row r="4326">
          <cell r="B4326">
            <v>0</v>
          </cell>
          <cell r="C4326">
            <v>0</v>
          </cell>
          <cell r="D4326">
            <v>0</v>
          </cell>
        </row>
        <row r="4327">
          <cell r="B4327">
            <v>0</v>
          </cell>
          <cell r="C4327">
            <v>0</v>
          </cell>
          <cell r="D4327">
            <v>0</v>
          </cell>
        </row>
        <row r="4328">
          <cell r="B4328">
            <v>0</v>
          </cell>
          <cell r="C4328">
            <v>0</v>
          </cell>
          <cell r="D4328">
            <v>0</v>
          </cell>
        </row>
        <row r="4329">
          <cell r="B4329">
            <v>0</v>
          </cell>
          <cell r="C4329">
            <v>0</v>
          </cell>
          <cell r="D4329">
            <v>0</v>
          </cell>
        </row>
        <row r="4330">
          <cell r="B4330">
            <v>0</v>
          </cell>
          <cell r="C4330">
            <v>0</v>
          </cell>
          <cell r="D4330">
            <v>0</v>
          </cell>
        </row>
        <row r="4331">
          <cell r="B4331">
            <v>0</v>
          </cell>
          <cell r="C4331">
            <v>0</v>
          </cell>
          <cell r="D4331">
            <v>0</v>
          </cell>
        </row>
        <row r="4332">
          <cell r="B4332">
            <v>0</v>
          </cell>
          <cell r="C4332">
            <v>0</v>
          </cell>
          <cell r="D4332">
            <v>0</v>
          </cell>
        </row>
        <row r="4333">
          <cell r="B4333">
            <v>0</v>
          </cell>
          <cell r="C4333">
            <v>0</v>
          </cell>
          <cell r="D4333">
            <v>0</v>
          </cell>
        </row>
        <row r="4334">
          <cell r="B4334">
            <v>0</v>
          </cell>
          <cell r="C4334">
            <v>0</v>
          </cell>
          <cell r="D4334">
            <v>0</v>
          </cell>
        </row>
        <row r="4335">
          <cell r="B4335">
            <v>0</v>
          </cell>
          <cell r="C4335">
            <v>0</v>
          </cell>
          <cell r="D4335">
            <v>0</v>
          </cell>
        </row>
        <row r="4336">
          <cell r="B4336">
            <v>0</v>
          </cell>
          <cell r="C4336">
            <v>0</v>
          </cell>
          <cell r="D4336">
            <v>0</v>
          </cell>
        </row>
        <row r="4337">
          <cell r="B4337">
            <v>0</v>
          </cell>
          <cell r="C4337">
            <v>0</v>
          </cell>
          <cell r="D4337">
            <v>0</v>
          </cell>
        </row>
        <row r="4338">
          <cell r="B4338">
            <v>0</v>
          </cell>
          <cell r="C4338">
            <v>0</v>
          </cell>
          <cell r="D4338">
            <v>0</v>
          </cell>
        </row>
        <row r="4339">
          <cell r="B4339">
            <v>0</v>
          </cell>
          <cell r="C4339">
            <v>0</v>
          </cell>
          <cell r="D4339">
            <v>0</v>
          </cell>
        </row>
        <row r="4340">
          <cell r="B4340">
            <v>0</v>
          </cell>
          <cell r="C4340">
            <v>0</v>
          </cell>
          <cell r="D4340">
            <v>0</v>
          </cell>
        </row>
        <row r="4341">
          <cell r="B4341">
            <v>0</v>
          </cell>
          <cell r="C4341">
            <v>0</v>
          </cell>
          <cell r="D4341">
            <v>0</v>
          </cell>
        </row>
        <row r="4342">
          <cell r="B4342">
            <v>0</v>
          </cell>
          <cell r="C4342">
            <v>0</v>
          </cell>
          <cell r="D4342">
            <v>0</v>
          </cell>
        </row>
        <row r="4343">
          <cell r="B4343">
            <v>0</v>
          </cell>
          <cell r="C4343">
            <v>0</v>
          </cell>
          <cell r="D4343">
            <v>0</v>
          </cell>
        </row>
        <row r="4344">
          <cell r="B4344">
            <v>0</v>
          </cell>
          <cell r="C4344">
            <v>0</v>
          </cell>
          <cell r="D4344">
            <v>0</v>
          </cell>
        </row>
        <row r="4345">
          <cell r="B4345">
            <v>0</v>
          </cell>
          <cell r="C4345">
            <v>0</v>
          </cell>
          <cell r="D4345">
            <v>0</v>
          </cell>
        </row>
        <row r="4346">
          <cell r="B4346">
            <v>0</v>
          </cell>
          <cell r="C4346">
            <v>0</v>
          </cell>
          <cell r="D4346">
            <v>0</v>
          </cell>
        </row>
        <row r="4347">
          <cell r="B4347">
            <v>0</v>
          </cell>
          <cell r="C4347">
            <v>0</v>
          </cell>
          <cell r="D4347">
            <v>0</v>
          </cell>
        </row>
        <row r="4348">
          <cell r="B4348">
            <v>0</v>
          </cell>
          <cell r="C4348">
            <v>0</v>
          </cell>
          <cell r="D4348">
            <v>0</v>
          </cell>
        </row>
        <row r="4349">
          <cell r="B4349">
            <v>0</v>
          </cell>
          <cell r="C4349">
            <v>0</v>
          </cell>
          <cell r="D4349">
            <v>0</v>
          </cell>
        </row>
        <row r="4350">
          <cell r="B4350">
            <v>0</v>
          </cell>
          <cell r="C4350">
            <v>0</v>
          </cell>
          <cell r="D4350">
            <v>0</v>
          </cell>
        </row>
        <row r="4351">
          <cell r="B4351">
            <v>0</v>
          </cell>
          <cell r="C4351">
            <v>0</v>
          </cell>
          <cell r="D4351">
            <v>0</v>
          </cell>
        </row>
        <row r="4352">
          <cell r="B4352">
            <v>0</v>
          </cell>
          <cell r="C4352">
            <v>0</v>
          </cell>
          <cell r="D4352">
            <v>0</v>
          </cell>
        </row>
        <row r="4353">
          <cell r="B4353">
            <v>0</v>
          </cell>
          <cell r="C4353">
            <v>0</v>
          </cell>
          <cell r="D4353">
            <v>0</v>
          </cell>
        </row>
        <row r="4354">
          <cell r="B4354">
            <v>0</v>
          </cell>
          <cell r="C4354">
            <v>0</v>
          </cell>
          <cell r="D4354">
            <v>0</v>
          </cell>
        </row>
        <row r="4355">
          <cell r="B4355">
            <v>0</v>
          </cell>
          <cell r="C4355">
            <v>0</v>
          </cell>
          <cell r="D4355">
            <v>0</v>
          </cell>
        </row>
        <row r="4356">
          <cell r="B4356">
            <v>0</v>
          </cell>
          <cell r="C4356">
            <v>0</v>
          </cell>
          <cell r="D4356">
            <v>0</v>
          </cell>
        </row>
        <row r="4357">
          <cell r="B4357">
            <v>0</v>
          </cell>
          <cell r="C4357">
            <v>0</v>
          </cell>
          <cell r="D4357">
            <v>0</v>
          </cell>
        </row>
        <row r="4358">
          <cell r="B4358">
            <v>0</v>
          </cell>
          <cell r="C4358">
            <v>0</v>
          </cell>
          <cell r="D4358">
            <v>0</v>
          </cell>
        </row>
        <row r="4359">
          <cell r="B4359">
            <v>0</v>
          </cell>
          <cell r="C4359">
            <v>0</v>
          </cell>
          <cell r="D4359">
            <v>0</v>
          </cell>
        </row>
        <row r="4360">
          <cell r="B4360">
            <v>0</v>
          </cell>
          <cell r="C4360">
            <v>0</v>
          </cell>
          <cell r="D4360">
            <v>0</v>
          </cell>
        </row>
        <row r="4361">
          <cell r="B4361">
            <v>0</v>
          </cell>
          <cell r="C4361">
            <v>0</v>
          </cell>
          <cell r="D4361">
            <v>0</v>
          </cell>
        </row>
        <row r="4362">
          <cell r="B4362">
            <v>0</v>
          </cell>
          <cell r="C4362">
            <v>0</v>
          </cell>
          <cell r="D4362">
            <v>0</v>
          </cell>
        </row>
        <row r="4363">
          <cell r="B4363">
            <v>0</v>
          </cell>
          <cell r="C4363">
            <v>0</v>
          </cell>
          <cell r="D4363">
            <v>0</v>
          </cell>
        </row>
        <row r="4364">
          <cell r="B4364">
            <v>0</v>
          </cell>
          <cell r="C4364">
            <v>0</v>
          </cell>
          <cell r="D4364">
            <v>0</v>
          </cell>
        </row>
        <row r="4365">
          <cell r="B4365">
            <v>0</v>
          </cell>
          <cell r="C4365">
            <v>0</v>
          </cell>
          <cell r="D4365">
            <v>0</v>
          </cell>
        </row>
        <row r="4366">
          <cell r="B4366">
            <v>0</v>
          </cell>
          <cell r="C4366">
            <v>0</v>
          </cell>
          <cell r="D4366">
            <v>0</v>
          </cell>
        </row>
        <row r="4367">
          <cell r="B4367">
            <v>0</v>
          </cell>
          <cell r="C4367">
            <v>0</v>
          </cell>
          <cell r="D4367">
            <v>0</v>
          </cell>
        </row>
        <row r="4368">
          <cell r="B4368">
            <v>0</v>
          </cell>
          <cell r="C4368">
            <v>0</v>
          </cell>
          <cell r="D4368">
            <v>0</v>
          </cell>
        </row>
        <row r="4369">
          <cell r="B4369">
            <v>0</v>
          </cell>
          <cell r="C4369">
            <v>0</v>
          </cell>
          <cell r="D4369">
            <v>0</v>
          </cell>
        </row>
        <row r="4370">
          <cell r="B4370">
            <v>0</v>
          </cell>
          <cell r="C4370">
            <v>0</v>
          </cell>
          <cell r="D4370">
            <v>0</v>
          </cell>
        </row>
        <row r="4371">
          <cell r="B4371">
            <v>0</v>
          </cell>
          <cell r="C4371">
            <v>0</v>
          </cell>
          <cell r="D4371">
            <v>0</v>
          </cell>
        </row>
        <row r="4372">
          <cell r="B4372">
            <v>0</v>
          </cell>
          <cell r="C4372">
            <v>0</v>
          </cell>
          <cell r="D4372">
            <v>0</v>
          </cell>
        </row>
        <row r="4373">
          <cell r="B4373">
            <v>0</v>
          </cell>
          <cell r="C4373">
            <v>0</v>
          </cell>
          <cell r="D4373">
            <v>0</v>
          </cell>
        </row>
        <row r="4374">
          <cell r="B4374">
            <v>0</v>
          </cell>
          <cell r="C4374">
            <v>0</v>
          </cell>
          <cell r="D4374">
            <v>0</v>
          </cell>
        </row>
        <row r="4375">
          <cell r="B4375">
            <v>0</v>
          </cell>
          <cell r="C4375">
            <v>0</v>
          </cell>
          <cell r="D4375">
            <v>0</v>
          </cell>
        </row>
        <row r="4376">
          <cell r="B4376">
            <v>0</v>
          </cell>
          <cell r="C4376">
            <v>0</v>
          </cell>
          <cell r="D4376">
            <v>0</v>
          </cell>
        </row>
        <row r="4377">
          <cell r="B4377">
            <v>0</v>
          </cell>
          <cell r="C4377">
            <v>0</v>
          </cell>
          <cell r="D4377">
            <v>0</v>
          </cell>
        </row>
        <row r="4378">
          <cell r="B4378">
            <v>0</v>
          </cell>
          <cell r="C4378">
            <v>0</v>
          </cell>
          <cell r="D4378">
            <v>0</v>
          </cell>
        </row>
        <row r="4379">
          <cell r="B4379">
            <v>0</v>
          </cell>
          <cell r="C4379">
            <v>0</v>
          </cell>
          <cell r="D4379">
            <v>0</v>
          </cell>
        </row>
        <row r="4380">
          <cell r="B4380">
            <v>0</v>
          </cell>
          <cell r="C4380">
            <v>0</v>
          </cell>
          <cell r="D4380">
            <v>0</v>
          </cell>
        </row>
        <row r="4381">
          <cell r="B4381">
            <v>0</v>
          </cell>
          <cell r="C4381">
            <v>0</v>
          </cell>
          <cell r="D4381">
            <v>0</v>
          </cell>
        </row>
        <row r="4382">
          <cell r="B4382">
            <v>0</v>
          </cell>
          <cell r="C4382">
            <v>0</v>
          </cell>
          <cell r="D4382">
            <v>0</v>
          </cell>
        </row>
        <row r="4383">
          <cell r="B4383">
            <v>0</v>
          </cell>
          <cell r="C4383">
            <v>0</v>
          </cell>
          <cell r="D4383">
            <v>0</v>
          </cell>
        </row>
        <row r="4384">
          <cell r="B4384">
            <v>0</v>
          </cell>
          <cell r="C4384">
            <v>0</v>
          </cell>
          <cell r="D4384">
            <v>0</v>
          </cell>
        </row>
        <row r="4385">
          <cell r="B4385">
            <v>0</v>
          </cell>
          <cell r="C4385">
            <v>0</v>
          </cell>
          <cell r="D4385">
            <v>0</v>
          </cell>
        </row>
        <row r="4386">
          <cell r="B4386">
            <v>0</v>
          </cell>
          <cell r="C4386">
            <v>0</v>
          </cell>
          <cell r="D4386">
            <v>0</v>
          </cell>
        </row>
        <row r="4387">
          <cell r="B4387">
            <v>0</v>
          </cell>
          <cell r="C4387">
            <v>0</v>
          </cell>
          <cell r="D4387">
            <v>0</v>
          </cell>
        </row>
        <row r="4388">
          <cell r="B4388">
            <v>0</v>
          </cell>
          <cell r="C4388">
            <v>0</v>
          </cell>
          <cell r="D4388">
            <v>0</v>
          </cell>
        </row>
        <row r="4389">
          <cell r="B4389">
            <v>0</v>
          </cell>
          <cell r="C4389">
            <v>0</v>
          </cell>
          <cell r="D4389">
            <v>0</v>
          </cell>
        </row>
        <row r="4390">
          <cell r="B4390">
            <v>0</v>
          </cell>
          <cell r="C4390">
            <v>0</v>
          </cell>
          <cell r="D4390">
            <v>0</v>
          </cell>
        </row>
        <row r="4391">
          <cell r="B4391">
            <v>0</v>
          </cell>
          <cell r="C4391">
            <v>0</v>
          </cell>
          <cell r="D4391">
            <v>0</v>
          </cell>
        </row>
        <row r="4392">
          <cell r="B4392">
            <v>0</v>
          </cell>
          <cell r="C4392">
            <v>0</v>
          </cell>
          <cell r="D4392">
            <v>0</v>
          </cell>
        </row>
        <row r="4393">
          <cell r="B4393">
            <v>0</v>
          </cell>
          <cell r="C4393">
            <v>0</v>
          </cell>
          <cell r="D4393">
            <v>0</v>
          </cell>
        </row>
        <row r="4394">
          <cell r="B4394">
            <v>0</v>
          </cell>
          <cell r="C4394">
            <v>0</v>
          </cell>
          <cell r="D4394">
            <v>0</v>
          </cell>
        </row>
        <row r="4395">
          <cell r="B4395">
            <v>0</v>
          </cell>
          <cell r="C4395">
            <v>0</v>
          </cell>
          <cell r="D4395">
            <v>0</v>
          </cell>
        </row>
        <row r="4396">
          <cell r="B4396">
            <v>0</v>
          </cell>
          <cell r="C4396">
            <v>0</v>
          </cell>
          <cell r="D4396">
            <v>0</v>
          </cell>
        </row>
        <row r="4397">
          <cell r="B4397">
            <v>0</v>
          </cell>
          <cell r="C4397">
            <v>0</v>
          </cell>
          <cell r="D4397">
            <v>0</v>
          </cell>
        </row>
        <row r="4398">
          <cell r="B4398">
            <v>0</v>
          </cell>
          <cell r="C4398">
            <v>0</v>
          </cell>
          <cell r="D4398">
            <v>0</v>
          </cell>
        </row>
        <row r="4399">
          <cell r="B4399">
            <v>0</v>
          </cell>
          <cell r="C4399">
            <v>0</v>
          </cell>
          <cell r="D4399">
            <v>0</v>
          </cell>
        </row>
        <row r="4400">
          <cell r="B4400">
            <v>0</v>
          </cell>
          <cell r="C4400">
            <v>0</v>
          </cell>
          <cell r="D4400">
            <v>0</v>
          </cell>
        </row>
        <row r="4401">
          <cell r="B4401">
            <v>0</v>
          </cell>
          <cell r="C4401">
            <v>0</v>
          </cell>
          <cell r="D4401">
            <v>0</v>
          </cell>
        </row>
        <row r="4402">
          <cell r="B4402">
            <v>0</v>
          </cell>
          <cell r="C4402">
            <v>0</v>
          </cell>
          <cell r="D4402">
            <v>0</v>
          </cell>
        </row>
        <row r="4403">
          <cell r="B4403">
            <v>0</v>
          </cell>
          <cell r="C4403">
            <v>0</v>
          </cell>
          <cell r="D4403">
            <v>0</v>
          </cell>
        </row>
        <row r="4404">
          <cell r="B4404">
            <v>0</v>
          </cell>
          <cell r="C4404">
            <v>0</v>
          </cell>
          <cell r="D4404">
            <v>0</v>
          </cell>
        </row>
        <row r="4405">
          <cell r="B4405">
            <v>0</v>
          </cell>
          <cell r="C4405">
            <v>0</v>
          </cell>
          <cell r="D4405">
            <v>0</v>
          </cell>
        </row>
        <row r="4406">
          <cell r="B4406">
            <v>0</v>
          </cell>
          <cell r="C4406">
            <v>0</v>
          </cell>
          <cell r="D4406">
            <v>0</v>
          </cell>
        </row>
        <row r="4407">
          <cell r="B4407">
            <v>0</v>
          </cell>
          <cell r="C4407">
            <v>0</v>
          </cell>
          <cell r="D4407">
            <v>0</v>
          </cell>
        </row>
        <row r="4408">
          <cell r="B4408">
            <v>0</v>
          </cell>
          <cell r="C4408">
            <v>0</v>
          </cell>
          <cell r="D4408">
            <v>0</v>
          </cell>
        </row>
        <row r="4409">
          <cell r="B4409">
            <v>0</v>
          </cell>
          <cell r="C4409">
            <v>0</v>
          </cell>
          <cell r="D4409">
            <v>0</v>
          </cell>
        </row>
        <row r="4410">
          <cell r="B4410">
            <v>0</v>
          </cell>
          <cell r="C4410">
            <v>0</v>
          </cell>
          <cell r="D4410">
            <v>0</v>
          </cell>
        </row>
        <row r="4411">
          <cell r="B4411">
            <v>0</v>
          </cell>
          <cell r="C4411">
            <v>0</v>
          </cell>
          <cell r="D4411">
            <v>0</v>
          </cell>
        </row>
        <row r="4412">
          <cell r="B4412">
            <v>0</v>
          </cell>
          <cell r="C4412">
            <v>0</v>
          </cell>
          <cell r="D4412">
            <v>0</v>
          </cell>
        </row>
        <row r="4413">
          <cell r="B4413">
            <v>0</v>
          </cell>
          <cell r="C4413">
            <v>0</v>
          </cell>
          <cell r="D4413">
            <v>0</v>
          </cell>
        </row>
        <row r="4414">
          <cell r="B4414">
            <v>0</v>
          </cell>
          <cell r="C4414">
            <v>0</v>
          </cell>
          <cell r="D4414">
            <v>0</v>
          </cell>
        </row>
        <row r="4415">
          <cell r="B4415">
            <v>0</v>
          </cell>
          <cell r="C4415">
            <v>0</v>
          </cell>
          <cell r="D4415">
            <v>0</v>
          </cell>
        </row>
        <row r="4416">
          <cell r="B4416">
            <v>0</v>
          </cell>
          <cell r="C4416">
            <v>0</v>
          </cell>
          <cell r="D4416">
            <v>0</v>
          </cell>
        </row>
        <row r="4417">
          <cell r="B4417">
            <v>0</v>
          </cell>
          <cell r="C4417">
            <v>0</v>
          </cell>
          <cell r="D4417">
            <v>0</v>
          </cell>
        </row>
        <row r="4418">
          <cell r="B4418">
            <v>0</v>
          </cell>
          <cell r="C4418">
            <v>0</v>
          </cell>
          <cell r="D4418">
            <v>0</v>
          </cell>
        </row>
        <row r="4419">
          <cell r="B4419">
            <v>0</v>
          </cell>
          <cell r="C4419">
            <v>0</v>
          </cell>
          <cell r="D4419">
            <v>0</v>
          </cell>
        </row>
        <row r="4420">
          <cell r="B4420">
            <v>0</v>
          </cell>
          <cell r="C4420">
            <v>0</v>
          </cell>
          <cell r="D4420">
            <v>0</v>
          </cell>
        </row>
        <row r="4421">
          <cell r="B4421">
            <v>0</v>
          </cell>
          <cell r="C4421">
            <v>0</v>
          </cell>
          <cell r="D4421">
            <v>0</v>
          </cell>
        </row>
        <row r="4422">
          <cell r="B4422">
            <v>0</v>
          </cell>
          <cell r="C4422">
            <v>0</v>
          </cell>
          <cell r="D4422">
            <v>0</v>
          </cell>
        </row>
        <row r="4423">
          <cell r="B4423">
            <v>0</v>
          </cell>
          <cell r="C4423">
            <v>0</v>
          </cell>
          <cell r="D4423">
            <v>0</v>
          </cell>
        </row>
        <row r="4424">
          <cell r="B4424">
            <v>0</v>
          </cell>
          <cell r="C4424">
            <v>0</v>
          </cell>
          <cell r="D4424">
            <v>0</v>
          </cell>
        </row>
        <row r="4425">
          <cell r="B4425">
            <v>0</v>
          </cell>
          <cell r="C4425">
            <v>0</v>
          </cell>
          <cell r="D4425">
            <v>0</v>
          </cell>
        </row>
        <row r="4426">
          <cell r="B4426">
            <v>0</v>
          </cell>
          <cell r="C4426">
            <v>0</v>
          </cell>
          <cell r="D4426">
            <v>0</v>
          </cell>
        </row>
        <row r="4427">
          <cell r="B4427">
            <v>0</v>
          </cell>
          <cell r="C4427">
            <v>0</v>
          </cell>
          <cell r="D4427">
            <v>0</v>
          </cell>
        </row>
        <row r="4428">
          <cell r="B4428">
            <v>0</v>
          </cell>
          <cell r="C4428">
            <v>0</v>
          </cell>
          <cell r="D4428">
            <v>0</v>
          </cell>
        </row>
        <row r="4429">
          <cell r="B4429">
            <v>0</v>
          </cell>
          <cell r="C4429">
            <v>0</v>
          </cell>
          <cell r="D4429">
            <v>0</v>
          </cell>
        </row>
        <row r="4430">
          <cell r="B4430">
            <v>0</v>
          </cell>
          <cell r="C4430">
            <v>0</v>
          </cell>
          <cell r="D4430">
            <v>0</v>
          </cell>
        </row>
        <row r="4431">
          <cell r="B4431">
            <v>0</v>
          </cell>
          <cell r="C4431">
            <v>0</v>
          </cell>
          <cell r="D4431">
            <v>0</v>
          </cell>
        </row>
        <row r="4432">
          <cell r="B4432">
            <v>0</v>
          </cell>
          <cell r="C4432">
            <v>0</v>
          </cell>
          <cell r="D4432">
            <v>0</v>
          </cell>
        </row>
        <row r="4433">
          <cell r="B4433">
            <v>0</v>
          </cell>
          <cell r="C4433">
            <v>0</v>
          </cell>
          <cell r="D4433">
            <v>0</v>
          </cell>
        </row>
        <row r="4434">
          <cell r="B4434">
            <v>0</v>
          </cell>
          <cell r="C4434">
            <v>0</v>
          </cell>
          <cell r="D4434">
            <v>0</v>
          </cell>
        </row>
        <row r="4435">
          <cell r="B4435">
            <v>0</v>
          </cell>
          <cell r="C4435">
            <v>0</v>
          </cell>
          <cell r="D4435">
            <v>0</v>
          </cell>
        </row>
        <row r="4436">
          <cell r="B4436">
            <v>0</v>
          </cell>
          <cell r="C4436">
            <v>0</v>
          </cell>
          <cell r="D4436">
            <v>0</v>
          </cell>
        </row>
        <row r="4437">
          <cell r="B4437">
            <v>0</v>
          </cell>
          <cell r="C4437">
            <v>0</v>
          </cell>
          <cell r="D4437">
            <v>0</v>
          </cell>
        </row>
        <row r="4438">
          <cell r="B4438">
            <v>0</v>
          </cell>
          <cell r="C4438">
            <v>0</v>
          </cell>
          <cell r="D4438">
            <v>0</v>
          </cell>
        </row>
        <row r="4439">
          <cell r="B4439">
            <v>0</v>
          </cell>
          <cell r="C4439">
            <v>0</v>
          </cell>
          <cell r="D4439">
            <v>0</v>
          </cell>
        </row>
        <row r="4440">
          <cell r="B4440">
            <v>0</v>
          </cell>
          <cell r="C4440">
            <v>0</v>
          </cell>
          <cell r="D4440">
            <v>0</v>
          </cell>
        </row>
        <row r="4441">
          <cell r="B4441">
            <v>0</v>
          </cell>
          <cell r="C4441">
            <v>0</v>
          </cell>
          <cell r="D4441">
            <v>0</v>
          </cell>
        </row>
        <row r="4442">
          <cell r="B4442">
            <v>0</v>
          </cell>
          <cell r="C4442">
            <v>0</v>
          </cell>
          <cell r="D4442">
            <v>0</v>
          </cell>
        </row>
        <row r="4443">
          <cell r="B4443">
            <v>0</v>
          </cell>
          <cell r="C4443">
            <v>0</v>
          </cell>
          <cell r="D4443">
            <v>0</v>
          </cell>
        </row>
        <row r="4444">
          <cell r="B4444">
            <v>0</v>
          </cell>
          <cell r="C4444">
            <v>0</v>
          </cell>
          <cell r="D4444">
            <v>0</v>
          </cell>
        </row>
        <row r="4445">
          <cell r="B4445">
            <v>0</v>
          </cell>
          <cell r="C4445">
            <v>0</v>
          </cell>
          <cell r="D4445">
            <v>0</v>
          </cell>
        </row>
        <row r="4446">
          <cell r="B4446">
            <v>0</v>
          </cell>
          <cell r="C4446">
            <v>0</v>
          </cell>
          <cell r="D4446">
            <v>0</v>
          </cell>
        </row>
        <row r="4447">
          <cell r="B4447">
            <v>0</v>
          </cell>
          <cell r="C4447">
            <v>0</v>
          </cell>
          <cell r="D4447">
            <v>0</v>
          </cell>
        </row>
        <row r="4448">
          <cell r="B4448">
            <v>0</v>
          </cell>
          <cell r="C4448">
            <v>0</v>
          </cell>
          <cell r="D4448">
            <v>0</v>
          </cell>
        </row>
        <row r="4449">
          <cell r="B4449">
            <v>0</v>
          </cell>
          <cell r="C4449">
            <v>0</v>
          </cell>
          <cell r="D4449">
            <v>0</v>
          </cell>
        </row>
        <row r="4450">
          <cell r="B4450">
            <v>0</v>
          </cell>
          <cell r="C4450">
            <v>0</v>
          </cell>
          <cell r="D4450">
            <v>0</v>
          </cell>
        </row>
        <row r="4451">
          <cell r="B4451">
            <v>0</v>
          </cell>
          <cell r="C4451">
            <v>0</v>
          </cell>
          <cell r="D4451">
            <v>0</v>
          </cell>
        </row>
        <row r="4452">
          <cell r="B4452">
            <v>0</v>
          </cell>
          <cell r="C4452">
            <v>0</v>
          </cell>
          <cell r="D4452">
            <v>0</v>
          </cell>
        </row>
        <row r="4453">
          <cell r="B4453">
            <v>0</v>
          </cell>
          <cell r="C4453">
            <v>0</v>
          </cell>
          <cell r="D4453">
            <v>0</v>
          </cell>
        </row>
        <row r="4454">
          <cell r="B4454">
            <v>0</v>
          </cell>
          <cell r="C4454">
            <v>0</v>
          </cell>
          <cell r="D4454">
            <v>0</v>
          </cell>
        </row>
        <row r="4455">
          <cell r="B4455">
            <v>0</v>
          </cell>
          <cell r="C4455">
            <v>0</v>
          </cell>
          <cell r="D4455">
            <v>0</v>
          </cell>
        </row>
        <row r="4456">
          <cell r="B4456">
            <v>0</v>
          </cell>
          <cell r="C4456">
            <v>0</v>
          </cell>
          <cell r="D4456">
            <v>0</v>
          </cell>
        </row>
        <row r="4457">
          <cell r="B4457">
            <v>0</v>
          </cell>
          <cell r="C4457">
            <v>0</v>
          </cell>
          <cell r="D4457">
            <v>0</v>
          </cell>
        </row>
        <row r="4458">
          <cell r="B4458">
            <v>0</v>
          </cell>
          <cell r="C4458">
            <v>0</v>
          </cell>
          <cell r="D4458">
            <v>0</v>
          </cell>
        </row>
        <row r="4459">
          <cell r="B4459">
            <v>0</v>
          </cell>
          <cell r="C4459">
            <v>0</v>
          </cell>
          <cell r="D4459">
            <v>0</v>
          </cell>
        </row>
        <row r="4460">
          <cell r="B4460">
            <v>0</v>
          </cell>
          <cell r="C4460">
            <v>0</v>
          </cell>
          <cell r="D4460">
            <v>0</v>
          </cell>
        </row>
        <row r="4461">
          <cell r="B4461">
            <v>0</v>
          </cell>
          <cell r="C4461">
            <v>0</v>
          </cell>
          <cell r="D4461">
            <v>0</v>
          </cell>
        </row>
        <row r="4462">
          <cell r="B4462">
            <v>0</v>
          </cell>
          <cell r="C4462">
            <v>0</v>
          </cell>
          <cell r="D4462">
            <v>0</v>
          </cell>
        </row>
        <row r="4463">
          <cell r="B4463">
            <v>0</v>
          </cell>
          <cell r="C4463">
            <v>0</v>
          </cell>
          <cell r="D4463">
            <v>0</v>
          </cell>
        </row>
        <row r="4464">
          <cell r="B4464">
            <v>0</v>
          </cell>
          <cell r="C4464">
            <v>0</v>
          </cell>
          <cell r="D4464">
            <v>0</v>
          </cell>
        </row>
        <row r="4465">
          <cell r="B4465">
            <v>0</v>
          </cell>
          <cell r="C4465">
            <v>0</v>
          </cell>
          <cell r="D4465">
            <v>0</v>
          </cell>
        </row>
        <row r="4466">
          <cell r="B4466">
            <v>0</v>
          </cell>
          <cell r="C4466">
            <v>0</v>
          </cell>
          <cell r="D4466">
            <v>0</v>
          </cell>
        </row>
        <row r="4467">
          <cell r="B4467">
            <v>0</v>
          </cell>
          <cell r="C4467">
            <v>0</v>
          </cell>
          <cell r="D4467">
            <v>0</v>
          </cell>
        </row>
        <row r="4468">
          <cell r="B4468">
            <v>0</v>
          </cell>
          <cell r="C4468">
            <v>0</v>
          </cell>
          <cell r="D4468">
            <v>0</v>
          </cell>
        </row>
        <row r="4469">
          <cell r="B4469">
            <v>0</v>
          </cell>
          <cell r="C4469">
            <v>0</v>
          </cell>
          <cell r="D4469">
            <v>0</v>
          </cell>
        </row>
        <row r="4470">
          <cell r="B4470">
            <v>0</v>
          </cell>
          <cell r="C4470">
            <v>0</v>
          </cell>
          <cell r="D4470">
            <v>0</v>
          </cell>
        </row>
        <row r="4471">
          <cell r="B4471">
            <v>0</v>
          </cell>
          <cell r="C4471">
            <v>0</v>
          </cell>
          <cell r="D4471">
            <v>0</v>
          </cell>
        </row>
        <row r="4472">
          <cell r="B4472">
            <v>0</v>
          </cell>
          <cell r="C4472">
            <v>0</v>
          </cell>
          <cell r="D4472">
            <v>0</v>
          </cell>
        </row>
        <row r="4473">
          <cell r="B4473">
            <v>0</v>
          </cell>
          <cell r="C4473">
            <v>0</v>
          </cell>
          <cell r="D4473">
            <v>0</v>
          </cell>
        </row>
        <row r="4474">
          <cell r="B4474">
            <v>0</v>
          </cell>
          <cell r="C4474">
            <v>0</v>
          </cell>
          <cell r="D4474">
            <v>0</v>
          </cell>
        </row>
        <row r="4475">
          <cell r="B4475">
            <v>0</v>
          </cell>
          <cell r="C4475">
            <v>0</v>
          </cell>
          <cell r="D4475">
            <v>0</v>
          </cell>
        </row>
        <row r="4476">
          <cell r="B4476">
            <v>0</v>
          </cell>
          <cell r="C4476">
            <v>0</v>
          </cell>
          <cell r="D4476">
            <v>0</v>
          </cell>
        </row>
        <row r="4477">
          <cell r="B4477">
            <v>0</v>
          </cell>
          <cell r="C4477">
            <v>0</v>
          </cell>
          <cell r="D4477">
            <v>0</v>
          </cell>
        </row>
        <row r="4478">
          <cell r="B4478">
            <v>0</v>
          </cell>
          <cell r="C4478">
            <v>0</v>
          </cell>
          <cell r="D4478">
            <v>0</v>
          </cell>
        </row>
        <row r="4479">
          <cell r="B4479">
            <v>0</v>
          </cell>
          <cell r="C4479">
            <v>0</v>
          </cell>
          <cell r="D4479">
            <v>0</v>
          </cell>
        </row>
        <row r="4480">
          <cell r="B4480">
            <v>0</v>
          </cell>
          <cell r="C4480">
            <v>0</v>
          </cell>
          <cell r="D4480">
            <v>0</v>
          </cell>
        </row>
        <row r="4481">
          <cell r="B4481">
            <v>0</v>
          </cell>
          <cell r="C4481">
            <v>0</v>
          </cell>
          <cell r="D4481">
            <v>0</v>
          </cell>
        </row>
        <row r="4482">
          <cell r="B4482">
            <v>0</v>
          </cell>
          <cell r="C4482">
            <v>0</v>
          </cell>
          <cell r="D4482">
            <v>0</v>
          </cell>
        </row>
        <row r="4483">
          <cell r="B4483">
            <v>0</v>
          </cell>
          <cell r="C4483">
            <v>0</v>
          </cell>
          <cell r="D4483">
            <v>0</v>
          </cell>
        </row>
        <row r="4484">
          <cell r="B4484">
            <v>0</v>
          </cell>
          <cell r="C4484">
            <v>0</v>
          </cell>
          <cell r="D4484">
            <v>0</v>
          </cell>
        </row>
        <row r="4485">
          <cell r="B4485">
            <v>0</v>
          </cell>
          <cell r="C4485">
            <v>0</v>
          </cell>
          <cell r="D4485">
            <v>0</v>
          </cell>
        </row>
        <row r="4486">
          <cell r="B4486">
            <v>0</v>
          </cell>
          <cell r="C4486">
            <v>0</v>
          </cell>
          <cell r="D4486">
            <v>0</v>
          </cell>
        </row>
        <row r="4487">
          <cell r="B4487">
            <v>0</v>
          </cell>
          <cell r="C4487">
            <v>0</v>
          </cell>
          <cell r="D4487">
            <v>0</v>
          </cell>
        </row>
        <row r="4488">
          <cell r="B4488">
            <v>0</v>
          </cell>
          <cell r="C4488">
            <v>0</v>
          </cell>
          <cell r="D4488">
            <v>0</v>
          </cell>
        </row>
        <row r="4489">
          <cell r="B4489">
            <v>0</v>
          </cell>
          <cell r="C4489">
            <v>0</v>
          </cell>
          <cell r="D4489">
            <v>0</v>
          </cell>
        </row>
        <row r="4490">
          <cell r="B4490">
            <v>0</v>
          </cell>
          <cell r="C4490">
            <v>0</v>
          </cell>
          <cell r="D4490">
            <v>0</v>
          </cell>
        </row>
        <row r="4491">
          <cell r="B4491">
            <v>0</v>
          </cell>
          <cell r="C4491">
            <v>0</v>
          </cell>
          <cell r="D4491">
            <v>0</v>
          </cell>
        </row>
        <row r="4492">
          <cell r="B4492">
            <v>0</v>
          </cell>
          <cell r="C4492">
            <v>0</v>
          </cell>
          <cell r="D4492">
            <v>0</v>
          </cell>
        </row>
        <row r="4493">
          <cell r="B4493">
            <v>0</v>
          </cell>
          <cell r="C4493">
            <v>0</v>
          </cell>
          <cell r="D4493">
            <v>0</v>
          </cell>
        </row>
        <row r="4494">
          <cell r="B4494">
            <v>0</v>
          </cell>
          <cell r="C4494">
            <v>0</v>
          </cell>
          <cell r="D4494">
            <v>0</v>
          </cell>
        </row>
        <row r="4495">
          <cell r="B4495">
            <v>0</v>
          </cell>
          <cell r="C4495">
            <v>0</v>
          </cell>
          <cell r="D4495">
            <v>0</v>
          </cell>
        </row>
        <row r="4496">
          <cell r="B4496">
            <v>0</v>
          </cell>
          <cell r="C4496">
            <v>0</v>
          </cell>
          <cell r="D4496">
            <v>0</v>
          </cell>
        </row>
        <row r="4497">
          <cell r="B4497">
            <v>0</v>
          </cell>
          <cell r="C4497">
            <v>0</v>
          </cell>
          <cell r="D4497">
            <v>0</v>
          </cell>
        </row>
        <row r="4498">
          <cell r="B4498">
            <v>0</v>
          </cell>
          <cell r="C4498">
            <v>0</v>
          </cell>
          <cell r="D4498">
            <v>0</v>
          </cell>
        </row>
        <row r="4499">
          <cell r="B4499">
            <v>0</v>
          </cell>
          <cell r="C4499">
            <v>0</v>
          </cell>
          <cell r="D4499">
            <v>0</v>
          </cell>
        </row>
        <row r="4500">
          <cell r="B4500">
            <v>0</v>
          </cell>
          <cell r="C4500">
            <v>0</v>
          </cell>
          <cell r="D4500">
            <v>0</v>
          </cell>
        </row>
        <row r="4501">
          <cell r="B4501">
            <v>0</v>
          </cell>
          <cell r="C4501">
            <v>0</v>
          </cell>
          <cell r="D4501">
            <v>0</v>
          </cell>
        </row>
        <row r="4502">
          <cell r="B4502">
            <v>0</v>
          </cell>
          <cell r="C4502">
            <v>0</v>
          </cell>
          <cell r="D4502">
            <v>0</v>
          </cell>
        </row>
        <row r="4503">
          <cell r="B4503">
            <v>0</v>
          </cell>
          <cell r="C4503">
            <v>0</v>
          </cell>
          <cell r="D4503">
            <v>0</v>
          </cell>
        </row>
        <row r="4504">
          <cell r="B4504">
            <v>0</v>
          </cell>
          <cell r="C4504">
            <v>0</v>
          </cell>
          <cell r="D4504">
            <v>0</v>
          </cell>
        </row>
        <row r="4505">
          <cell r="B4505">
            <v>0</v>
          </cell>
          <cell r="C4505">
            <v>0</v>
          </cell>
          <cell r="D4505">
            <v>0</v>
          </cell>
        </row>
        <row r="4506">
          <cell r="B4506">
            <v>0</v>
          </cell>
          <cell r="C4506">
            <v>0</v>
          </cell>
          <cell r="D4506">
            <v>0</v>
          </cell>
        </row>
        <row r="4507">
          <cell r="B4507">
            <v>0</v>
          </cell>
          <cell r="C4507">
            <v>0</v>
          </cell>
          <cell r="D4507">
            <v>0</v>
          </cell>
        </row>
        <row r="4508">
          <cell r="B4508">
            <v>0</v>
          </cell>
          <cell r="C4508">
            <v>0</v>
          </cell>
          <cell r="D4508">
            <v>0</v>
          </cell>
        </row>
        <row r="4509">
          <cell r="B4509">
            <v>0</v>
          </cell>
          <cell r="C4509">
            <v>0</v>
          </cell>
          <cell r="D4509">
            <v>0</v>
          </cell>
        </row>
        <row r="4510">
          <cell r="B4510">
            <v>0</v>
          </cell>
          <cell r="C4510">
            <v>0</v>
          </cell>
          <cell r="D4510">
            <v>0</v>
          </cell>
        </row>
        <row r="4511">
          <cell r="B4511">
            <v>0</v>
          </cell>
          <cell r="C4511">
            <v>0</v>
          </cell>
          <cell r="D4511">
            <v>0</v>
          </cell>
        </row>
        <row r="4512">
          <cell r="B4512">
            <v>0</v>
          </cell>
          <cell r="C4512">
            <v>0</v>
          </cell>
          <cell r="D4512">
            <v>0</v>
          </cell>
        </row>
        <row r="4513">
          <cell r="B4513">
            <v>0</v>
          </cell>
          <cell r="C4513">
            <v>0</v>
          </cell>
          <cell r="D4513">
            <v>0</v>
          </cell>
        </row>
        <row r="4514">
          <cell r="B4514">
            <v>0</v>
          </cell>
          <cell r="C4514">
            <v>0</v>
          </cell>
          <cell r="D4514">
            <v>0</v>
          </cell>
        </row>
        <row r="4515">
          <cell r="B4515">
            <v>0</v>
          </cell>
          <cell r="C4515">
            <v>0</v>
          </cell>
          <cell r="D4515">
            <v>0</v>
          </cell>
        </row>
        <row r="4516">
          <cell r="B4516">
            <v>0</v>
          </cell>
          <cell r="C4516">
            <v>0</v>
          </cell>
          <cell r="D4516">
            <v>0</v>
          </cell>
        </row>
        <row r="4517">
          <cell r="B4517">
            <v>0</v>
          </cell>
          <cell r="C4517">
            <v>0</v>
          </cell>
          <cell r="D4517">
            <v>0</v>
          </cell>
        </row>
        <row r="4518">
          <cell r="B4518">
            <v>0</v>
          </cell>
          <cell r="C4518">
            <v>0</v>
          </cell>
          <cell r="D4518">
            <v>0</v>
          </cell>
        </row>
        <row r="4519">
          <cell r="B4519">
            <v>0</v>
          </cell>
          <cell r="C4519">
            <v>0</v>
          </cell>
          <cell r="D4519">
            <v>0</v>
          </cell>
        </row>
        <row r="4520">
          <cell r="B4520">
            <v>0</v>
          </cell>
          <cell r="C4520">
            <v>0</v>
          </cell>
          <cell r="D4520">
            <v>0</v>
          </cell>
        </row>
        <row r="4521">
          <cell r="B4521">
            <v>0</v>
          </cell>
          <cell r="C4521">
            <v>0</v>
          </cell>
          <cell r="D4521">
            <v>0</v>
          </cell>
        </row>
        <row r="4522">
          <cell r="B4522">
            <v>0</v>
          </cell>
          <cell r="C4522">
            <v>0</v>
          </cell>
          <cell r="D4522">
            <v>0</v>
          </cell>
        </row>
        <row r="4523">
          <cell r="B4523">
            <v>0</v>
          </cell>
          <cell r="C4523">
            <v>0</v>
          </cell>
          <cell r="D4523">
            <v>0</v>
          </cell>
        </row>
        <row r="4524">
          <cell r="B4524">
            <v>0</v>
          </cell>
          <cell r="C4524">
            <v>0</v>
          </cell>
          <cell r="D4524">
            <v>0</v>
          </cell>
        </row>
        <row r="4525">
          <cell r="B4525">
            <v>0</v>
          </cell>
          <cell r="C4525">
            <v>0</v>
          </cell>
          <cell r="D4525">
            <v>0</v>
          </cell>
        </row>
        <row r="4526">
          <cell r="B4526">
            <v>0</v>
          </cell>
          <cell r="C4526">
            <v>0</v>
          </cell>
          <cell r="D4526">
            <v>0</v>
          </cell>
        </row>
        <row r="4527">
          <cell r="B4527">
            <v>0</v>
          </cell>
          <cell r="C4527">
            <v>0</v>
          </cell>
          <cell r="D4527">
            <v>0</v>
          </cell>
        </row>
        <row r="4528">
          <cell r="B4528">
            <v>0</v>
          </cell>
          <cell r="C4528">
            <v>0</v>
          </cell>
          <cell r="D4528">
            <v>0</v>
          </cell>
        </row>
        <row r="4529">
          <cell r="B4529">
            <v>0</v>
          </cell>
          <cell r="C4529">
            <v>0</v>
          </cell>
          <cell r="D4529">
            <v>0</v>
          </cell>
        </row>
        <row r="4530">
          <cell r="B4530">
            <v>0</v>
          </cell>
          <cell r="C4530">
            <v>0</v>
          </cell>
          <cell r="D4530">
            <v>0</v>
          </cell>
        </row>
        <row r="4531">
          <cell r="B4531">
            <v>0</v>
          </cell>
          <cell r="C4531">
            <v>0</v>
          </cell>
          <cell r="D4531">
            <v>0</v>
          </cell>
        </row>
        <row r="4532">
          <cell r="B4532">
            <v>0</v>
          </cell>
          <cell r="C4532">
            <v>0</v>
          </cell>
          <cell r="D4532">
            <v>0</v>
          </cell>
        </row>
        <row r="4533">
          <cell r="B4533">
            <v>0</v>
          </cell>
          <cell r="C4533">
            <v>0</v>
          </cell>
          <cell r="D4533">
            <v>0</v>
          </cell>
        </row>
        <row r="4534">
          <cell r="B4534">
            <v>0</v>
          </cell>
          <cell r="C4534">
            <v>0</v>
          </cell>
          <cell r="D4534">
            <v>0</v>
          </cell>
        </row>
        <row r="4535">
          <cell r="B4535">
            <v>0</v>
          </cell>
          <cell r="C4535">
            <v>0</v>
          </cell>
          <cell r="D4535">
            <v>0</v>
          </cell>
        </row>
        <row r="4536">
          <cell r="B4536">
            <v>0</v>
          </cell>
          <cell r="C4536">
            <v>0</v>
          </cell>
          <cell r="D4536">
            <v>0</v>
          </cell>
        </row>
        <row r="4537">
          <cell r="B4537">
            <v>0</v>
          </cell>
          <cell r="C4537">
            <v>0</v>
          </cell>
          <cell r="D4537">
            <v>0</v>
          </cell>
        </row>
        <row r="4538">
          <cell r="B4538">
            <v>0</v>
          </cell>
          <cell r="C4538">
            <v>0</v>
          </cell>
          <cell r="D4538">
            <v>0</v>
          </cell>
        </row>
        <row r="4539">
          <cell r="B4539">
            <v>0</v>
          </cell>
          <cell r="C4539">
            <v>0</v>
          </cell>
          <cell r="D4539">
            <v>0</v>
          </cell>
        </row>
        <row r="4540">
          <cell r="B4540">
            <v>0</v>
          </cell>
          <cell r="C4540">
            <v>0</v>
          </cell>
          <cell r="D4540">
            <v>0</v>
          </cell>
        </row>
        <row r="4541">
          <cell r="B4541">
            <v>0</v>
          </cell>
          <cell r="C4541">
            <v>0</v>
          </cell>
          <cell r="D4541">
            <v>0</v>
          </cell>
        </row>
        <row r="4542">
          <cell r="B4542">
            <v>0</v>
          </cell>
          <cell r="C4542">
            <v>0</v>
          </cell>
          <cell r="D4542">
            <v>0</v>
          </cell>
        </row>
        <row r="4543">
          <cell r="B4543">
            <v>0</v>
          </cell>
          <cell r="C4543">
            <v>0</v>
          </cell>
          <cell r="D4543">
            <v>0</v>
          </cell>
        </row>
        <row r="4544">
          <cell r="B4544">
            <v>0</v>
          </cell>
          <cell r="C4544">
            <v>0</v>
          </cell>
          <cell r="D4544">
            <v>0</v>
          </cell>
        </row>
        <row r="4545">
          <cell r="B4545">
            <v>0</v>
          </cell>
          <cell r="C4545">
            <v>0</v>
          </cell>
          <cell r="D4545">
            <v>0</v>
          </cell>
        </row>
        <row r="4546">
          <cell r="B4546">
            <v>0</v>
          </cell>
          <cell r="C4546">
            <v>0</v>
          </cell>
          <cell r="D4546">
            <v>0</v>
          </cell>
        </row>
        <row r="4547">
          <cell r="B4547">
            <v>0</v>
          </cell>
          <cell r="C4547">
            <v>0</v>
          </cell>
          <cell r="D4547">
            <v>0</v>
          </cell>
        </row>
        <row r="4548">
          <cell r="B4548">
            <v>0</v>
          </cell>
          <cell r="C4548">
            <v>0</v>
          </cell>
          <cell r="D4548">
            <v>0</v>
          </cell>
        </row>
        <row r="4549">
          <cell r="B4549">
            <v>0</v>
          </cell>
          <cell r="C4549">
            <v>0</v>
          </cell>
          <cell r="D4549">
            <v>0</v>
          </cell>
        </row>
        <row r="4550">
          <cell r="B4550">
            <v>0</v>
          </cell>
          <cell r="C4550">
            <v>0</v>
          </cell>
          <cell r="D4550">
            <v>0</v>
          </cell>
        </row>
        <row r="4551">
          <cell r="B4551">
            <v>0</v>
          </cell>
          <cell r="C4551">
            <v>0</v>
          </cell>
          <cell r="D4551">
            <v>0</v>
          </cell>
        </row>
        <row r="4552">
          <cell r="B4552">
            <v>0</v>
          </cell>
          <cell r="C4552">
            <v>0</v>
          </cell>
          <cell r="D4552">
            <v>0</v>
          </cell>
        </row>
        <row r="4553">
          <cell r="B4553">
            <v>0</v>
          </cell>
          <cell r="C4553">
            <v>0</v>
          </cell>
          <cell r="D4553">
            <v>0</v>
          </cell>
        </row>
        <row r="4554">
          <cell r="B4554">
            <v>0</v>
          </cell>
          <cell r="C4554">
            <v>0</v>
          </cell>
          <cell r="D4554">
            <v>0</v>
          </cell>
        </row>
        <row r="4555">
          <cell r="B4555">
            <v>0</v>
          </cell>
          <cell r="C4555">
            <v>0</v>
          </cell>
          <cell r="D4555">
            <v>0</v>
          </cell>
        </row>
        <row r="4556">
          <cell r="B4556">
            <v>0</v>
          </cell>
          <cell r="C4556">
            <v>0</v>
          </cell>
          <cell r="D4556">
            <v>0</v>
          </cell>
        </row>
        <row r="4557">
          <cell r="B4557">
            <v>0</v>
          </cell>
          <cell r="C4557">
            <v>0</v>
          </cell>
          <cell r="D4557">
            <v>0</v>
          </cell>
        </row>
        <row r="4558">
          <cell r="B4558">
            <v>0</v>
          </cell>
          <cell r="C4558">
            <v>0</v>
          </cell>
          <cell r="D4558">
            <v>0</v>
          </cell>
        </row>
        <row r="4559">
          <cell r="B4559">
            <v>0</v>
          </cell>
          <cell r="C4559">
            <v>0</v>
          </cell>
          <cell r="D4559">
            <v>0</v>
          </cell>
        </row>
        <row r="4560">
          <cell r="B4560">
            <v>0</v>
          </cell>
          <cell r="C4560">
            <v>0</v>
          </cell>
          <cell r="D4560">
            <v>0</v>
          </cell>
        </row>
        <row r="4561">
          <cell r="B4561">
            <v>0</v>
          </cell>
          <cell r="C4561">
            <v>0</v>
          </cell>
          <cell r="D4561">
            <v>0</v>
          </cell>
        </row>
        <row r="4562">
          <cell r="B4562">
            <v>0</v>
          </cell>
          <cell r="C4562">
            <v>0</v>
          </cell>
          <cell r="D4562">
            <v>0</v>
          </cell>
        </row>
        <row r="4563">
          <cell r="B4563">
            <v>0</v>
          </cell>
          <cell r="C4563">
            <v>0</v>
          </cell>
          <cell r="D4563">
            <v>0</v>
          </cell>
        </row>
        <row r="4564">
          <cell r="B4564">
            <v>0</v>
          </cell>
          <cell r="C4564">
            <v>0</v>
          </cell>
          <cell r="D4564">
            <v>0</v>
          </cell>
        </row>
        <row r="4565">
          <cell r="B4565">
            <v>0</v>
          </cell>
          <cell r="C4565">
            <v>0</v>
          </cell>
          <cell r="D4565">
            <v>0</v>
          </cell>
        </row>
        <row r="4566">
          <cell r="B4566">
            <v>0</v>
          </cell>
          <cell r="C4566">
            <v>0</v>
          </cell>
          <cell r="D4566">
            <v>0</v>
          </cell>
        </row>
        <row r="4567">
          <cell r="B4567">
            <v>0</v>
          </cell>
          <cell r="C4567">
            <v>0</v>
          </cell>
          <cell r="D4567">
            <v>0</v>
          </cell>
        </row>
        <row r="4568">
          <cell r="B4568">
            <v>0</v>
          </cell>
          <cell r="C4568">
            <v>0</v>
          </cell>
          <cell r="D4568">
            <v>0</v>
          </cell>
        </row>
        <row r="4569">
          <cell r="B4569">
            <v>0</v>
          </cell>
          <cell r="C4569">
            <v>0</v>
          </cell>
          <cell r="D4569">
            <v>0</v>
          </cell>
        </row>
        <row r="4570">
          <cell r="B4570">
            <v>0</v>
          </cell>
          <cell r="C4570">
            <v>0</v>
          </cell>
          <cell r="D4570">
            <v>0</v>
          </cell>
        </row>
        <row r="4571">
          <cell r="B4571">
            <v>0</v>
          </cell>
          <cell r="C4571">
            <v>0</v>
          </cell>
          <cell r="D4571">
            <v>0</v>
          </cell>
        </row>
        <row r="4572">
          <cell r="B4572">
            <v>0</v>
          </cell>
          <cell r="C4572">
            <v>0</v>
          </cell>
          <cell r="D4572">
            <v>0</v>
          </cell>
        </row>
        <row r="4573">
          <cell r="B4573">
            <v>0</v>
          </cell>
          <cell r="C4573">
            <v>0</v>
          </cell>
          <cell r="D4573">
            <v>0</v>
          </cell>
        </row>
        <row r="4574">
          <cell r="B4574">
            <v>0</v>
          </cell>
          <cell r="C4574">
            <v>0</v>
          </cell>
          <cell r="D4574">
            <v>0</v>
          </cell>
        </row>
        <row r="4575">
          <cell r="B4575">
            <v>0</v>
          </cell>
          <cell r="C4575">
            <v>0</v>
          </cell>
          <cell r="D4575">
            <v>0</v>
          </cell>
        </row>
        <row r="4576">
          <cell r="B4576">
            <v>0</v>
          </cell>
          <cell r="C4576">
            <v>0</v>
          </cell>
          <cell r="D4576">
            <v>0</v>
          </cell>
        </row>
        <row r="4577">
          <cell r="B4577">
            <v>0</v>
          </cell>
          <cell r="C4577">
            <v>0</v>
          </cell>
          <cell r="D4577">
            <v>0</v>
          </cell>
        </row>
        <row r="4578">
          <cell r="B4578">
            <v>0</v>
          </cell>
          <cell r="C4578">
            <v>0</v>
          </cell>
          <cell r="D4578">
            <v>0</v>
          </cell>
        </row>
        <row r="4579">
          <cell r="B4579">
            <v>0</v>
          </cell>
          <cell r="C4579">
            <v>0</v>
          </cell>
          <cell r="D4579">
            <v>0</v>
          </cell>
        </row>
        <row r="4580">
          <cell r="B4580">
            <v>0</v>
          </cell>
          <cell r="C4580">
            <v>0</v>
          </cell>
          <cell r="D4580">
            <v>0</v>
          </cell>
        </row>
        <row r="4581">
          <cell r="B4581">
            <v>0</v>
          </cell>
          <cell r="C4581">
            <v>0</v>
          </cell>
          <cell r="D4581">
            <v>0</v>
          </cell>
        </row>
        <row r="4582">
          <cell r="B4582">
            <v>0</v>
          </cell>
          <cell r="C4582">
            <v>0</v>
          </cell>
          <cell r="D4582">
            <v>0</v>
          </cell>
        </row>
        <row r="4583">
          <cell r="B4583">
            <v>0</v>
          </cell>
          <cell r="C4583">
            <v>0</v>
          </cell>
          <cell r="D4583">
            <v>0</v>
          </cell>
        </row>
        <row r="4584">
          <cell r="B4584">
            <v>0</v>
          </cell>
          <cell r="C4584">
            <v>0</v>
          </cell>
          <cell r="D4584">
            <v>0</v>
          </cell>
        </row>
        <row r="4585">
          <cell r="B4585">
            <v>0</v>
          </cell>
          <cell r="C4585">
            <v>0</v>
          </cell>
          <cell r="D4585">
            <v>0</v>
          </cell>
        </row>
        <row r="4586">
          <cell r="B4586">
            <v>0</v>
          </cell>
          <cell r="C4586">
            <v>0</v>
          </cell>
          <cell r="D4586">
            <v>0</v>
          </cell>
        </row>
        <row r="4587">
          <cell r="B4587">
            <v>0</v>
          </cell>
          <cell r="C4587">
            <v>0</v>
          </cell>
          <cell r="D4587">
            <v>0</v>
          </cell>
        </row>
        <row r="4588">
          <cell r="B4588">
            <v>0</v>
          </cell>
          <cell r="C4588">
            <v>0</v>
          </cell>
          <cell r="D4588">
            <v>0</v>
          </cell>
        </row>
        <row r="4589">
          <cell r="B4589">
            <v>0</v>
          </cell>
          <cell r="C4589">
            <v>0</v>
          </cell>
          <cell r="D4589">
            <v>0</v>
          </cell>
        </row>
        <row r="4590">
          <cell r="B4590">
            <v>0</v>
          </cell>
          <cell r="C4590">
            <v>0</v>
          </cell>
          <cell r="D4590">
            <v>0</v>
          </cell>
        </row>
        <row r="4591">
          <cell r="B4591">
            <v>0</v>
          </cell>
          <cell r="C4591">
            <v>0</v>
          </cell>
          <cell r="D4591">
            <v>0</v>
          </cell>
        </row>
        <row r="4592">
          <cell r="B4592">
            <v>0</v>
          </cell>
          <cell r="C4592">
            <v>0</v>
          </cell>
          <cell r="D4592">
            <v>0</v>
          </cell>
        </row>
        <row r="4593">
          <cell r="B4593">
            <v>0</v>
          </cell>
          <cell r="C4593">
            <v>0</v>
          </cell>
          <cell r="D4593">
            <v>0</v>
          </cell>
        </row>
        <row r="4594">
          <cell r="B4594">
            <v>0</v>
          </cell>
          <cell r="C4594">
            <v>0</v>
          </cell>
          <cell r="D4594">
            <v>0</v>
          </cell>
        </row>
        <row r="4595">
          <cell r="B4595">
            <v>0</v>
          </cell>
          <cell r="C4595">
            <v>0</v>
          </cell>
          <cell r="D4595">
            <v>0</v>
          </cell>
        </row>
        <row r="4596">
          <cell r="B4596">
            <v>0</v>
          </cell>
          <cell r="C4596">
            <v>0</v>
          </cell>
          <cell r="D4596">
            <v>0</v>
          </cell>
        </row>
        <row r="4597">
          <cell r="B4597">
            <v>0</v>
          </cell>
          <cell r="C4597">
            <v>0</v>
          </cell>
          <cell r="D4597">
            <v>0</v>
          </cell>
        </row>
        <row r="4598">
          <cell r="B4598">
            <v>0</v>
          </cell>
          <cell r="C4598">
            <v>0</v>
          </cell>
          <cell r="D4598">
            <v>0</v>
          </cell>
        </row>
        <row r="4599">
          <cell r="B4599">
            <v>0</v>
          </cell>
          <cell r="C4599">
            <v>0</v>
          </cell>
          <cell r="D4599">
            <v>0</v>
          </cell>
        </row>
        <row r="4600">
          <cell r="B4600">
            <v>0</v>
          </cell>
          <cell r="C4600">
            <v>0</v>
          </cell>
          <cell r="D4600">
            <v>0</v>
          </cell>
        </row>
        <row r="4601">
          <cell r="B4601">
            <v>0</v>
          </cell>
          <cell r="C4601">
            <v>0</v>
          </cell>
          <cell r="D4601">
            <v>0</v>
          </cell>
        </row>
        <row r="4602">
          <cell r="B4602">
            <v>0</v>
          </cell>
          <cell r="C4602">
            <v>0</v>
          </cell>
          <cell r="D4602">
            <v>0</v>
          </cell>
        </row>
        <row r="4603">
          <cell r="B4603">
            <v>0</v>
          </cell>
          <cell r="C4603">
            <v>0</v>
          </cell>
          <cell r="D4603">
            <v>0</v>
          </cell>
        </row>
        <row r="4604">
          <cell r="B4604">
            <v>0</v>
          </cell>
          <cell r="C4604">
            <v>0</v>
          </cell>
          <cell r="D4604">
            <v>0</v>
          </cell>
        </row>
        <row r="4605">
          <cell r="B4605">
            <v>0</v>
          </cell>
          <cell r="C4605">
            <v>0</v>
          </cell>
          <cell r="D4605">
            <v>0</v>
          </cell>
        </row>
        <row r="4606">
          <cell r="B4606">
            <v>0</v>
          </cell>
          <cell r="C4606">
            <v>0</v>
          </cell>
          <cell r="D4606">
            <v>0</v>
          </cell>
        </row>
        <row r="4607">
          <cell r="B4607">
            <v>0</v>
          </cell>
          <cell r="C4607">
            <v>0</v>
          </cell>
          <cell r="D4607">
            <v>0</v>
          </cell>
        </row>
        <row r="4608">
          <cell r="B4608">
            <v>0</v>
          </cell>
          <cell r="C4608">
            <v>0</v>
          </cell>
          <cell r="D4608">
            <v>0</v>
          </cell>
        </row>
        <row r="4609">
          <cell r="B4609">
            <v>0</v>
          </cell>
          <cell r="C4609">
            <v>0</v>
          </cell>
          <cell r="D4609">
            <v>0</v>
          </cell>
        </row>
        <row r="4610">
          <cell r="B4610">
            <v>0</v>
          </cell>
          <cell r="C4610">
            <v>0</v>
          </cell>
          <cell r="D4610">
            <v>0</v>
          </cell>
        </row>
        <row r="4611">
          <cell r="B4611">
            <v>0</v>
          </cell>
          <cell r="C4611">
            <v>0</v>
          </cell>
          <cell r="D4611">
            <v>0</v>
          </cell>
        </row>
        <row r="4612">
          <cell r="B4612">
            <v>0</v>
          </cell>
          <cell r="C4612">
            <v>0</v>
          </cell>
          <cell r="D4612">
            <v>0</v>
          </cell>
        </row>
        <row r="4613">
          <cell r="B4613">
            <v>0</v>
          </cell>
          <cell r="C4613">
            <v>0</v>
          </cell>
          <cell r="D4613">
            <v>0</v>
          </cell>
        </row>
        <row r="4614">
          <cell r="B4614">
            <v>0</v>
          </cell>
          <cell r="C4614">
            <v>0</v>
          </cell>
          <cell r="D4614">
            <v>0</v>
          </cell>
        </row>
        <row r="4615">
          <cell r="B4615">
            <v>0</v>
          </cell>
          <cell r="C4615">
            <v>0</v>
          </cell>
          <cell r="D4615">
            <v>0</v>
          </cell>
        </row>
        <row r="4616">
          <cell r="B4616">
            <v>0</v>
          </cell>
          <cell r="C4616">
            <v>0</v>
          </cell>
          <cell r="D4616">
            <v>0</v>
          </cell>
        </row>
        <row r="4617">
          <cell r="B4617">
            <v>0</v>
          </cell>
          <cell r="C4617">
            <v>0</v>
          </cell>
          <cell r="D4617">
            <v>0</v>
          </cell>
        </row>
        <row r="4618">
          <cell r="B4618">
            <v>0</v>
          </cell>
          <cell r="C4618">
            <v>0</v>
          </cell>
          <cell r="D4618">
            <v>0</v>
          </cell>
        </row>
        <row r="4619">
          <cell r="B4619">
            <v>0</v>
          </cell>
          <cell r="C4619">
            <v>0</v>
          </cell>
          <cell r="D4619">
            <v>0</v>
          </cell>
        </row>
        <row r="4620">
          <cell r="B4620">
            <v>0</v>
          </cell>
          <cell r="C4620">
            <v>0</v>
          </cell>
          <cell r="D4620">
            <v>0</v>
          </cell>
        </row>
        <row r="4621">
          <cell r="B4621">
            <v>0</v>
          </cell>
          <cell r="C4621">
            <v>0</v>
          </cell>
          <cell r="D4621">
            <v>0</v>
          </cell>
        </row>
        <row r="4622">
          <cell r="B4622">
            <v>0</v>
          </cell>
          <cell r="C4622">
            <v>0</v>
          </cell>
          <cell r="D4622">
            <v>0</v>
          </cell>
        </row>
        <row r="4623">
          <cell r="B4623">
            <v>0</v>
          </cell>
          <cell r="C4623">
            <v>0</v>
          </cell>
          <cell r="D4623">
            <v>0</v>
          </cell>
        </row>
        <row r="4624">
          <cell r="B4624">
            <v>0</v>
          </cell>
          <cell r="C4624">
            <v>0</v>
          </cell>
          <cell r="D4624">
            <v>0</v>
          </cell>
        </row>
        <row r="4625">
          <cell r="B4625">
            <v>0</v>
          </cell>
          <cell r="C4625">
            <v>0</v>
          </cell>
          <cell r="D4625">
            <v>0</v>
          </cell>
        </row>
        <row r="4626">
          <cell r="B4626">
            <v>0</v>
          </cell>
          <cell r="C4626">
            <v>0</v>
          </cell>
          <cell r="D4626">
            <v>0</v>
          </cell>
        </row>
        <row r="4627">
          <cell r="B4627">
            <v>0</v>
          </cell>
          <cell r="C4627">
            <v>0</v>
          </cell>
          <cell r="D4627">
            <v>0</v>
          </cell>
        </row>
        <row r="4628">
          <cell r="B4628">
            <v>0</v>
          </cell>
          <cell r="C4628">
            <v>0</v>
          </cell>
          <cell r="D4628">
            <v>0</v>
          </cell>
        </row>
        <row r="4629">
          <cell r="B4629">
            <v>0</v>
          </cell>
          <cell r="C4629">
            <v>0</v>
          </cell>
          <cell r="D4629">
            <v>0</v>
          </cell>
        </row>
        <row r="4630">
          <cell r="B4630">
            <v>0</v>
          </cell>
          <cell r="C4630">
            <v>0</v>
          </cell>
          <cell r="D4630">
            <v>0</v>
          </cell>
        </row>
        <row r="4631">
          <cell r="B4631">
            <v>0</v>
          </cell>
          <cell r="C4631">
            <v>0</v>
          </cell>
          <cell r="D4631">
            <v>0</v>
          </cell>
        </row>
        <row r="4632">
          <cell r="B4632">
            <v>0</v>
          </cell>
          <cell r="C4632">
            <v>0</v>
          </cell>
          <cell r="D4632">
            <v>0</v>
          </cell>
        </row>
        <row r="4633">
          <cell r="B4633">
            <v>0</v>
          </cell>
          <cell r="C4633">
            <v>0</v>
          </cell>
          <cell r="D4633">
            <v>0</v>
          </cell>
        </row>
        <row r="4634">
          <cell r="B4634">
            <v>0</v>
          </cell>
          <cell r="C4634">
            <v>0</v>
          </cell>
          <cell r="D4634">
            <v>0</v>
          </cell>
        </row>
        <row r="4635">
          <cell r="B4635">
            <v>0</v>
          </cell>
          <cell r="C4635">
            <v>0</v>
          </cell>
          <cell r="D4635">
            <v>0</v>
          </cell>
        </row>
        <row r="4636">
          <cell r="B4636">
            <v>0</v>
          </cell>
          <cell r="C4636">
            <v>0</v>
          </cell>
          <cell r="D4636">
            <v>0</v>
          </cell>
        </row>
        <row r="4637">
          <cell r="B4637">
            <v>0</v>
          </cell>
          <cell r="C4637">
            <v>0</v>
          </cell>
          <cell r="D4637">
            <v>0</v>
          </cell>
        </row>
        <row r="4638">
          <cell r="B4638">
            <v>0</v>
          </cell>
          <cell r="C4638">
            <v>0</v>
          </cell>
          <cell r="D4638">
            <v>0</v>
          </cell>
        </row>
        <row r="4639">
          <cell r="B4639">
            <v>0</v>
          </cell>
          <cell r="C4639">
            <v>0</v>
          </cell>
          <cell r="D4639">
            <v>0</v>
          </cell>
        </row>
        <row r="4640">
          <cell r="B4640">
            <v>0</v>
          </cell>
          <cell r="C4640">
            <v>0</v>
          </cell>
          <cell r="D4640">
            <v>0</v>
          </cell>
        </row>
        <row r="4641">
          <cell r="B4641">
            <v>0</v>
          </cell>
          <cell r="C4641">
            <v>0</v>
          </cell>
          <cell r="D4641">
            <v>0</v>
          </cell>
        </row>
        <row r="4642">
          <cell r="B4642">
            <v>0</v>
          </cell>
          <cell r="C4642">
            <v>0</v>
          </cell>
          <cell r="D4642">
            <v>0</v>
          </cell>
        </row>
        <row r="4643">
          <cell r="B4643">
            <v>0</v>
          </cell>
          <cell r="C4643">
            <v>0</v>
          </cell>
          <cell r="D4643">
            <v>0</v>
          </cell>
        </row>
        <row r="4644">
          <cell r="B4644">
            <v>0</v>
          </cell>
          <cell r="C4644">
            <v>0</v>
          </cell>
          <cell r="D4644">
            <v>0</v>
          </cell>
        </row>
        <row r="4645">
          <cell r="B4645">
            <v>0</v>
          </cell>
          <cell r="C4645">
            <v>0</v>
          </cell>
          <cell r="D4645">
            <v>0</v>
          </cell>
        </row>
        <row r="4646">
          <cell r="B4646">
            <v>0</v>
          </cell>
          <cell r="C4646">
            <v>0</v>
          </cell>
          <cell r="D4646">
            <v>0</v>
          </cell>
        </row>
        <row r="4647">
          <cell r="B4647">
            <v>0</v>
          </cell>
          <cell r="C4647">
            <v>0</v>
          </cell>
          <cell r="D4647">
            <v>0</v>
          </cell>
        </row>
        <row r="4648">
          <cell r="B4648">
            <v>0</v>
          </cell>
          <cell r="C4648">
            <v>0</v>
          </cell>
          <cell r="D4648">
            <v>0</v>
          </cell>
        </row>
        <row r="4649">
          <cell r="B4649">
            <v>0</v>
          </cell>
          <cell r="C4649">
            <v>0</v>
          </cell>
          <cell r="D4649">
            <v>0</v>
          </cell>
        </row>
        <row r="4650">
          <cell r="B4650">
            <v>0</v>
          </cell>
          <cell r="C4650">
            <v>0</v>
          </cell>
          <cell r="D4650">
            <v>0</v>
          </cell>
        </row>
        <row r="4651">
          <cell r="B4651">
            <v>0</v>
          </cell>
          <cell r="C4651">
            <v>0</v>
          </cell>
          <cell r="D4651">
            <v>0</v>
          </cell>
        </row>
        <row r="4652">
          <cell r="B4652">
            <v>0</v>
          </cell>
          <cell r="C4652">
            <v>0</v>
          </cell>
          <cell r="D4652">
            <v>0</v>
          </cell>
        </row>
        <row r="4653">
          <cell r="B4653">
            <v>0</v>
          </cell>
          <cell r="C4653">
            <v>0</v>
          </cell>
          <cell r="D4653">
            <v>0</v>
          </cell>
        </row>
        <row r="4654">
          <cell r="B4654">
            <v>0</v>
          </cell>
          <cell r="C4654">
            <v>0</v>
          </cell>
          <cell r="D4654">
            <v>0</v>
          </cell>
        </row>
        <row r="4655">
          <cell r="B4655">
            <v>0</v>
          </cell>
          <cell r="C4655">
            <v>0</v>
          </cell>
          <cell r="D4655">
            <v>0</v>
          </cell>
        </row>
        <row r="4656">
          <cell r="B4656">
            <v>0</v>
          </cell>
          <cell r="C4656">
            <v>0</v>
          </cell>
          <cell r="D4656">
            <v>0</v>
          </cell>
        </row>
        <row r="4657">
          <cell r="B4657">
            <v>0</v>
          </cell>
          <cell r="C4657">
            <v>0</v>
          </cell>
          <cell r="D4657">
            <v>0</v>
          </cell>
        </row>
        <row r="4658">
          <cell r="B4658">
            <v>0</v>
          </cell>
          <cell r="C4658">
            <v>0</v>
          </cell>
          <cell r="D4658">
            <v>0</v>
          </cell>
        </row>
        <row r="4659">
          <cell r="B4659">
            <v>0</v>
          </cell>
          <cell r="C4659">
            <v>0</v>
          </cell>
          <cell r="D4659">
            <v>0</v>
          </cell>
        </row>
        <row r="4660">
          <cell r="B4660">
            <v>0</v>
          </cell>
          <cell r="C4660">
            <v>0</v>
          </cell>
          <cell r="D4660">
            <v>0</v>
          </cell>
        </row>
        <row r="4661">
          <cell r="B4661">
            <v>0</v>
          </cell>
          <cell r="C4661">
            <v>0</v>
          </cell>
          <cell r="D4661">
            <v>0</v>
          </cell>
        </row>
        <row r="4662">
          <cell r="B4662">
            <v>0</v>
          </cell>
          <cell r="C4662">
            <v>0</v>
          </cell>
          <cell r="D4662">
            <v>0</v>
          </cell>
        </row>
        <row r="4663">
          <cell r="B4663">
            <v>0</v>
          </cell>
          <cell r="C4663">
            <v>0</v>
          </cell>
          <cell r="D4663">
            <v>0</v>
          </cell>
        </row>
        <row r="4664">
          <cell r="B4664">
            <v>0</v>
          </cell>
          <cell r="C4664">
            <v>0</v>
          </cell>
          <cell r="D4664">
            <v>0</v>
          </cell>
        </row>
        <row r="4665">
          <cell r="B4665">
            <v>0</v>
          </cell>
          <cell r="C4665">
            <v>0</v>
          </cell>
          <cell r="D4665">
            <v>0</v>
          </cell>
        </row>
        <row r="4666">
          <cell r="B4666">
            <v>0</v>
          </cell>
          <cell r="C4666">
            <v>0</v>
          </cell>
          <cell r="D4666">
            <v>0</v>
          </cell>
        </row>
        <row r="4667">
          <cell r="B4667">
            <v>0</v>
          </cell>
          <cell r="C4667">
            <v>0</v>
          </cell>
          <cell r="D4667">
            <v>0</v>
          </cell>
        </row>
        <row r="4668">
          <cell r="B4668">
            <v>0</v>
          </cell>
          <cell r="C4668">
            <v>0</v>
          </cell>
          <cell r="D4668">
            <v>0</v>
          </cell>
        </row>
        <row r="4669">
          <cell r="B4669">
            <v>0</v>
          </cell>
          <cell r="C4669">
            <v>0</v>
          </cell>
          <cell r="D4669">
            <v>0</v>
          </cell>
        </row>
        <row r="4670">
          <cell r="B4670">
            <v>0</v>
          </cell>
          <cell r="C4670">
            <v>0</v>
          </cell>
          <cell r="D4670">
            <v>0</v>
          </cell>
        </row>
        <row r="4671">
          <cell r="B4671">
            <v>0</v>
          </cell>
          <cell r="C4671">
            <v>0</v>
          </cell>
          <cell r="D4671">
            <v>0</v>
          </cell>
        </row>
        <row r="4672">
          <cell r="B4672">
            <v>0</v>
          </cell>
          <cell r="C4672">
            <v>0</v>
          </cell>
          <cell r="D4672">
            <v>0</v>
          </cell>
        </row>
        <row r="4673">
          <cell r="B4673">
            <v>0</v>
          </cell>
          <cell r="C4673">
            <v>0</v>
          </cell>
          <cell r="D4673">
            <v>0</v>
          </cell>
        </row>
        <row r="4674">
          <cell r="B4674">
            <v>0</v>
          </cell>
          <cell r="C4674">
            <v>0</v>
          </cell>
          <cell r="D4674">
            <v>0</v>
          </cell>
        </row>
        <row r="4675">
          <cell r="B4675">
            <v>0</v>
          </cell>
          <cell r="C4675">
            <v>0</v>
          </cell>
          <cell r="D4675">
            <v>0</v>
          </cell>
        </row>
        <row r="4676">
          <cell r="B4676">
            <v>0</v>
          </cell>
          <cell r="C4676">
            <v>0</v>
          </cell>
          <cell r="D4676">
            <v>0</v>
          </cell>
        </row>
        <row r="4677">
          <cell r="B4677">
            <v>0</v>
          </cell>
          <cell r="C4677">
            <v>0</v>
          </cell>
          <cell r="D4677">
            <v>0</v>
          </cell>
        </row>
        <row r="4678">
          <cell r="B4678">
            <v>0</v>
          </cell>
          <cell r="C4678">
            <v>0</v>
          </cell>
          <cell r="D4678">
            <v>0</v>
          </cell>
        </row>
        <row r="4679">
          <cell r="B4679">
            <v>0</v>
          </cell>
          <cell r="C4679">
            <v>0</v>
          </cell>
          <cell r="D4679">
            <v>0</v>
          </cell>
        </row>
        <row r="4680">
          <cell r="B4680">
            <v>0</v>
          </cell>
          <cell r="C4680">
            <v>0</v>
          </cell>
          <cell r="D4680">
            <v>0</v>
          </cell>
        </row>
        <row r="4681">
          <cell r="B4681">
            <v>0</v>
          </cell>
          <cell r="C4681">
            <v>0</v>
          </cell>
          <cell r="D4681">
            <v>0</v>
          </cell>
        </row>
        <row r="4682">
          <cell r="B4682">
            <v>0</v>
          </cell>
          <cell r="C4682">
            <v>0</v>
          </cell>
          <cell r="D4682">
            <v>0</v>
          </cell>
        </row>
        <row r="4683">
          <cell r="B4683">
            <v>0</v>
          </cell>
          <cell r="C4683">
            <v>0</v>
          </cell>
          <cell r="D4683">
            <v>0</v>
          </cell>
        </row>
        <row r="4684">
          <cell r="B4684">
            <v>0</v>
          </cell>
          <cell r="C4684">
            <v>0</v>
          </cell>
          <cell r="D4684">
            <v>0</v>
          </cell>
        </row>
        <row r="4685">
          <cell r="B4685">
            <v>0</v>
          </cell>
          <cell r="C4685">
            <v>0</v>
          </cell>
          <cell r="D4685">
            <v>0</v>
          </cell>
        </row>
        <row r="4686">
          <cell r="B4686">
            <v>0</v>
          </cell>
          <cell r="C4686">
            <v>0</v>
          </cell>
          <cell r="D4686">
            <v>0</v>
          </cell>
        </row>
        <row r="4687">
          <cell r="B4687">
            <v>0</v>
          </cell>
          <cell r="C4687">
            <v>0</v>
          </cell>
          <cell r="D4687">
            <v>0</v>
          </cell>
        </row>
        <row r="4688">
          <cell r="B4688">
            <v>0</v>
          </cell>
          <cell r="C4688">
            <v>0</v>
          </cell>
          <cell r="D4688">
            <v>0</v>
          </cell>
        </row>
        <row r="4689">
          <cell r="B4689">
            <v>0</v>
          </cell>
          <cell r="C4689">
            <v>0</v>
          </cell>
          <cell r="D4689">
            <v>0</v>
          </cell>
        </row>
        <row r="4690">
          <cell r="B4690">
            <v>0</v>
          </cell>
          <cell r="C4690">
            <v>0</v>
          </cell>
          <cell r="D4690">
            <v>0</v>
          </cell>
        </row>
        <row r="4691">
          <cell r="B4691">
            <v>0</v>
          </cell>
          <cell r="C4691">
            <v>0</v>
          </cell>
          <cell r="D4691">
            <v>0</v>
          </cell>
        </row>
        <row r="4692">
          <cell r="B4692">
            <v>0</v>
          </cell>
          <cell r="C4692">
            <v>0</v>
          </cell>
          <cell r="D4692">
            <v>0</v>
          </cell>
        </row>
        <row r="4693">
          <cell r="B4693">
            <v>0</v>
          </cell>
          <cell r="C4693">
            <v>0</v>
          </cell>
          <cell r="D4693">
            <v>0</v>
          </cell>
        </row>
        <row r="4694">
          <cell r="B4694">
            <v>0</v>
          </cell>
          <cell r="C4694">
            <v>0</v>
          </cell>
          <cell r="D4694">
            <v>0</v>
          </cell>
        </row>
        <row r="4695">
          <cell r="B4695">
            <v>0</v>
          </cell>
          <cell r="C4695">
            <v>0</v>
          </cell>
          <cell r="D4695">
            <v>0</v>
          </cell>
        </row>
        <row r="4696">
          <cell r="B4696">
            <v>0</v>
          </cell>
          <cell r="C4696">
            <v>0</v>
          </cell>
          <cell r="D4696">
            <v>0</v>
          </cell>
        </row>
        <row r="4697">
          <cell r="B4697">
            <v>0</v>
          </cell>
          <cell r="C4697">
            <v>0</v>
          </cell>
          <cell r="D4697">
            <v>0</v>
          </cell>
        </row>
        <row r="4698">
          <cell r="B4698">
            <v>0</v>
          </cell>
          <cell r="C4698">
            <v>0</v>
          </cell>
          <cell r="D4698">
            <v>0</v>
          </cell>
        </row>
        <row r="4699">
          <cell r="B4699">
            <v>0</v>
          </cell>
          <cell r="C4699">
            <v>0</v>
          </cell>
          <cell r="D4699">
            <v>0</v>
          </cell>
        </row>
        <row r="4700">
          <cell r="B4700">
            <v>0</v>
          </cell>
          <cell r="C4700">
            <v>0</v>
          </cell>
          <cell r="D4700">
            <v>0</v>
          </cell>
        </row>
        <row r="4701">
          <cell r="B4701">
            <v>0</v>
          </cell>
          <cell r="C4701">
            <v>0</v>
          </cell>
          <cell r="D4701">
            <v>0</v>
          </cell>
        </row>
        <row r="4702">
          <cell r="B4702">
            <v>0</v>
          </cell>
          <cell r="C4702">
            <v>0</v>
          </cell>
          <cell r="D4702">
            <v>0</v>
          </cell>
        </row>
        <row r="4703">
          <cell r="B4703">
            <v>0</v>
          </cell>
          <cell r="C4703">
            <v>0</v>
          </cell>
          <cell r="D4703">
            <v>0</v>
          </cell>
        </row>
        <row r="4704">
          <cell r="B4704">
            <v>0</v>
          </cell>
          <cell r="C4704">
            <v>0</v>
          </cell>
          <cell r="D4704">
            <v>0</v>
          </cell>
        </row>
        <row r="4705">
          <cell r="B4705">
            <v>0</v>
          </cell>
          <cell r="C4705">
            <v>0</v>
          </cell>
          <cell r="D4705">
            <v>0</v>
          </cell>
        </row>
        <row r="4706">
          <cell r="B4706">
            <v>0</v>
          </cell>
          <cell r="C4706">
            <v>0</v>
          </cell>
          <cell r="D4706">
            <v>0</v>
          </cell>
        </row>
        <row r="4707">
          <cell r="B4707">
            <v>0</v>
          </cell>
          <cell r="C4707">
            <v>0</v>
          </cell>
          <cell r="D4707">
            <v>0</v>
          </cell>
        </row>
        <row r="4708">
          <cell r="B4708">
            <v>0</v>
          </cell>
          <cell r="C4708">
            <v>0</v>
          </cell>
          <cell r="D4708">
            <v>0</v>
          </cell>
        </row>
        <row r="4709">
          <cell r="B4709">
            <v>0</v>
          </cell>
          <cell r="C4709">
            <v>0</v>
          </cell>
          <cell r="D4709">
            <v>0</v>
          </cell>
        </row>
        <row r="4710">
          <cell r="B4710">
            <v>0</v>
          </cell>
          <cell r="C4710">
            <v>0</v>
          </cell>
          <cell r="D4710">
            <v>0</v>
          </cell>
        </row>
        <row r="4711">
          <cell r="B4711">
            <v>0</v>
          </cell>
          <cell r="C4711">
            <v>0</v>
          </cell>
          <cell r="D4711">
            <v>0</v>
          </cell>
        </row>
        <row r="4712">
          <cell r="B4712">
            <v>0</v>
          </cell>
          <cell r="C4712">
            <v>0</v>
          </cell>
          <cell r="D4712">
            <v>0</v>
          </cell>
        </row>
        <row r="4713">
          <cell r="B4713">
            <v>0</v>
          </cell>
          <cell r="C4713">
            <v>0</v>
          </cell>
          <cell r="D4713">
            <v>0</v>
          </cell>
        </row>
        <row r="4714">
          <cell r="B4714">
            <v>0</v>
          </cell>
          <cell r="C4714">
            <v>0</v>
          </cell>
          <cell r="D4714">
            <v>0</v>
          </cell>
        </row>
        <row r="4715">
          <cell r="B4715">
            <v>0</v>
          </cell>
          <cell r="C4715">
            <v>0</v>
          </cell>
          <cell r="D4715">
            <v>0</v>
          </cell>
        </row>
        <row r="4716">
          <cell r="B4716">
            <v>0</v>
          </cell>
          <cell r="C4716">
            <v>0</v>
          </cell>
          <cell r="D4716">
            <v>0</v>
          </cell>
        </row>
        <row r="4717">
          <cell r="B4717">
            <v>0</v>
          </cell>
          <cell r="C4717">
            <v>0</v>
          </cell>
          <cell r="D4717">
            <v>0</v>
          </cell>
        </row>
        <row r="4718">
          <cell r="B4718">
            <v>0</v>
          </cell>
          <cell r="C4718">
            <v>0</v>
          </cell>
          <cell r="D4718">
            <v>0</v>
          </cell>
        </row>
        <row r="4719">
          <cell r="B4719">
            <v>0</v>
          </cell>
          <cell r="C4719">
            <v>0</v>
          </cell>
          <cell r="D4719">
            <v>0</v>
          </cell>
        </row>
        <row r="4720">
          <cell r="B4720">
            <v>0</v>
          </cell>
          <cell r="C4720">
            <v>0</v>
          </cell>
          <cell r="D4720">
            <v>0</v>
          </cell>
        </row>
        <row r="4721">
          <cell r="B4721">
            <v>0</v>
          </cell>
          <cell r="C4721">
            <v>0</v>
          </cell>
          <cell r="D4721">
            <v>0</v>
          </cell>
        </row>
        <row r="4722">
          <cell r="B4722">
            <v>0</v>
          </cell>
          <cell r="C4722">
            <v>0</v>
          </cell>
          <cell r="D4722">
            <v>0</v>
          </cell>
        </row>
        <row r="4723">
          <cell r="B4723">
            <v>0</v>
          </cell>
          <cell r="C4723">
            <v>0</v>
          </cell>
          <cell r="D4723">
            <v>0</v>
          </cell>
        </row>
        <row r="4724">
          <cell r="B4724">
            <v>0</v>
          </cell>
          <cell r="C4724">
            <v>0</v>
          </cell>
          <cell r="D4724">
            <v>0</v>
          </cell>
        </row>
        <row r="4725">
          <cell r="B4725">
            <v>0</v>
          </cell>
          <cell r="C4725">
            <v>0</v>
          </cell>
          <cell r="D4725">
            <v>0</v>
          </cell>
        </row>
        <row r="4726">
          <cell r="B4726">
            <v>0</v>
          </cell>
          <cell r="C4726">
            <v>0</v>
          </cell>
          <cell r="D4726">
            <v>0</v>
          </cell>
        </row>
        <row r="4727">
          <cell r="B4727">
            <v>0</v>
          </cell>
          <cell r="C4727">
            <v>0</v>
          </cell>
          <cell r="D4727">
            <v>0</v>
          </cell>
        </row>
        <row r="4728">
          <cell r="B4728">
            <v>0</v>
          </cell>
          <cell r="C4728">
            <v>0</v>
          </cell>
          <cell r="D4728">
            <v>0</v>
          </cell>
        </row>
        <row r="4729">
          <cell r="B4729">
            <v>0</v>
          </cell>
          <cell r="C4729">
            <v>0</v>
          </cell>
          <cell r="D4729">
            <v>0</v>
          </cell>
        </row>
        <row r="4730">
          <cell r="B4730">
            <v>0</v>
          </cell>
          <cell r="C4730">
            <v>0</v>
          </cell>
          <cell r="D4730">
            <v>0</v>
          </cell>
        </row>
        <row r="4731">
          <cell r="B4731">
            <v>0</v>
          </cell>
          <cell r="C4731">
            <v>0</v>
          </cell>
          <cell r="D4731">
            <v>0</v>
          </cell>
        </row>
        <row r="4732">
          <cell r="B4732">
            <v>0</v>
          </cell>
          <cell r="C4732">
            <v>0</v>
          </cell>
          <cell r="D4732">
            <v>0</v>
          </cell>
        </row>
        <row r="4733">
          <cell r="B4733">
            <v>0</v>
          </cell>
          <cell r="C4733">
            <v>0</v>
          </cell>
          <cell r="D4733">
            <v>0</v>
          </cell>
        </row>
        <row r="4734">
          <cell r="B4734">
            <v>0</v>
          </cell>
          <cell r="C4734">
            <v>0</v>
          </cell>
          <cell r="D4734">
            <v>0</v>
          </cell>
        </row>
        <row r="4735">
          <cell r="B4735">
            <v>0</v>
          </cell>
          <cell r="C4735">
            <v>0</v>
          </cell>
          <cell r="D4735">
            <v>0</v>
          </cell>
        </row>
        <row r="4736">
          <cell r="B4736">
            <v>0</v>
          </cell>
          <cell r="C4736">
            <v>0</v>
          </cell>
          <cell r="D4736">
            <v>0</v>
          </cell>
        </row>
        <row r="4737">
          <cell r="B4737">
            <v>0</v>
          </cell>
          <cell r="C4737">
            <v>0</v>
          </cell>
          <cell r="D4737">
            <v>0</v>
          </cell>
        </row>
        <row r="4738">
          <cell r="B4738">
            <v>0</v>
          </cell>
          <cell r="C4738">
            <v>0</v>
          </cell>
          <cell r="D4738">
            <v>0</v>
          </cell>
        </row>
        <row r="4739">
          <cell r="B4739">
            <v>0</v>
          </cell>
          <cell r="C4739">
            <v>0</v>
          </cell>
          <cell r="D4739">
            <v>0</v>
          </cell>
        </row>
      </sheetData>
      <sheetData sheetId="1">
        <row r="1">
          <cell r="B1" t="str">
            <v>Point Name</v>
          </cell>
          <cell r="C1" t="str">
            <v>Point Alias</v>
          </cell>
          <cell r="D1" t="str">
            <v>Record Type</v>
          </cell>
          <cell r="E1" t="str">
            <v>Description</v>
          </cell>
        </row>
        <row r="2">
          <cell r="B2" t="str">
            <v>7HBK10CB001XK12</v>
          </cell>
          <cell r="E2" t="str">
            <v>Факел 1 давач 1 п/т</v>
          </cell>
        </row>
        <row r="3">
          <cell r="B3" t="str">
            <v>7HBK10CB001XK15</v>
          </cell>
          <cell r="E3" t="str">
            <v>Неспр 1 давач факелу 1 п/т</v>
          </cell>
        </row>
        <row r="4">
          <cell r="B4" t="str">
            <v>7HBK10CB001XG01</v>
          </cell>
          <cell r="E4" t="str">
            <v>Факел 1 давач 1 п/т НЖ</v>
          </cell>
        </row>
        <row r="5">
          <cell r="B5" t="str">
            <v>7HBK10CB003XK12</v>
          </cell>
          <cell r="E5" t="str">
            <v>Факел 1 давач 2 п/т</v>
          </cell>
        </row>
        <row r="6">
          <cell r="B6" t="str">
            <v>7HBK10CB003XK15</v>
          </cell>
          <cell r="E6" t="str">
            <v>Неспр 1 давач факелу 2 п/т</v>
          </cell>
        </row>
        <row r="7">
          <cell r="B7" t="str">
            <v>7HBK10CB003XG01</v>
          </cell>
          <cell r="E7" t="str">
            <v>Факел 1 давач 2 п/т НЖ</v>
          </cell>
        </row>
        <row r="8">
          <cell r="B8" t="str">
            <v>7ANE06GS001XB07</v>
          </cell>
          <cell r="E8" t="str">
            <v>Відкл авт заг кіл сист зм млин</v>
          </cell>
        </row>
        <row r="9">
          <cell r="B9" t="str">
            <v>7ANE07GS001XB07</v>
          </cell>
          <cell r="E9" t="str">
            <v>Неспр РУНС-0,4 маслогосподар</v>
          </cell>
        </row>
        <row r="10">
          <cell r="B10" t="str">
            <v>7HFV12GS001XB07</v>
          </cell>
          <cell r="E10" t="str">
            <v>Виклик м/с М 1,2 чи нема ~220в</v>
          </cell>
        </row>
        <row r="11">
          <cell r="B11" t="str">
            <v>7HFV16GS001XB07</v>
          </cell>
          <cell r="E11" t="str">
            <v>Неспр сист змащення млинів</v>
          </cell>
        </row>
        <row r="12">
          <cell r="B12" t="str">
            <v>7HFV34GS001XB07</v>
          </cell>
          <cell r="E12" t="str">
            <v>Виклик м/с М 3,4 чи нема ~220в</v>
          </cell>
        </row>
        <row r="13">
          <cell r="B13" t="str">
            <v>7HFV56GS001XB07</v>
          </cell>
          <cell r="E13" t="str">
            <v>Виклик м/с М 5,6 чи нема ~220в</v>
          </cell>
        </row>
        <row r="14">
          <cell r="B14" t="str">
            <v>7LBA12CG901XG01</v>
          </cell>
          <cell r="E14" t="str">
            <v>Спрацював ІЗК контрольний</v>
          </cell>
        </row>
        <row r="15">
          <cell r="B15" t="str">
            <v>7LBA12CG902XG01</v>
          </cell>
          <cell r="E15" t="str">
            <v>Спрацював ІЗК робочий</v>
          </cell>
        </row>
        <row r="16">
          <cell r="B16" t="str">
            <v>7HHG10CG901XG02</v>
          </cell>
          <cell r="E16" t="str">
            <v xml:space="preserve">Відсіч клапан газ ЗАКР </v>
          </cell>
        </row>
        <row r="17">
          <cell r="B17" t="str">
            <v>7HHG10CG901XB06</v>
          </cell>
          <cell r="E17" t="str">
            <v>Відсіч клапан газ НЖ</v>
          </cell>
        </row>
        <row r="18">
          <cell r="B18" t="str">
            <v>7HJF10CG901XG02</v>
          </cell>
          <cell r="E18" t="str">
            <v xml:space="preserve">Відсіч клапан мазут 1 ЗАКР </v>
          </cell>
        </row>
        <row r="19">
          <cell r="B19" t="str">
            <v>7HJF10CG902XG02</v>
          </cell>
          <cell r="E19" t="str">
            <v xml:space="preserve">Відсіч клапан мазут 2 ЗАКР </v>
          </cell>
        </row>
        <row r="20">
          <cell r="B20" t="str">
            <v>7HJF10CG901XB06</v>
          </cell>
          <cell r="E20" t="str">
            <v>Відсіч клапан мазут 1 НЖ</v>
          </cell>
        </row>
        <row r="21">
          <cell r="B21" t="str">
            <v>7HJF10CG902XB06</v>
          </cell>
          <cell r="E21" t="str">
            <v>Відсіч клапан мазут 2 НЖ</v>
          </cell>
        </row>
        <row r="22">
          <cell r="B22" t="str">
            <v>7LBY22AA601XB01</v>
          </cell>
          <cell r="E22" t="str">
            <v>ІЗК ГПП ВІДКР</v>
          </cell>
        </row>
        <row r="23">
          <cell r="B23" t="str">
            <v>7LBY22AA601XB02</v>
          </cell>
          <cell r="E23" t="str">
            <v>ІЗК ГПП ЗАКР</v>
          </cell>
        </row>
        <row r="24">
          <cell r="B24" t="str">
            <v>7LBY21AA601XB01</v>
          </cell>
          <cell r="E24" t="str">
            <v>ІЗК ХПП ВІДКР</v>
          </cell>
        </row>
        <row r="25">
          <cell r="B25" t="str">
            <v>7LBY21AA601XB02</v>
          </cell>
          <cell r="E25" t="str">
            <v>ІЗК ХПП ЗАКР</v>
          </cell>
        </row>
        <row r="26">
          <cell r="B26" t="str">
            <v>7LBY12AA601XB01</v>
          </cell>
          <cell r="E26" t="str">
            <v>ІЗК робочий ВІДКР</v>
          </cell>
        </row>
        <row r="27">
          <cell r="B27" t="str">
            <v>7LBY12AA601XB02</v>
          </cell>
          <cell r="E27" t="str">
            <v>ІЗК робочий ЗАКР</v>
          </cell>
        </row>
        <row r="28">
          <cell r="B28" t="str">
            <v>7LBY11AA601XB01</v>
          </cell>
          <cell r="E28" t="str">
            <v>ІЗК контрольний ВІДКР</v>
          </cell>
        </row>
        <row r="29">
          <cell r="B29" t="str">
            <v>7LBY11AA601XB02</v>
          </cell>
          <cell r="E29" t="str">
            <v>ІЗК контрольний ЗАКР</v>
          </cell>
        </row>
        <row r="30">
          <cell r="B30" t="str">
            <v>7LBY11AA601XB06</v>
          </cell>
          <cell r="E30" t="str">
            <v>ІЗК контрольний НЖ</v>
          </cell>
        </row>
        <row r="31">
          <cell r="B31" t="str">
            <v>7LBY12AA601XB06</v>
          </cell>
          <cell r="E31" t="str">
            <v>ІЗК робочий НЖ</v>
          </cell>
        </row>
        <row r="32">
          <cell r="B32" t="str">
            <v>7LBY21AA601XB06</v>
          </cell>
          <cell r="E32" t="str">
            <v>ІЗК ХПП НЖ</v>
          </cell>
        </row>
        <row r="33">
          <cell r="B33" t="str">
            <v>7LBY22AA601XB06</v>
          </cell>
          <cell r="E33" t="str">
            <v>ІЗК ГПП НЖ</v>
          </cell>
        </row>
        <row r="34">
          <cell r="B34" t="str">
            <v>7HHG10CG901YB02</v>
          </cell>
          <cell r="E34" t="str">
            <v xml:space="preserve">Відсіч клапан газ КЗ </v>
          </cell>
        </row>
        <row r="35">
          <cell r="B35" t="str">
            <v>7HJF10CG901YB02</v>
          </cell>
          <cell r="E35" t="str">
            <v xml:space="preserve">Відсіч клапан мазут 1 КЗ </v>
          </cell>
        </row>
        <row r="36">
          <cell r="B36" t="str">
            <v>7HJF10CG902YB02</v>
          </cell>
          <cell r="E36" t="str">
            <v xml:space="preserve">Відсіч клапан мазут 2 КЗ </v>
          </cell>
        </row>
        <row r="37">
          <cell r="B37" t="str">
            <v>7LBY11AA601YB01</v>
          </cell>
          <cell r="E37" t="str">
            <v>ІЗК контрольний КВ</v>
          </cell>
        </row>
        <row r="38">
          <cell r="B38" t="str">
            <v>7LBY11AA601YB02</v>
          </cell>
          <cell r="E38" t="str">
            <v>ІЗК контрольний КЗ</v>
          </cell>
        </row>
        <row r="39">
          <cell r="B39" t="str">
            <v>7LBY12AA601YB01</v>
          </cell>
          <cell r="E39" t="str">
            <v>ІЗК робочий КВ</v>
          </cell>
        </row>
        <row r="40">
          <cell r="B40" t="str">
            <v>7LBY12AA601YB02</v>
          </cell>
          <cell r="E40" t="str">
            <v>ІЗК робочий КЗ</v>
          </cell>
        </row>
        <row r="41">
          <cell r="B41" t="str">
            <v>7LBY21AA601YB01</v>
          </cell>
          <cell r="E41" t="str">
            <v>ІЗК ХПП КВ</v>
          </cell>
        </row>
        <row r="42">
          <cell r="B42" t="str">
            <v>7LBY21AA601YB02</v>
          </cell>
          <cell r="E42" t="str">
            <v>ІЗК ХПП КЗ</v>
          </cell>
        </row>
        <row r="43">
          <cell r="B43" t="str">
            <v>7LBY22AA601YB01</v>
          </cell>
          <cell r="E43" t="str">
            <v>ІЗК ГПП КВ</v>
          </cell>
        </row>
        <row r="44">
          <cell r="B44" t="str">
            <v>7LBY22AA601YB02</v>
          </cell>
          <cell r="E44" t="str">
            <v>ІЗК ГПП КЗ</v>
          </cell>
        </row>
        <row r="45">
          <cell r="B45" t="str">
            <v>7CWR01CN002YK04</v>
          </cell>
          <cell r="E45" t="str">
            <v>АПК ключ зупинки котла 4</v>
          </cell>
        </row>
        <row r="46">
          <cell r="B46" t="str">
            <v>7CHB00EY001YK02</v>
          </cell>
          <cell r="E46" t="str">
            <v>Роб захисту зупинки котла 2</v>
          </cell>
        </row>
        <row r="47">
          <cell r="B47" t="str">
            <v>7CHB00EY001YK03</v>
          </cell>
          <cell r="E47" t="str">
            <v>Роб захисту зупинки котла 3</v>
          </cell>
        </row>
        <row r="48">
          <cell r="B48" t="str">
            <v>7CHB00EY001YK04</v>
          </cell>
          <cell r="E48" t="str">
            <v>Роб захисту зупинки котла 4</v>
          </cell>
        </row>
        <row r="49">
          <cell r="B49" t="str">
            <v>7CHB00EY001YK05</v>
          </cell>
          <cell r="E49" t="str">
            <v>Роб захисту зупинки котла 5</v>
          </cell>
        </row>
        <row r="50">
          <cell r="B50" t="str">
            <v>7CHB00EY001YK06</v>
          </cell>
          <cell r="E50" t="str">
            <v>Роб захисту зупинки котла 6</v>
          </cell>
        </row>
        <row r="51">
          <cell r="B51" t="str">
            <v>7CWS01CN001XK06</v>
          </cell>
          <cell r="E51" t="str">
            <v>АПК наявність живлення (ввід 1 220 V AC)</v>
          </cell>
        </row>
        <row r="52">
          <cell r="B52" t="str">
            <v>7CWS01CN002XK06</v>
          </cell>
          <cell r="E52" t="str">
            <v>АПК наявність живлення (ввід 2 220 V DC)</v>
          </cell>
        </row>
        <row r="53">
          <cell r="B53" t="str">
            <v>7CWS01CN003XK06</v>
          </cell>
          <cell r="E53" t="str">
            <v>АПК наявність живлення 24 V</v>
          </cell>
        </row>
        <row r="54">
          <cell r="B54" t="str">
            <v>7CWR01CN002XK06</v>
          </cell>
          <cell r="E54" t="str">
            <v>АПК ключ зупинки котла введ</v>
          </cell>
        </row>
        <row r="55">
          <cell r="B55" t="str">
            <v>7CWR01CN010XK06</v>
          </cell>
          <cell r="E55" t="str">
            <v>АПК авар скид з барабану ВІДКР</v>
          </cell>
        </row>
        <row r="56">
          <cell r="B56" t="str">
            <v>7CWR01CN010XK07</v>
          </cell>
          <cell r="E56" t="str">
            <v>АПК авар скид з барабану ЗАКР</v>
          </cell>
        </row>
        <row r="57">
          <cell r="B57" t="str">
            <v>7CWR01CN009XK06</v>
          </cell>
          <cell r="E57" t="str">
            <v>АПК ІЗК ГПП ВІДКР</v>
          </cell>
        </row>
        <row r="58">
          <cell r="B58" t="str">
            <v>7CWR01CN009XK07</v>
          </cell>
          <cell r="E58" t="str">
            <v>АПК ІЗК ГПП ЗАКР</v>
          </cell>
        </row>
        <row r="59">
          <cell r="B59" t="str">
            <v>7CWR01CN008XK06</v>
          </cell>
          <cell r="E59" t="str">
            <v>АПК ІЗК ХПП ВІДКР</v>
          </cell>
        </row>
        <row r="60">
          <cell r="B60" t="str">
            <v>7CWR01CN008XK07</v>
          </cell>
          <cell r="E60" t="str">
            <v>АПК ІЗК ХПП ЗАКР</v>
          </cell>
        </row>
        <row r="61">
          <cell r="B61" t="str">
            <v>7CWR01CN006XK06</v>
          </cell>
          <cell r="E61" t="str">
            <v>АПК робочі ІЗК ВІДКР</v>
          </cell>
        </row>
        <row r="62">
          <cell r="B62" t="str">
            <v>7CWR01CN006XK07</v>
          </cell>
          <cell r="E62" t="str">
            <v>АПК робочі ІЗК ЗАКР</v>
          </cell>
        </row>
        <row r="63">
          <cell r="B63" t="str">
            <v>7CWR01CN007XK06</v>
          </cell>
          <cell r="E63" t="str">
            <v>АПК контрольні ІЗК ВІДКР</v>
          </cell>
        </row>
        <row r="64">
          <cell r="B64" t="str">
            <v>7CWR01CN007XK07</v>
          </cell>
          <cell r="E64" t="str">
            <v>АПК контрольні ІЗК ЗАКР</v>
          </cell>
        </row>
        <row r="65">
          <cell r="B65" t="str">
            <v>7CWR01CN012XK06</v>
          </cell>
          <cell r="E65" t="str">
            <v>АПК відкл ТДМ нитка А</v>
          </cell>
        </row>
        <row r="66">
          <cell r="B66" t="str">
            <v>7CWR01CN013XK06</v>
          </cell>
          <cell r="E66" t="str">
            <v>АПК відкл ТДМ нитка Б</v>
          </cell>
        </row>
        <row r="67">
          <cell r="B67" t="str">
            <v>7HBK10CB002XK12</v>
          </cell>
          <cell r="E67" t="str">
            <v>Факел 2 давач 1 п/т</v>
          </cell>
        </row>
        <row r="68">
          <cell r="B68" t="str">
            <v>7HBK10CB002XK15</v>
          </cell>
          <cell r="E68" t="str">
            <v>Неспр 2 давач факелу 1 п/т</v>
          </cell>
        </row>
        <row r="69">
          <cell r="B69" t="str">
            <v>7HBK10CB002XG01</v>
          </cell>
          <cell r="E69" t="str">
            <v>Факел 2 давач 1 п/т НЖ</v>
          </cell>
        </row>
        <row r="70">
          <cell r="B70" t="str">
            <v>7HBK10CB004XK12</v>
          </cell>
          <cell r="E70" t="str">
            <v>Факел 2 давач 2 п/т</v>
          </cell>
        </row>
        <row r="71">
          <cell r="B71" t="str">
            <v>7HBK10CB004XK15</v>
          </cell>
          <cell r="E71" t="str">
            <v>Неспр 2 давач факелу 2 п/т</v>
          </cell>
        </row>
        <row r="72">
          <cell r="B72" t="str">
            <v>7HBK10CB004XG01</v>
          </cell>
          <cell r="E72" t="str">
            <v>Факел 2 давач 2 п/т НЖ</v>
          </cell>
        </row>
        <row r="73">
          <cell r="B73" t="str">
            <v>7CHL00EY001XK01</v>
          </cell>
          <cell r="E73" t="str">
            <v>Роб захисту зупинки блоку 1</v>
          </cell>
        </row>
        <row r="74">
          <cell r="B74" t="str">
            <v>7HLB10AN101XB01</v>
          </cell>
          <cell r="E74" t="str">
            <v>ДВ-11А І шв ВКЛ</v>
          </cell>
        </row>
        <row r="75">
          <cell r="B75" t="str">
            <v>7HLB10AN101XB02</v>
          </cell>
          <cell r="E75" t="str">
            <v>ДВ-11А І шв ВІДКЛ</v>
          </cell>
        </row>
        <row r="76">
          <cell r="B76" t="str">
            <v>7HLB10AN101XB11</v>
          </cell>
          <cell r="E76" t="str">
            <v>ДВ-11А І шв ВІЗОК ВКОЧЕНИЙ</v>
          </cell>
        </row>
        <row r="77">
          <cell r="B77" t="str">
            <v>7HLB10AN101XB48</v>
          </cell>
          <cell r="E77" t="str">
            <v>ДВ-11А І шв РОБОТА ЕЛ ЗАХ</v>
          </cell>
        </row>
        <row r="78">
          <cell r="B78" t="str">
            <v>7HLB10AN101XB50</v>
          </cell>
          <cell r="E78" t="str">
            <v>ДВ-11А І шв ГОТОВН КІЛ КЕРУВ</v>
          </cell>
        </row>
        <row r="79">
          <cell r="B79" t="str">
            <v>7HLB10AN201XB01</v>
          </cell>
          <cell r="E79" t="str">
            <v>ДВ-11А ІІ шв ВКЛ</v>
          </cell>
        </row>
        <row r="80">
          <cell r="B80" t="str">
            <v>7HLB10AN201XB02</v>
          </cell>
          <cell r="E80" t="str">
            <v>ДВ-11А ІІ шв ВІДКЛ</v>
          </cell>
        </row>
        <row r="81">
          <cell r="B81" t="str">
            <v>7HLB10AN201XB11</v>
          </cell>
          <cell r="E81" t="str">
            <v>ДВ-11А ІІ шв ВІЗОК ВКОЧЕНИЙ</v>
          </cell>
        </row>
        <row r="82">
          <cell r="B82" t="str">
            <v>7HLB10AN201XB48</v>
          </cell>
          <cell r="E82" t="str">
            <v>ДВ-11А ІІ шв РОБОТА ЕЛ ЗАХ</v>
          </cell>
        </row>
        <row r="83">
          <cell r="B83" t="str">
            <v>7HLB10AN201XB50</v>
          </cell>
          <cell r="E83" t="str">
            <v>ДВ-11А ІІ шв ГОТОВН КІЛ КЕРУВ</v>
          </cell>
        </row>
        <row r="84">
          <cell r="B84" t="str">
            <v>7HFC11AJ001XB01</v>
          </cell>
          <cell r="E84" t="str">
            <v>М-11-1 ВКЛ</v>
          </cell>
        </row>
        <row r="85">
          <cell r="B85" t="str">
            <v>7HFC11AJ001XB02</v>
          </cell>
          <cell r="E85" t="str">
            <v>М-11-1 ВІДКЛ</v>
          </cell>
        </row>
        <row r="86">
          <cell r="B86" t="str">
            <v>7HFC11AJ001XB11</v>
          </cell>
          <cell r="E86" t="str">
            <v>М-11-1 ВІЗОК ВКОЧЕНИЙ</v>
          </cell>
        </row>
        <row r="87">
          <cell r="B87" t="str">
            <v>7HFC11AJ001XB48</v>
          </cell>
          <cell r="E87" t="str">
            <v>М-11-1 РОБОТА ЕЛ ЗАХ</v>
          </cell>
        </row>
        <row r="88">
          <cell r="B88" t="str">
            <v>7HFC11AJ001XB50</v>
          </cell>
          <cell r="E88" t="str">
            <v>М-11-1 ГОТОВН КІЛ КЕРУВ</v>
          </cell>
        </row>
        <row r="89">
          <cell r="B89" t="str">
            <v>7HNC10AN101XB01</v>
          </cell>
          <cell r="E89" t="str">
            <v>Д-11А І шв ВКЛ</v>
          </cell>
        </row>
        <row r="90">
          <cell r="B90" t="str">
            <v>7HNC10AN101XB02</v>
          </cell>
          <cell r="E90" t="str">
            <v>Д-11А І шв ВІДКЛ</v>
          </cell>
        </row>
        <row r="91">
          <cell r="B91" t="str">
            <v>7HNC10AN101XB11</v>
          </cell>
          <cell r="E91" t="str">
            <v>Д-11А І шв ВІЗОК ВКОЧЕНИЙ</v>
          </cell>
        </row>
        <row r="92">
          <cell r="B92" t="str">
            <v>7HNC10AN101XB48</v>
          </cell>
          <cell r="E92" t="str">
            <v>Д-11А І шв РОБОТА ЕЛ ЗАХ</v>
          </cell>
        </row>
        <row r="93">
          <cell r="B93" t="str">
            <v>7HNC10AN101XB50</v>
          </cell>
          <cell r="E93" t="str">
            <v>Д-11А І шв ГОТОВН КІЛ КЕРУВ</v>
          </cell>
        </row>
        <row r="94">
          <cell r="B94" t="str">
            <v>7HNC10AN201XB01</v>
          </cell>
          <cell r="E94" t="str">
            <v>Д-11А ІІ шв ВКЛ</v>
          </cell>
        </row>
        <row r="95">
          <cell r="B95" t="str">
            <v>7HNC10AN201XB02</v>
          </cell>
          <cell r="E95" t="str">
            <v>Д-11А ІІ шв ВІДКЛ</v>
          </cell>
        </row>
        <row r="96">
          <cell r="B96" t="str">
            <v>7HNC10AN201XB11</v>
          </cell>
          <cell r="E96" t="str">
            <v>Д-11А ІІ шв ВІЗОК ВКОЧЕНИЙ</v>
          </cell>
        </row>
        <row r="97">
          <cell r="B97" t="str">
            <v>7HNC10AN201XB48</v>
          </cell>
          <cell r="E97" t="str">
            <v>Д-11А ІІ шв РОБОТА ЕЛ ЗАХ</v>
          </cell>
        </row>
        <row r="98">
          <cell r="B98" t="str">
            <v>7HNC10AN201XB50</v>
          </cell>
          <cell r="E98" t="str">
            <v>Д-11А ІІ шв ГОТОВН КІЛ КЕРУВ</v>
          </cell>
        </row>
        <row r="99">
          <cell r="B99" t="str">
            <v>7HFE11AN001XB01</v>
          </cell>
          <cell r="E99" t="str">
            <v>МВ-11-1 ВКЛ</v>
          </cell>
        </row>
        <row r="100">
          <cell r="B100" t="str">
            <v>7HFE11AN001XB02</v>
          </cell>
          <cell r="E100" t="str">
            <v>МВ-11-1 ВІДКЛ</v>
          </cell>
        </row>
        <row r="101">
          <cell r="B101" t="str">
            <v>7HFE11AN001XB11</v>
          </cell>
          <cell r="E101" t="str">
            <v>МВ-11-1 ВІЗОК ВКОЧЕНИЙ</v>
          </cell>
        </row>
        <row r="102">
          <cell r="B102" t="str">
            <v>7HFE11AN001XB48</v>
          </cell>
          <cell r="E102" t="str">
            <v>МВ-11-1 РОБОТА ЕЛ ЗАХ</v>
          </cell>
        </row>
        <row r="103">
          <cell r="B103" t="str">
            <v>7HFE11AN001XB50</v>
          </cell>
          <cell r="E103" t="str">
            <v>МВ-11-1 ГОТОВН КІЛ КЕРУВ</v>
          </cell>
        </row>
        <row r="104">
          <cell r="B104" t="str">
            <v>7HFC12AJ001XB01</v>
          </cell>
          <cell r="E104" t="str">
            <v>М-11-2 ВКЛ</v>
          </cell>
        </row>
        <row r="105">
          <cell r="B105" t="str">
            <v>7HFC12AJ001XB02</v>
          </cell>
          <cell r="E105" t="str">
            <v>М-11-2 ВІДКЛ</v>
          </cell>
        </row>
        <row r="106">
          <cell r="B106" t="str">
            <v>7HFC12AJ001XB11</v>
          </cell>
          <cell r="E106" t="str">
            <v>М-11-2 ВІЗОК ВКОЧЕНИЙ</v>
          </cell>
        </row>
        <row r="107">
          <cell r="B107" t="str">
            <v>7HFC12AJ001XB48</v>
          </cell>
          <cell r="E107" t="str">
            <v>М-11-2 РОБОТА ЕЛ ЗАХ</v>
          </cell>
        </row>
        <row r="108">
          <cell r="B108" t="str">
            <v>7HFC12AJ001XB50</v>
          </cell>
          <cell r="E108" t="str">
            <v>М-11-2 ГОТОВН КІЛ КЕРУВ</v>
          </cell>
        </row>
        <row r="109">
          <cell r="B109" t="str">
            <v>7HFE12AN001XB01</v>
          </cell>
          <cell r="E109" t="str">
            <v>МВ-11-2 ВКЛ</v>
          </cell>
        </row>
        <row r="110">
          <cell r="B110" t="str">
            <v>7HFE12AN001XB02</v>
          </cell>
          <cell r="E110" t="str">
            <v>МВ-11-2 ВІДКЛ</v>
          </cell>
        </row>
        <row r="111">
          <cell r="B111" t="str">
            <v>7HFE12AN001XB11</v>
          </cell>
          <cell r="E111" t="str">
            <v>МВ-11-2 ВІЗОК ВКОЧЕНИЙ</v>
          </cell>
        </row>
        <row r="112">
          <cell r="B112" t="str">
            <v>7HFE12AN001XB48</v>
          </cell>
          <cell r="E112" t="str">
            <v>МВ-11-2 РОБОТА ЕЛ ЗАХ</v>
          </cell>
        </row>
        <row r="113">
          <cell r="B113" t="str">
            <v>7HFE12AN001XB50</v>
          </cell>
          <cell r="E113" t="str">
            <v>МВ-11-2 ГОТОВН КІЛ КЕРУВ</v>
          </cell>
        </row>
        <row r="114">
          <cell r="B114" t="str">
            <v>7HFC13AJ001XB01</v>
          </cell>
          <cell r="E114" t="str">
            <v>М-11-3 ВКЛ</v>
          </cell>
        </row>
        <row r="115">
          <cell r="B115" t="str">
            <v>7HFC13AJ001XB02</v>
          </cell>
          <cell r="E115" t="str">
            <v>М-11-3 ВІДКЛ</v>
          </cell>
        </row>
        <row r="116">
          <cell r="B116" t="str">
            <v>7HFC13AJ001XB11</v>
          </cell>
          <cell r="E116" t="str">
            <v>М-11-3 ВІЗОК ВКОЧЕНИЙ</v>
          </cell>
        </row>
        <row r="117">
          <cell r="B117" t="str">
            <v>7HFC13AJ001XB48</v>
          </cell>
          <cell r="E117" t="str">
            <v>М-11-3 РОБОТА ЕЛ ЗАХ</v>
          </cell>
        </row>
        <row r="118">
          <cell r="B118" t="str">
            <v>7HFC13AJ001XB50</v>
          </cell>
          <cell r="E118" t="str">
            <v>М-11-3 ГОТОВН КІЛ КЕРУВ</v>
          </cell>
        </row>
        <row r="119">
          <cell r="B119" t="str">
            <v>7HFE13AN001XB01</v>
          </cell>
          <cell r="E119" t="str">
            <v>МВ-11-3 ВКЛ</v>
          </cell>
        </row>
        <row r="120">
          <cell r="B120" t="str">
            <v>7HFE13AN001XB02</v>
          </cell>
          <cell r="E120" t="str">
            <v>МВ-11-3 ВІДКЛ</v>
          </cell>
        </row>
        <row r="121">
          <cell r="B121" t="str">
            <v>7HFE13AN001XB11</v>
          </cell>
          <cell r="E121" t="str">
            <v>МВ-11-3 ВІЗОК ВКОЧЕНИЙ</v>
          </cell>
        </row>
        <row r="122">
          <cell r="B122" t="str">
            <v>7HFE13AN001XB48</v>
          </cell>
          <cell r="E122" t="str">
            <v>МВ-11-3 РОБОТА ЕЛ ЗАХ</v>
          </cell>
        </row>
        <row r="123">
          <cell r="B123" t="str">
            <v>7HFE13AN001XB50</v>
          </cell>
          <cell r="E123" t="str">
            <v>МВ-11-3 ГОТОВН КІЛ КЕРУВ</v>
          </cell>
        </row>
        <row r="124">
          <cell r="B124" t="str">
            <v>7HNC10AN101XG01</v>
          </cell>
          <cell r="E124" t="str">
            <v>Дозвіл включення Д-А</v>
          </cell>
        </row>
        <row r="125">
          <cell r="B125" t="str">
            <v>7HNC20AN101XG01</v>
          </cell>
          <cell r="E125" t="str">
            <v>Дозвіл включення Д-Б</v>
          </cell>
        </row>
        <row r="126">
          <cell r="B126" t="str">
            <v>7HNC00AN001XG01</v>
          </cell>
          <cell r="E126" t="str">
            <v>Аварія маслостанції димотягів</v>
          </cell>
        </row>
        <row r="127">
          <cell r="B127" t="str">
            <v>7HLB10AN101YB01</v>
          </cell>
          <cell r="E127" t="str">
            <v>ДВ-11А І шв КВ</v>
          </cell>
        </row>
        <row r="128">
          <cell r="B128" t="str">
            <v>7HLB10AN101YB02</v>
          </cell>
          <cell r="E128" t="str">
            <v>ДВ-11А І шв КО</v>
          </cell>
        </row>
        <row r="129">
          <cell r="B129" t="str">
            <v>7HLB10AN201YB01</v>
          </cell>
          <cell r="E129" t="str">
            <v>ДВ-11А ІІ шв КВ</v>
          </cell>
        </row>
        <row r="130">
          <cell r="B130" t="str">
            <v>7HLB10AN201YB02</v>
          </cell>
          <cell r="E130" t="str">
            <v>ДВ-11А ІІ шв КО</v>
          </cell>
        </row>
        <row r="131">
          <cell r="B131" t="str">
            <v>7HNC10AN101YB01</v>
          </cell>
          <cell r="E131" t="str">
            <v>Д-11А І шв КВ</v>
          </cell>
        </row>
        <row r="132">
          <cell r="B132" t="str">
            <v>7HNC10AN101YB02</v>
          </cell>
          <cell r="E132" t="str">
            <v>Д-11А І шв КО</v>
          </cell>
        </row>
        <row r="133">
          <cell r="B133" t="str">
            <v>7HNC10AN201YB01</v>
          </cell>
          <cell r="E133" t="str">
            <v>Д-11А ІІ шв КВ</v>
          </cell>
        </row>
        <row r="134">
          <cell r="B134" t="str">
            <v>7HNC10AN201YB02</v>
          </cell>
          <cell r="E134" t="str">
            <v>Д-11А ІІ шв КО</v>
          </cell>
        </row>
        <row r="135">
          <cell r="B135" t="str">
            <v>7HFC11AJ001YB01</v>
          </cell>
          <cell r="E135" t="str">
            <v>М-11-1 КВ</v>
          </cell>
        </row>
        <row r="136">
          <cell r="B136" t="str">
            <v>7HFC11AJ001YB02</v>
          </cell>
          <cell r="E136" t="str">
            <v>М-11-1 КО</v>
          </cell>
        </row>
        <row r="137">
          <cell r="B137" t="str">
            <v>7HFC12AJ001YB01</v>
          </cell>
          <cell r="E137" t="str">
            <v>М-11-2 КВ</v>
          </cell>
        </row>
        <row r="138">
          <cell r="B138" t="str">
            <v>7HFC12AJ001YB02</v>
          </cell>
          <cell r="E138" t="str">
            <v>М-11-2 КО</v>
          </cell>
        </row>
        <row r="139">
          <cell r="B139" t="str">
            <v>7HFC13AJ001YB01</v>
          </cell>
          <cell r="E139" t="str">
            <v>М-11-3 КВ</v>
          </cell>
        </row>
        <row r="140">
          <cell r="B140" t="str">
            <v>7HFC13AJ001YB02</v>
          </cell>
          <cell r="E140" t="str">
            <v>М-11-3 КО</v>
          </cell>
        </row>
        <row r="141">
          <cell r="B141" t="str">
            <v>7HFE11AN001YB01</v>
          </cell>
          <cell r="E141" t="str">
            <v>МВ-11-1 КВ</v>
          </cell>
        </row>
        <row r="142">
          <cell r="B142" t="str">
            <v>7HFE11AN001YB02</v>
          </cell>
          <cell r="E142" t="str">
            <v>МВ-11-1 КО</v>
          </cell>
        </row>
        <row r="143">
          <cell r="B143" t="str">
            <v>7HFE12AN001YB01</v>
          </cell>
          <cell r="E143" t="str">
            <v>МВ-11-2 КВ</v>
          </cell>
        </row>
        <row r="144">
          <cell r="B144" t="str">
            <v>7HFE12AN001YB02</v>
          </cell>
          <cell r="E144" t="str">
            <v>МВ-11-2 КО</v>
          </cell>
        </row>
        <row r="145">
          <cell r="B145" t="str">
            <v>7HFE13AN001YB01</v>
          </cell>
          <cell r="E145" t="str">
            <v>МВ-11-3 КВ</v>
          </cell>
        </row>
        <row r="146">
          <cell r="B146" t="str">
            <v>7HFE13AN001YB02</v>
          </cell>
          <cell r="E146" t="str">
            <v>МВ-11-3 КО</v>
          </cell>
        </row>
        <row r="147">
          <cell r="B147" t="str">
            <v>7HFE14AN001YB01</v>
          </cell>
          <cell r="E147" t="str">
            <v>МВ-11-4 КВ</v>
          </cell>
        </row>
        <row r="148">
          <cell r="B148" t="str">
            <v>7HFE14AN001YB02</v>
          </cell>
          <cell r="E148" t="str">
            <v>МВ-11-4 КО</v>
          </cell>
        </row>
        <row r="149">
          <cell r="B149" t="str">
            <v>7HFE15AN001YB01</v>
          </cell>
          <cell r="E149" t="str">
            <v>МВ-11-5 КВ</v>
          </cell>
        </row>
        <row r="150">
          <cell r="B150" t="str">
            <v>7HFE15AN001YB02</v>
          </cell>
          <cell r="E150" t="str">
            <v>МВ-11-5 КО</v>
          </cell>
        </row>
        <row r="151">
          <cell r="B151" t="str">
            <v>7HFE16AN001YB01</v>
          </cell>
          <cell r="E151" t="str">
            <v>МВ-11-6 КВ</v>
          </cell>
        </row>
        <row r="152">
          <cell r="B152" t="str">
            <v>7HFE16AN001YB02</v>
          </cell>
          <cell r="E152" t="str">
            <v>МВ-11-6 КО</v>
          </cell>
        </row>
        <row r="153">
          <cell r="B153" t="str">
            <v>7HLB20AN101YB01</v>
          </cell>
          <cell r="E153" t="str">
            <v>ДВ-11Б І шв КВ</v>
          </cell>
        </row>
        <row r="154">
          <cell r="B154" t="str">
            <v>7HLB20AN101YB02</v>
          </cell>
          <cell r="E154" t="str">
            <v>ДВ-11Б І шв КО</v>
          </cell>
        </row>
        <row r="155">
          <cell r="B155" t="str">
            <v>7HLB20AN201YB01</v>
          </cell>
          <cell r="E155" t="str">
            <v>ДВ-11Б ІІ шв КВ</v>
          </cell>
        </row>
        <row r="156">
          <cell r="B156" t="str">
            <v>7HLB20AN201YB02</v>
          </cell>
          <cell r="E156" t="str">
            <v>ДВ-11Б ІІ шв КО</v>
          </cell>
        </row>
        <row r="157">
          <cell r="B157" t="str">
            <v>7HNC20AN101YB01</v>
          </cell>
          <cell r="E157" t="str">
            <v>Д-11Б І шв КВ</v>
          </cell>
        </row>
        <row r="158">
          <cell r="B158" t="str">
            <v>7HNC20AN101YB02</v>
          </cell>
          <cell r="E158" t="str">
            <v>Д-11Б І шв КО</v>
          </cell>
        </row>
        <row r="159">
          <cell r="B159" t="str">
            <v>7HNC20AN201YB01</v>
          </cell>
          <cell r="E159" t="str">
            <v>Д-11Б ІІ шв КВ</v>
          </cell>
        </row>
        <row r="160">
          <cell r="B160" t="str">
            <v>7HNC20AN201YB02</v>
          </cell>
          <cell r="E160" t="str">
            <v>Д-11Б ІІ шв КО</v>
          </cell>
        </row>
        <row r="161">
          <cell r="B161" t="str">
            <v>7HFC14AJ001YB01</v>
          </cell>
          <cell r="E161" t="str">
            <v>М-11-4 КВ</v>
          </cell>
        </row>
        <row r="162">
          <cell r="B162" t="str">
            <v>7HFC14AJ001YB02</v>
          </cell>
          <cell r="E162" t="str">
            <v>М-11-4 КО</v>
          </cell>
        </row>
        <row r="163">
          <cell r="B163" t="str">
            <v>7HFC15AJ001YB01</v>
          </cell>
          <cell r="E163" t="str">
            <v>М-11-5 КВ</v>
          </cell>
        </row>
        <row r="164">
          <cell r="B164" t="str">
            <v>7HFC15AJ001YB02</v>
          </cell>
          <cell r="E164" t="str">
            <v>М-11-5 КО</v>
          </cell>
        </row>
        <row r="165">
          <cell r="B165" t="str">
            <v>7HFC16AJ001YB01</v>
          </cell>
          <cell r="E165" t="str">
            <v>М-11-6 КВ</v>
          </cell>
        </row>
        <row r="166">
          <cell r="B166" t="str">
            <v>7HFC16AJ001YB02</v>
          </cell>
          <cell r="E166" t="str">
            <v>М-11-6 КО</v>
          </cell>
        </row>
        <row r="167">
          <cell r="B167" t="str">
            <v>7HFC16AJ001XB01</v>
          </cell>
          <cell r="E167" t="str">
            <v>М-11-6 ВКЛ</v>
          </cell>
        </row>
        <row r="168">
          <cell r="B168" t="str">
            <v>7HFC16AJ001XB02</v>
          </cell>
          <cell r="E168" t="str">
            <v>М-11-6 ВІДКЛ</v>
          </cell>
        </row>
        <row r="169">
          <cell r="B169" t="str">
            <v>7HFC16AJ001XB11</v>
          </cell>
          <cell r="E169" t="str">
            <v>М-11-6 ВІЗОК ВКОЧЕНИЙ</v>
          </cell>
        </row>
        <row r="170">
          <cell r="B170" t="str">
            <v>7HFC16AJ001XB48</v>
          </cell>
          <cell r="E170" t="str">
            <v>М-11-6 РОБОТА ЕЛ ЗАХ</v>
          </cell>
        </row>
        <row r="171">
          <cell r="B171" t="str">
            <v>7HFC16AJ001XB50</v>
          </cell>
          <cell r="E171" t="str">
            <v>М-11-6 ГОТОВН КІЛ КЕРУВ</v>
          </cell>
        </row>
        <row r="172">
          <cell r="B172" t="str">
            <v>7HFE16AN001XB01</v>
          </cell>
          <cell r="E172" t="str">
            <v>МВ-11-6 ВКЛ</v>
          </cell>
        </row>
        <row r="173">
          <cell r="B173" t="str">
            <v>7HFE16AN001XB02</v>
          </cell>
          <cell r="E173" t="str">
            <v>МВ-11-6 ВІДКЛ</v>
          </cell>
        </row>
        <row r="174">
          <cell r="B174" t="str">
            <v>7HFE16AN001XB11</v>
          </cell>
          <cell r="E174" t="str">
            <v>МВ-11-6 ВІЗОК ВКОЧЕНИЙ</v>
          </cell>
        </row>
        <row r="175">
          <cell r="B175" t="str">
            <v>7HFE16AN001XB48</v>
          </cell>
          <cell r="E175" t="str">
            <v>МВ-11-6 РОБОТА ЕЛ ЗАХ</v>
          </cell>
        </row>
        <row r="176">
          <cell r="B176" t="str">
            <v>7HFE16AN001XB50</v>
          </cell>
          <cell r="E176" t="str">
            <v>МВ-11-6 ГОТОВН КІЛ КЕРУВ</v>
          </cell>
        </row>
        <row r="177">
          <cell r="B177" t="str">
            <v>7HFC15AJ001XB01</v>
          </cell>
          <cell r="E177" t="str">
            <v>М-11-5 ВКЛ</v>
          </cell>
        </row>
        <row r="178">
          <cell r="B178" t="str">
            <v>7HFC15AJ001XB02</v>
          </cell>
          <cell r="E178" t="str">
            <v>М-11-5 ВІДКЛ</v>
          </cell>
        </row>
        <row r="179">
          <cell r="B179" t="str">
            <v>7HFC15AJ001XB11</v>
          </cell>
          <cell r="E179" t="str">
            <v>М-11-5 ВІЗОК ВКОЧЕНИЙ</v>
          </cell>
        </row>
        <row r="180">
          <cell r="B180" t="str">
            <v>7HFC15AJ001XB48</v>
          </cell>
          <cell r="E180" t="str">
            <v>М-11-5 РОБОТА ЕЛ ЗАХ</v>
          </cell>
        </row>
        <row r="181">
          <cell r="B181" t="str">
            <v>7HFC15AJ001XB50</v>
          </cell>
          <cell r="E181" t="str">
            <v>М-11-5 ГОТОВН КІЛ КЕРУВ</v>
          </cell>
        </row>
        <row r="182">
          <cell r="B182" t="str">
            <v>7HFE15AN001XB01</v>
          </cell>
          <cell r="E182" t="str">
            <v>МВ-11-5 ВКЛ</v>
          </cell>
        </row>
        <row r="183">
          <cell r="B183" t="str">
            <v>7HFE15AN001XB02</v>
          </cell>
          <cell r="E183" t="str">
            <v>МВ-11-5 ВІДКЛ</v>
          </cell>
        </row>
        <row r="184">
          <cell r="B184" t="str">
            <v>7HFE15AN001XB11</v>
          </cell>
          <cell r="E184" t="str">
            <v>МВ-11-5 ВІЗОК ВКОЧЕНИЙ</v>
          </cell>
        </row>
        <row r="185">
          <cell r="B185" t="str">
            <v>7HFE15AN001XB48</v>
          </cell>
          <cell r="E185" t="str">
            <v>МВ-11-5 РОБОТА ЕЛ ЗАХ</v>
          </cell>
        </row>
        <row r="186">
          <cell r="B186" t="str">
            <v>7HFE15AN001XB50</v>
          </cell>
          <cell r="E186" t="str">
            <v>МВ-11-5 ГОТОВН КІЛ КЕРУВ</v>
          </cell>
        </row>
        <row r="187">
          <cell r="B187" t="str">
            <v>7HNC20AN101XB01</v>
          </cell>
          <cell r="E187" t="str">
            <v>Д-11Б І шв ВКЛ</v>
          </cell>
        </row>
        <row r="188">
          <cell r="B188" t="str">
            <v>7HNC20AN101XB02</v>
          </cell>
          <cell r="E188" t="str">
            <v>Д-11Б І шв ВІДКЛ</v>
          </cell>
        </row>
        <row r="189">
          <cell r="B189" t="str">
            <v>7HNC20AN101XB11</v>
          </cell>
          <cell r="E189" t="str">
            <v>Д-11Б І шв ВІЗОК ВКОЧЕНИЙ</v>
          </cell>
        </row>
        <row r="190">
          <cell r="B190" t="str">
            <v>7HNC20AN101XB48</v>
          </cell>
          <cell r="E190" t="str">
            <v>Д-11Б І шв РОБОТА ЕЛ ЗАХ</v>
          </cell>
        </row>
        <row r="191">
          <cell r="B191" t="str">
            <v>7HNC20AN101XB50</v>
          </cell>
          <cell r="E191" t="str">
            <v>Д-11Б І шв ГОТОВН КІЛ КЕРУВ</v>
          </cell>
        </row>
        <row r="192">
          <cell r="B192" t="str">
            <v>7HNC20AN201XB01</v>
          </cell>
          <cell r="E192" t="str">
            <v>Д-11Б ІІ шв ВКЛ</v>
          </cell>
        </row>
        <row r="193">
          <cell r="B193" t="str">
            <v>7HNC20AN201XB02</v>
          </cell>
          <cell r="E193" t="str">
            <v>Д-11Б ІІ шв ВІДКЛ</v>
          </cell>
        </row>
        <row r="194">
          <cell r="B194" t="str">
            <v>7HNC20AN201XB11</v>
          </cell>
          <cell r="E194" t="str">
            <v>Д-11Б ІІ шв ВІЗОК ВКОЧЕНИЙ</v>
          </cell>
        </row>
        <row r="195">
          <cell r="B195" t="str">
            <v>7HNC20AN201XB48</v>
          </cell>
          <cell r="E195" t="str">
            <v>Д-11Б ІІ шв РОБОТА ЕЛ ЗАХ</v>
          </cell>
        </row>
        <row r="196">
          <cell r="B196" t="str">
            <v>7HNC20AN201XB50</v>
          </cell>
          <cell r="E196" t="str">
            <v>Д-11Б ІІ шв ГОТОВН КІЛ КЕРУВ</v>
          </cell>
        </row>
        <row r="197">
          <cell r="B197" t="str">
            <v>7HFE14AN001XB01</v>
          </cell>
          <cell r="E197" t="str">
            <v>МВ-11-4 ВКЛ</v>
          </cell>
        </row>
        <row r="198">
          <cell r="B198" t="str">
            <v>7HFE14AN001XB02</v>
          </cell>
          <cell r="E198" t="str">
            <v>МВ-11-4 ВІДКЛ</v>
          </cell>
        </row>
        <row r="199">
          <cell r="B199" t="str">
            <v>7HFE14AN001XB11</v>
          </cell>
          <cell r="E199" t="str">
            <v>МВ-11-4 ВІЗОК ВКОЧЕНИЙ</v>
          </cell>
        </row>
        <row r="200">
          <cell r="B200" t="str">
            <v>7HFE14AN001XB48</v>
          </cell>
          <cell r="E200" t="str">
            <v>МВ-11-4 РОБОТА ЕЛ ЗАХ</v>
          </cell>
        </row>
        <row r="201">
          <cell r="B201" t="str">
            <v>7HFE14AN001XB50</v>
          </cell>
          <cell r="E201" t="str">
            <v>МВ-11-4 ГОТОВН КІЛ КЕРУВ</v>
          </cell>
        </row>
        <row r="202">
          <cell r="B202" t="str">
            <v>7HLB20AN101XB01</v>
          </cell>
          <cell r="E202" t="str">
            <v>ДВ-11Б І шв ВКЛ</v>
          </cell>
        </row>
        <row r="203">
          <cell r="B203" t="str">
            <v>7HLB20AN101XB02</v>
          </cell>
          <cell r="E203" t="str">
            <v>ДВ-11Б І шв ВІДКЛ</v>
          </cell>
        </row>
        <row r="204">
          <cell r="B204" t="str">
            <v>7HLB20AN101XB11</v>
          </cell>
          <cell r="E204" t="str">
            <v>ДВ-11Б І шв ВІЗОК ВКОЧЕНИЙ</v>
          </cell>
        </row>
        <row r="205">
          <cell r="B205" t="str">
            <v>7HLB20AN101XB48</v>
          </cell>
          <cell r="E205" t="str">
            <v>ДВ-11Б І шв РОБОТА ЕЛ ЗАХ</v>
          </cell>
        </row>
        <row r="206">
          <cell r="B206" t="str">
            <v>7HLB20AN101XB50</v>
          </cell>
          <cell r="E206" t="str">
            <v>ДВ-11Б І шв ГОТОВН КІЛ КЕРУВ</v>
          </cell>
        </row>
        <row r="207">
          <cell r="B207" t="str">
            <v>7HLB20AN201XB01</v>
          </cell>
          <cell r="E207" t="str">
            <v>ДВ-11Б ІІ шв ВКЛ</v>
          </cell>
        </row>
        <row r="208">
          <cell r="B208" t="str">
            <v>7HLB20AN201XB02</v>
          </cell>
          <cell r="E208" t="str">
            <v>ДВ-11Б ІІ шв ВІДКЛ</v>
          </cell>
        </row>
        <row r="209">
          <cell r="B209" t="str">
            <v>7HLB20AN201XB11</v>
          </cell>
          <cell r="E209" t="str">
            <v>ДВ-11Б ІІ шв ВІЗОК ВКОЧЕНИЙ</v>
          </cell>
        </row>
        <row r="210">
          <cell r="B210" t="str">
            <v>7HLB20AN201XB48</v>
          </cell>
          <cell r="E210" t="str">
            <v>ДВ-11Б ІІ шв РОБОТА ЕЛ ЗАХ</v>
          </cell>
        </row>
        <row r="211">
          <cell r="B211" t="str">
            <v>7HLB20AN201XB50</v>
          </cell>
          <cell r="E211" t="str">
            <v>ДВ-11Б ІІ шв ГОТОВН КІЛ КЕРУВ</v>
          </cell>
        </row>
        <row r="212">
          <cell r="B212" t="str">
            <v>7HFC14AJ001XB01</v>
          </cell>
          <cell r="E212" t="str">
            <v>М-11-4 ВКЛ</v>
          </cell>
        </row>
        <row r="213">
          <cell r="B213" t="str">
            <v>7HFC14AJ001XB02</v>
          </cell>
          <cell r="E213" t="str">
            <v>М-11-4 ВІДКЛ</v>
          </cell>
        </row>
        <row r="214">
          <cell r="B214" t="str">
            <v>7HFC14AJ001XB11</v>
          </cell>
          <cell r="E214" t="str">
            <v>М-11-4 ВІЗОК ВКОЧЕНИЙ</v>
          </cell>
        </row>
        <row r="215">
          <cell r="B215" t="str">
            <v>7HFC14AJ001XB48</v>
          </cell>
          <cell r="E215" t="str">
            <v>М-11-4 РОБОТА ЕЛ ЗАХ</v>
          </cell>
        </row>
        <row r="216">
          <cell r="B216" t="str">
            <v>7HFC14AJ001XB50</v>
          </cell>
          <cell r="E216" t="str">
            <v>М-11-4 ГОТОВН КІЛ КЕРУВ</v>
          </cell>
        </row>
        <row r="217">
          <cell r="B217" t="str">
            <v>7HHG10AA101XB06</v>
          </cell>
          <cell r="E217" t="str">
            <v>З-ка газова НЖ</v>
          </cell>
        </row>
        <row r="218">
          <cell r="B218" t="str">
            <v>7HHG10AA101XB10</v>
          </cell>
          <cell r="E218" t="str">
            <v>З-ка газова ШТ</v>
          </cell>
        </row>
        <row r="219">
          <cell r="B219" t="str">
            <v>7HHG10AA101XB51</v>
          </cell>
          <cell r="E219" t="str">
            <v>З-ка газова НВ</v>
          </cell>
        </row>
        <row r="220">
          <cell r="B220" t="str">
            <v>7HHG10AA101XB52</v>
          </cell>
          <cell r="E220" t="str">
            <v>З-ка газова НЗ</v>
          </cell>
        </row>
        <row r="221">
          <cell r="B221" t="str">
            <v>7HJF10AA101XB06</v>
          </cell>
          <cell r="E221" t="str">
            <v>З-ка напір мазуту НЖ</v>
          </cell>
        </row>
        <row r="222">
          <cell r="B222" t="str">
            <v>7HJF10AA101XB10</v>
          </cell>
          <cell r="E222" t="str">
            <v>З-ка напір мазуту ШТ</v>
          </cell>
        </row>
        <row r="223">
          <cell r="B223" t="str">
            <v>7HJF10AA101XB51</v>
          </cell>
          <cell r="E223" t="str">
            <v>З-ка напір мазуту НВ</v>
          </cell>
        </row>
        <row r="224">
          <cell r="B224" t="str">
            <v>7HJF10AA101XB52</v>
          </cell>
          <cell r="E224" t="str">
            <v>З-ка напір мазуту НЗ</v>
          </cell>
        </row>
        <row r="225">
          <cell r="B225" t="str">
            <v>7HJF10AA103XB06</v>
          </cell>
          <cell r="E225" t="str">
            <v>З-ка скид мазуту НЖ</v>
          </cell>
        </row>
        <row r="226">
          <cell r="B226" t="str">
            <v>7HJF10AA103XB10</v>
          </cell>
          <cell r="E226" t="str">
            <v>З-ка скид мазуту ШТ</v>
          </cell>
        </row>
        <row r="227">
          <cell r="B227" t="str">
            <v>7HJF10AA103XB51</v>
          </cell>
          <cell r="E227" t="str">
            <v>З-ка скид мазуту НВ</v>
          </cell>
        </row>
        <row r="228">
          <cell r="B228" t="str">
            <v>7HJF10AA103XB52</v>
          </cell>
          <cell r="E228" t="str">
            <v>З-ка скид мазуту НЗ</v>
          </cell>
        </row>
        <row r="229">
          <cell r="B229" t="str">
            <v>7LAB14AA101XB06</v>
          </cell>
          <cell r="E229" t="str">
            <v>Запірна з-ка Ду 50 НЖ</v>
          </cell>
        </row>
        <row r="230">
          <cell r="B230" t="str">
            <v>7LAB14AA101XB10</v>
          </cell>
          <cell r="E230" t="str">
            <v>Запірна з-ка Ду 50 ШТ</v>
          </cell>
        </row>
        <row r="231">
          <cell r="B231" t="str">
            <v>7LAB14AA101XB51</v>
          </cell>
          <cell r="E231" t="str">
            <v>Запірна з-ка Ду 50 НВ</v>
          </cell>
        </row>
        <row r="232">
          <cell r="B232" t="str">
            <v>7LAB14AA101XB52</v>
          </cell>
          <cell r="E232" t="str">
            <v>Запірна з-ка Ду 50 НЗ</v>
          </cell>
        </row>
        <row r="233">
          <cell r="B233" t="str">
            <v>7LAB11AA101XB06</v>
          </cell>
          <cell r="E233" t="str">
            <v>Запірна з-ка–А НЖ</v>
          </cell>
        </row>
        <row r="234">
          <cell r="B234" t="str">
            <v>7LAB11AA101XB10</v>
          </cell>
          <cell r="E234" t="str">
            <v>Запірна з-ка–А ШТ</v>
          </cell>
        </row>
        <row r="235">
          <cell r="B235" t="str">
            <v>7LAB11AA101XB51</v>
          </cell>
          <cell r="E235" t="str">
            <v>Запірна з-ка–А НВ</v>
          </cell>
        </row>
        <row r="236">
          <cell r="B236" t="str">
            <v>7LAB11AA101XB52</v>
          </cell>
          <cell r="E236" t="str">
            <v>Запірна з-ка–А НЗ</v>
          </cell>
        </row>
        <row r="237">
          <cell r="B237" t="str">
            <v>7LAB12AA101XB06</v>
          </cell>
          <cell r="E237" t="str">
            <v>Запірна з-ка–Б НЖ</v>
          </cell>
        </row>
        <row r="238">
          <cell r="B238" t="str">
            <v>7LAB12AA101XB10</v>
          </cell>
          <cell r="E238" t="str">
            <v>Запірна з-ка–Б ШТ</v>
          </cell>
        </row>
        <row r="239">
          <cell r="B239" t="str">
            <v>7LAB12AA101XB51</v>
          </cell>
          <cell r="E239" t="str">
            <v>Запірна з-ка–Б НВ</v>
          </cell>
        </row>
        <row r="240">
          <cell r="B240" t="str">
            <v>7LAB12AA101XB52</v>
          </cell>
          <cell r="E240" t="str">
            <v>Запірна з-ка–Б НЗ</v>
          </cell>
        </row>
        <row r="241">
          <cell r="B241" t="str">
            <v>7LAB13AA101XB06</v>
          </cell>
          <cell r="E241" t="str">
            <v>Запірна з-ка Ду 100 НЖ</v>
          </cell>
        </row>
        <row r="242">
          <cell r="B242" t="str">
            <v>7LAB13AA101XB10</v>
          </cell>
          <cell r="E242" t="str">
            <v>Запірна з-ка Ду 100 ШТ</v>
          </cell>
        </row>
        <row r="243">
          <cell r="B243" t="str">
            <v>7LAB13AA101XB51</v>
          </cell>
          <cell r="E243" t="str">
            <v>Запірна з-ка Ду 100 НВ</v>
          </cell>
        </row>
        <row r="244">
          <cell r="B244" t="str">
            <v>7LAB13AA101XB52</v>
          </cell>
          <cell r="E244" t="str">
            <v>Запірна з-ка Ду 100 НЗ</v>
          </cell>
        </row>
        <row r="245">
          <cell r="B245" t="str">
            <v>7LBA00AA101XB06</v>
          </cell>
          <cell r="E245" t="str">
            <v>З-ка прод паропер 1 НЖ</v>
          </cell>
        </row>
        <row r="246">
          <cell r="B246" t="str">
            <v>7LBA00AA101XB10</v>
          </cell>
          <cell r="E246" t="str">
            <v>З-ка прод паропер 1 ШТ</v>
          </cell>
        </row>
        <row r="247">
          <cell r="B247" t="str">
            <v>7LBA00AA101XB51</v>
          </cell>
          <cell r="E247" t="str">
            <v>З-ка прод паропер 1 НВ</v>
          </cell>
        </row>
        <row r="248">
          <cell r="B248" t="str">
            <v>7LBA00AA101XB52</v>
          </cell>
          <cell r="E248" t="str">
            <v>З-ка прод паропер 1 НЗ</v>
          </cell>
        </row>
        <row r="249">
          <cell r="B249" t="str">
            <v>7HHG21AA101XB06</v>
          </cell>
          <cell r="E249" t="str">
            <v>Газова секц з-ка 1Н НЖ</v>
          </cell>
        </row>
        <row r="250">
          <cell r="B250" t="str">
            <v>7HHG21AA101XB10</v>
          </cell>
          <cell r="E250" t="str">
            <v>Газова секц з-ка 1Н ШТ</v>
          </cell>
        </row>
        <row r="251">
          <cell r="B251" t="str">
            <v>7HHG21AA101XB51</v>
          </cell>
          <cell r="E251" t="str">
            <v>Газова секц з-ка 1Н НВ</v>
          </cell>
        </row>
        <row r="252">
          <cell r="B252" t="str">
            <v>7HHG21AA101XB52</v>
          </cell>
          <cell r="E252" t="str">
            <v>Газова секц з-ка 1Н НЗ</v>
          </cell>
        </row>
        <row r="253">
          <cell r="B253" t="str">
            <v>7HHG22AA101XB06</v>
          </cell>
          <cell r="E253" t="str">
            <v>Газова секц з-ка 2Н НЖ</v>
          </cell>
        </row>
        <row r="254">
          <cell r="B254" t="str">
            <v>7HHG22AA101XB10</v>
          </cell>
          <cell r="E254" t="str">
            <v>Газова секц з-ка 2Н ШТ</v>
          </cell>
        </row>
        <row r="255">
          <cell r="B255" t="str">
            <v>7HHG22AA101XB51</v>
          </cell>
          <cell r="E255" t="str">
            <v>Газова секц з-ка 2Н НВ</v>
          </cell>
        </row>
        <row r="256">
          <cell r="B256" t="str">
            <v>7HHG22AA101XB52</v>
          </cell>
          <cell r="E256" t="str">
            <v>Газова секц з-ка 2Н НЗ</v>
          </cell>
        </row>
        <row r="257">
          <cell r="B257" t="str">
            <v>7HHG23AA101XB06</v>
          </cell>
          <cell r="E257" t="str">
            <v>Газова секц з-ка 3Н НЖ</v>
          </cell>
        </row>
        <row r="258">
          <cell r="B258" t="str">
            <v>7HHG23AA101XB10</v>
          </cell>
          <cell r="E258" t="str">
            <v>Газова секц з-ка 3Н ШТ</v>
          </cell>
        </row>
        <row r="259">
          <cell r="B259" t="str">
            <v>7HHG23AA101XB51</v>
          </cell>
          <cell r="E259" t="str">
            <v>Газова секц з-ка 3Н НВ</v>
          </cell>
        </row>
        <row r="260">
          <cell r="B260" t="str">
            <v>7HHG23AA101XB52</v>
          </cell>
          <cell r="E260" t="str">
            <v>Газова секц з-ка 3Н НЗ</v>
          </cell>
        </row>
        <row r="261">
          <cell r="B261" t="str">
            <v>7HHG24AA101XB06</v>
          </cell>
          <cell r="E261" t="str">
            <v>Газова секц з-ка 4Н НЖ</v>
          </cell>
        </row>
        <row r="262">
          <cell r="B262" t="str">
            <v>7HHG24AA101XB10</v>
          </cell>
          <cell r="E262" t="str">
            <v>Газова секц з-ка 4Н ШТ</v>
          </cell>
        </row>
        <row r="263">
          <cell r="B263" t="str">
            <v>7HHG24AA101XB51</v>
          </cell>
          <cell r="E263" t="str">
            <v>Газова секц з-ка 4Н НВ</v>
          </cell>
        </row>
        <row r="264">
          <cell r="B264" t="str">
            <v>7HHG24AA101XB52</v>
          </cell>
          <cell r="E264" t="str">
            <v>Газова секц з-ка 4Н НЗ</v>
          </cell>
        </row>
        <row r="265">
          <cell r="B265" t="str">
            <v>7HHG21AA102XB06</v>
          </cell>
          <cell r="E265" t="str">
            <v>Газова секц з-ка 1В НЖ</v>
          </cell>
        </row>
        <row r="266">
          <cell r="B266" t="str">
            <v>7HHG21AA102XB10</v>
          </cell>
          <cell r="E266" t="str">
            <v>Газова секц з-ка 1В ШТ</v>
          </cell>
        </row>
        <row r="267">
          <cell r="B267" t="str">
            <v>7HHG21AA102XB51</v>
          </cell>
          <cell r="E267" t="str">
            <v>Газова секц з-ка 1В НВ</v>
          </cell>
        </row>
        <row r="268">
          <cell r="B268" t="str">
            <v>7HHG21AA102XB52</v>
          </cell>
          <cell r="E268" t="str">
            <v>Газова секц з-ка 1В НЗ</v>
          </cell>
        </row>
        <row r="269">
          <cell r="B269" t="str">
            <v>7HHG22AA102XB06</v>
          </cell>
          <cell r="E269" t="str">
            <v>Газова секц з-ка 2В НЖ</v>
          </cell>
        </row>
        <row r="270">
          <cell r="B270" t="str">
            <v>7HHG22AA102XB10</v>
          </cell>
          <cell r="E270" t="str">
            <v>Газова секц з-ка 2В ШТ</v>
          </cell>
        </row>
        <row r="271">
          <cell r="B271" t="str">
            <v>7HHG22AA102XB51</v>
          </cell>
          <cell r="E271" t="str">
            <v>Газова секц з-ка 2В НВ</v>
          </cell>
        </row>
        <row r="272">
          <cell r="B272" t="str">
            <v>7HHG22AA102XB52</v>
          </cell>
          <cell r="E272" t="str">
            <v>Газова секц з-ка 2В НЗ</v>
          </cell>
        </row>
        <row r="273">
          <cell r="B273" t="str">
            <v>7HHG23AA102XB06</v>
          </cell>
          <cell r="E273" t="str">
            <v>Газова секц з-ка 3В НЖ</v>
          </cell>
        </row>
        <row r="274">
          <cell r="B274" t="str">
            <v>7HHG23AA102XB10</v>
          </cell>
          <cell r="E274" t="str">
            <v>Газова секц з-ка 3В ШТ</v>
          </cell>
        </row>
        <row r="275">
          <cell r="B275" t="str">
            <v>7HHG23AA102XB51</v>
          </cell>
          <cell r="E275" t="str">
            <v>Газова секц з-ка 3В НВ</v>
          </cell>
        </row>
        <row r="276">
          <cell r="B276" t="str">
            <v>7HHG23AA102XB52</v>
          </cell>
          <cell r="E276" t="str">
            <v>Газова секц з-ка 3В НЗ</v>
          </cell>
        </row>
        <row r="277">
          <cell r="B277" t="str">
            <v>7HHG24AA102XB06</v>
          </cell>
          <cell r="E277" t="str">
            <v>Газова секц з-ка 4В НЖ</v>
          </cell>
        </row>
        <row r="278">
          <cell r="B278" t="str">
            <v>7HHG24AA102XB10</v>
          </cell>
          <cell r="E278" t="str">
            <v>Газова секц з-ка 4В ШТ</v>
          </cell>
        </row>
        <row r="279">
          <cell r="B279" t="str">
            <v>7HHG24AA102XB51</v>
          </cell>
          <cell r="E279" t="str">
            <v>Газова секц з-ка 4В НВ</v>
          </cell>
        </row>
        <row r="280">
          <cell r="B280" t="str">
            <v>7HHG24AA102XB52</v>
          </cell>
          <cell r="E280" t="str">
            <v>Газова секц з-ка 4В НЗ</v>
          </cell>
        </row>
        <row r="281">
          <cell r="B281" t="str">
            <v>7HHG10AA101YB01</v>
          </cell>
          <cell r="E281" t="str">
            <v>З-ка газова КВ</v>
          </cell>
        </row>
        <row r="282">
          <cell r="B282" t="str">
            <v>7HHG10AA101YB02</v>
          </cell>
          <cell r="E282" t="str">
            <v>З-ка газова КЗ</v>
          </cell>
        </row>
        <row r="283">
          <cell r="B283" t="str">
            <v>7HJF10AA101YB01</v>
          </cell>
          <cell r="E283" t="str">
            <v>З-ка напір мазуту КВ</v>
          </cell>
        </row>
        <row r="284">
          <cell r="B284" t="str">
            <v>7HJF10AA101YB02</v>
          </cell>
          <cell r="E284" t="str">
            <v>З-ка напір мазуту КЗ</v>
          </cell>
        </row>
        <row r="285">
          <cell r="B285" t="str">
            <v>7HJF10AA103YB01</v>
          </cell>
          <cell r="E285" t="str">
            <v>З-ка скид мазуту КВ</v>
          </cell>
        </row>
        <row r="286">
          <cell r="B286" t="str">
            <v>7HJF10AA103YB02</v>
          </cell>
          <cell r="E286" t="str">
            <v>З-ка скид мазуту КЗ</v>
          </cell>
        </row>
        <row r="287">
          <cell r="B287" t="str">
            <v>7LAB14AA101YB01</v>
          </cell>
          <cell r="E287" t="str">
            <v>Запірна з-ка ду 50 КВ</v>
          </cell>
        </row>
        <row r="288">
          <cell r="B288" t="str">
            <v>7LAB14AA101YB02</v>
          </cell>
          <cell r="E288" t="str">
            <v>Запірна з-ка ду 50 КЗ</v>
          </cell>
        </row>
        <row r="289">
          <cell r="B289" t="str">
            <v>7LAB11AA101YB01</v>
          </cell>
          <cell r="E289" t="str">
            <v>Запірна з-ка–А КВ</v>
          </cell>
        </row>
        <row r="290">
          <cell r="B290" t="str">
            <v>7LAB11AA101YB02</v>
          </cell>
          <cell r="E290" t="str">
            <v>Запірна з-ка–А КЗ</v>
          </cell>
        </row>
        <row r="291">
          <cell r="B291" t="str">
            <v>7LAB12AA101YB01</v>
          </cell>
          <cell r="E291" t="str">
            <v>Запірна з-ка–Б КВ</v>
          </cell>
        </row>
        <row r="292">
          <cell r="B292" t="str">
            <v>7LAB12AA101YB02</v>
          </cell>
          <cell r="E292" t="str">
            <v>Запірна з-ка–Б КЗ</v>
          </cell>
        </row>
        <row r="293">
          <cell r="B293" t="str">
            <v>7LAB13AA101YB01</v>
          </cell>
          <cell r="E293" t="str">
            <v>Запірна з-ка ду 100 КВ</v>
          </cell>
        </row>
        <row r="294">
          <cell r="B294" t="str">
            <v>7LAB13AA101YB02</v>
          </cell>
          <cell r="E294" t="str">
            <v>Запірна з-ка ду 100 КЗ</v>
          </cell>
        </row>
        <row r="295">
          <cell r="B295" t="str">
            <v>7LBA00AA101YB01</v>
          </cell>
          <cell r="E295" t="str">
            <v>З-ка прод паропер №1 КВ</v>
          </cell>
        </row>
        <row r="296">
          <cell r="B296" t="str">
            <v>7LBA00AA101YB02</v>
          </cell>
          <cell r="E296" t="str">
            <v>З-ка прод паропер №1 КЗ</v>
          </cell>
        </row>
        <row r="297">
          <cell r="B297" t="str">
            <v>7HHG21AA101YB01</v>
          </cell>
          <cell r="E297" t="str">
            <v>Газова секц з-ка 1Н КВ</v>
          </cell>
        </row>
        <row r="298">
          <cell r="B298" t="str">
            <v>7HHG21AA101YB02</v>
          </cell>
          <cell r="E298" t="str">
            <v>Газова секц з-ка 1Н КЗ</v>
          </cell>
        </row>
        <row r="299">
          <cell r="B299" t="str">
            <v>7HHG22AA101YB01</v>
          </cell>
          <cell r="E299" t="str">
            <v>Газова секц з-ка 2Н КВ</v>
          </cell>
        </row>
        <row r="300">
          <cell r="B300" t="str">
            <v>7HHG22AA101YB02</v>
          </cell>
          <cell r="E300" t="str">
            <v>Газова секц з-ка 2Н КЗ</v>
          </cell>
        </row>
        <row r="301">
          <cell r="B301" t="str">
            <v>7HHG23AA101YB01</v>
          </cell>
          <cell r="E301" t="str">
            <v>Газова секц з-ка 3Н КВ</v>
          </cell>
        </row>
        <row r="302">
          <cell r="B302" t="str">
            <v>7HHG23AA101YB02</v>
          </cell>
          <cell r="E302" t="str">
            <v>Газова секц з-ка 3Н КЗ</v>
          </cell>
        </row>
        <row r="303">
          <cell r="B303" t="str">
            <v>7HHG24AA101YB01</v>
          </cell>
          <cell r="E303" t="str">
            <v>Газова секц з-ка 4Н КВ</v>
          </cell>
        </row>
        <row r="304">
          <cell r="B304" t="str">
            <v>7HHG24AA101YB02</v>
          </cell>
          <cell r="E304" t="str">
            <v>Газова секц з-ка 4Н КЗ</v>
          </cell>
        </row>
        <row r="305">
          <cell r="B305" t="str">
            <v>7HHG21AA102YB01</v>
          </cell>
          <cell r="E305" t="str">
            <v>Газова секц з-ка 1В КВ</v>
          </cell>
        </row>
        <row r="306">
          <cell r="B306" t="str">
            <v>7HHG21AA102YB02</v>
          </cell>
          <cell r="E306" t="str">
            <v>Газова секц з-ка 1В КЗ</v>
          </cell>
        </row>
        <row r="307">
          <cell r="B307" t="str">
            <v>7HHG22AA102YB01</v>
          </cell>
          <cell r="E307" t="str">
            <v>Газова секц з-ка 2В КВ</v>
          </cell>
        </row>
        <row r="308">
          <cell r="B308" t="str">
            <v>7HHG22AA102YB02</v>
          </cell>
          <cell r="E308" t="str">
            <v>Газова секц з-ка 2В КЗ</v>
          </cell>
        </row>
        <row r="309">
          <cell r="B309" t="str">
            <v>7HHG23AA102YB01</v>
          </cell>
          <cell r="E309" t="str">
            <v>Газова секц з-ка 3В КВ</v>
          </cell>
        </row>
        <row r="310">
          <cell r="B310" t="str">
            <v>7HHG23AA102YB02</v>
          </cell>
          <cell r="E310" t="str">
            <v>Газова секц з-ка 3В КЗ</v>
          </cell>
        </row>
        <row r="311">
          <cell r="B311" t="str">
            <v>7HHG24AA102YB01</v>
          </cell>
          <cell r="E311" t="str">
            <v>Газова секц з-ка 4В КВ</v>
          </cell>
        </row>
        <row r="312">
          <cell r="B312" t="str">
            <v>7HHG24AA102YB02</v>
          </cell>
          <cell r="E312" t="str">
            <v>Газова секц з-ка 4В КЗ</v>
          </cell>
        </row>
        <row r="313">
          <cell r="B313" t="str">
            <v>7HHG25AA101YB01</v>
          </cell>
          <cell r="E313" t="str">
            <v>Газова секц з-ка 5Н КВ</v>
          </cell>
        </row>
        <row r="314">
          <cell r="B314" t="str">
            <v>7HHG25AA101YB02</v>
          </cell>
          <cell r="E314" t="str">
            <v>Газова секц з-ка 5Н КЗ</v>
          </cell>
        </row>
        <row r="315">
          <cell r="B315" t="str">
            <v>7HHG26AA101YB01</v>
          </cell>
          <cell r="E315" t="str">
            <v>Газова секц з-ка 6Н КВ</v>
          </cell>
        </row>
        <row r="316">
          <cell r="B316" t="str">
            <v>7HHG26AA101YB02</v>
          </cell>
          <cell r="E316" t="str">
            <v>Газова секц з-ка 6Н КЗ</v>
          </cell>
        </row>
        <row r="317">
          <cell r="B317" t="str">
            <v>7HHG27AA101YB01</v>
          </cell>
          <cell r="E317" t="str">
            <v>Газова секц з-ка 7Н КВ</v>
          </cell>
        </row>
        <row r="318">
          <cell r="B318" t="str">
            <v>7HHG27AA101YB02</v>
          </cell>
          <cell r="E318" t="str">
            <v>Газова секц з-ка 7Н КЗ</v>
          </cell>
        </row>
        <row r="319">
          <cell r="B319" t="str">
            <v>7HHG28AA101YB01</v>
          </cell>
          <cell r="E319" t="str">
            <v>Газова секц з-ка 8Н КВ</v>
          </cell>
        </row>
        <row r="320">
          <cell r="B320" t="str">
            <v>7HHG28AA101YB02</v>
          </cell>
          <cell r="E320" t="str">
            <v>Газова секц з-ка 8Н КЗ</v>
          </cell>
        </row>
        <row r="321">
          <cell r="B321" t="str">
            <v>7HHG25AA102YB01</v>
          </cell>
          <cell r="E321" t="str">
            <v>Газова секц з-ка 5В КВ</v>
          </cell>
        </row>
        <row r="322">
          <cell r="B322" t="str">
            <v>7HHG25AA102YB02</v>
          </cell>
          <cell r="E322" t="str">
            <v>Газова секц з-ка 5В КЗ</v>
          </cell>
        </row>
        <row r="323">
          <cell r="B323" t="str">
            <v>7HHG26AA102YB01</v>
          </cell>
          <cell r="E323" t="str">
            <v>Газова секц з-ка 6В КВ</v>
          </cell>
        </row>
        <row r="324">
          <cell r="B324" t="str">
            <v>7HHG26AA102YB02</v>
          </cell>
          <cell r="E324" t="str">
            <v>Газова секц з-ка 6В КЗ</v>
          </cell>
        </row>
        <row r="325">
          <cell r="B325" t="str">
            <v>7HHG27AA102YB01</v>
          </cell>
          <cell r="E325" t="str">
            <v>Газова секц з-ка 7В КВ</v>
          </cell>
        </row>
        <row r="326">
          <cell r="B326" t="str">
            <v>7HHG27AA102YB02</v>
          </cell>
          <cell r="E326" t="str">
            <v>Газова секц з-ка 7В КЗ</v>
          </cell>
        </row>
        <row r="327">
          <cell r="B327" t="str">
            <v>7HHG28AA102YB01</v>
          </cell>
          <cell r="E327" t="str">
            <v>Газова секц з-ка 8В КВ</v>
          </cell>
        </row>
        <row r="328">
          <cell r="B328" t="str">
            <v>7HHG28AA102YB02</v>
          </cell>
          <cell r="E328" t="str">
            <v>Газова секц з-ка 8В КЗ</v>
          </cell>
        </row>
        <row r="329">
          <cell r="B329" t="str">
            <v>7HAD10AA101YB01</v>
          </cell>
          <cell r="E329" t="str">
            <v>Авар скид №1 КВ</v>
          </cell>
        </row>
        <row r="330">
          <cell r="B330" t="str">
            <v>7HAD10AA101YB02</v>
          </cell>
          <cell r="E330" t="str">
            <v>Авар скид №1 КЗ</v>
          </cell>
        </row>
        <row r="331">
          <cell r="B331" t="str">
            <v>7HAD10AA102YB01</v>
          </cell>
          <cell r="E331" t="str">
            <v>Авар скид №2 КВ</v>
          </cell>
        </row>
        <row r="332">
          <cell r="B332" t="str">
            <v>7HAD10AA102YB02</v>
          </cell>
          <cell r="E332" t="str">
            <v>Авар скид №2 КЗ</v>
          </cell>
        </row>
        <row r="333">
          <cell r="B333" t="str">
            <v>7LAE10AA101YB01</v>
          </cell>
          <cell r="E333" t="str">
            <v>З-ка впр ж.в. до перв ПП КВ</v>
          </cell>
        </row>
        <row r="334">
          <cell r="B334" t="str">
            <v>7LAE10AA101YB02</v>
          </cell>
          <cell r="E334" t="str">
            <v>З-ка впр ж.в. до перв ПП КЗ</v>
          </cell>
        </row>
        <row r="335">
          <cell r="B335" t="str">
            <v>7LAF10AA101YB01</v>
          </cell>
          <cell r="E335" t="str">
            <v>З-ка впр ж.в. до втор ПП КВ</v>
          </cell>
        </row>
        <row r="336">
          <cell r="B336" t="str">
            <v>7LAF10AA101YB02</v>
          </cell>
          <cell r="E336" t="str">
            <v>З-ка впр ж.в. до втор ПП КЗ</v>
          </cell>
        </row>
        <row r="337">
          <cell r="B337" t="str">
            <v>7LAE00AA101YB01</v>
          </cell>
          <cell r="E337" t="str">
            <v>Заг-на конд на вприски КВ</v>
          </cell>
        </row>
        <row r="338">
          <cell r="B338" t="str">
            <v>7LAE00AA101YB02</v>
          </cell>
          <cell r="E338" t="str">
            <v>Заг-на конд на вприски КЗ</v>
          </cell>
        </row>
        <row r="339">
          <cell r="B339" t="str">
            <v>7LBA00AA102YB01</v>
          </cell>
          <cell r="E339" t="str">
            <v>З-ка прод паропер 2 КВ</v>
          </cell>
        </row>
        <row r="340">
          <cell r="B340" t="str">
            <v>7LBA00AA102YB02</v>
          </cell>
          <cell r="E340" t="str">
            <v>З-ка прод паропер 2 КЗ</v>
          </cell>
        </row>
        <row r="341">
          <cell r="B341" t="str">
            <v>7HHG25AA102XB06</v>
          </cell>
          <cell r="E341" t="str">
            <v>Газова секц з-ка 5В НЖ</v>
          </cell>
        </row>
        <row r="342">
          <cell r="B342" t="str">
            <v>7HHG25AA102XB10</v>
          </cell>
          <cell r="E342" t="str">
            <v>Газова секц з-ка 5В ШТ</v>
          </cell>
        </row>
        <row r="343">
          <cell r="B343" t="str">
            <v>7HHG25AA102XB51</v>
          </cell>
          <cell r="E343" t="str">
            <v>Газова секц з-ка 5В НВ</v>
          </cell>
        </row>
        <row r="344">
          <cell r="B344" t="str">
            <v>7HHG25AA102XB52</v>
          </cell>
          <cell r="E344" t="str">
            <v>Газова секц з-ка 5В НЗ</v>
          </cell>
        </row>
        <row r="345">
          <cell r="B345" t="str">
            <v>7HHG26AA102XB06</v>
          </cell>
          <cell r="E345" t="str">
            <v>Газова секц з-ка 6В НЖ</v>
          </cell>
        </row>
        <row r="346">
          <cell r="B346" t="str">
            <v>7HHG26AA102XB10</v>
          </cell>
          <cell r="E346" t="str">
            <v>Газова секц з-ка 6В ШТ</v>
          </cell>
        </row>
        <row r="347">
          <cell r="B347" t="str">
            <v>7HHG26AA102XB51</v>
          </cell>
          <cell r="E347" t="str">
            <v>Газова секц з-ка 6В НВ</v>
          </cell>
        </row>
        <row r="348">
          <cell r="B348" t="str">
            <v>7HHG26AA102XB52</v>
          </cell>
          <cell r="E348" t="str">
            <v>Газова секц з-ка 6В НЗ</v>
          </cell>
        </row>
        <row r="349">
          <cell r="B349" t="str">
            <v>7HHG27AA102XB06</v>
          </cell>
          <cell r="E349" t="str">
            <v>Газова секц з-ка 7В НЖ</v>
          </cell>
        </row>
        <row r="350">
          <cell r="B350" t="str">
            <v>7HHG27AA102XB10</v>
          </cell>
          <cell r="E350" t="str">
            <v>Газова секц з-ка 7В ШТ</v>
          </cell>
        </row>
        <row r="351">
          <cell r="B351" t="str">
            <v>7HHG27AA102XB51</v>
          </cell>
          <cell r="E351" t="str">
            <v>Газова секц з-ка 7В НВ</v>
          </cell>
        </row>
        <row r="352">
          <cell r="B352" t="str">
            <v>7HHG27AA102XB52</v>
          </cell>
          <cell r="E352" t="str">
            <v>Газова секц з-ка 7В НЗ</v>
          </cell>
        </row>
        <row r="353">
          <cell r="B353" t="str">
            <v>7HHG28AA102XB06</v>
          </cell>
          <cell r="E353" t="str">
            <v>Газова секц з-ка 8В НЖ</v>
          </cell>
        </row>
        <row r="354">
          <cell r="B354" t="str">
            <v>7HHG28AA102XB10</v>
          </cell>
          <cell r="E354" t="str">
            <v>Газова секц з-ка 8В ШТ</v>
          </cell>
        </row>
        <row r="355">
          <cell r="B355" t="str">
            <v>7HHG28AA102XB51</v>
          </cell>
          <cell r="E355" t="str">
            <v>Газова секц з-ка 8В НВ</v>
          </cell>
        </row>
        <row r="356">
          <cell r="B356" t="str">
            <v>7HHG28AA102XB52</v>
          </cell>
          <cell r="E356" t="str">
            <v>Газова секц з-ка 8В НЗ</v>
          </cell>
        </row>
        <row r="357">
          <cell r="B357" t="str">
            <v>7HHG25AA101XB06</v>
          </cell>
          <cell r="E357" t="str">
            <v>Газова секц з-ка 5Н НЖ</v>
          </cell>
        </row>
        <row r="358">
          <cell r="B358" t="str">
            <v>7HHG25AA101XB10</v>
          </cell>
          <cell r="E358" t="str">
            <v>Газова секц з-ка 5Н ШТ</v>
          </cell>
        </row>
        <row r="359">
          <cell r="B359" t="str">
            <v>7HHG25AA101XB51</v>
          </cell>
          <cell r="E359" t="str">
            <v>Газова секц з-ка 5Н НВ</v>
          </cell>
        </row>
        <row r="360">
          <cell r="B360" t="str">
            <v>7HHG25AA101XB52</v>
          </cell>
          <cell r="E360" t="str">
            <v>Газова секц з-ка 5Н НЗ</v>
          </cell>
        </row>
        <row r="361">
          <cell r="B361" t="str">
            <v>7HHG26AA101XB06</v>
          </cell>
          <cell r="E361" t="str">
            <v>Газова секц з-ка 6Н НЖ</v>
          </cell>
        </row>
        <row r="362">
          <cell r="B362" t="str">
            <v>7HHG26AA101XB10</v>
          </cell>
          <cell r="E362" t="str">
            <v>Газова секц з-ка 6Н ШТ</v>
          </cell>
        </row>
        <row r="363">
          <cell r="B363" t="str">
            <v>7HHG26AA101XB51</v>
          </cell>
          <cell r="E363" t="str">
            <v>Газова секц з-ка 6Н НВ</v>
          </cell>
        </row>
        <row r="364">
          <cell r="B364" t="str">
            <v>7HHG26AA101XB52</v>
          </cell>
          <cell r="E364" t="str">
            <v>Газова секц з-ка 6Н НЗ</v>
          </cell>
        </row>
        <row r="365">
          <cell r="B365" t="str">
            <v>7HHG27AA101XB06</v>
          </cell>
          <cell r="E365" t="str">
            <v>Газова секц з-ка 7Н НЖ</v>
          </cell>
        </row>
        <row r="366">
          <cell r="B366" t="str">
            <v>7HHG27AA101XB10</v>
          </cell>
          <cell r="E366" t="str">
            <v>Газова секц з-ка 7Н ШТ</v>
          </cell>
        </row>
        <row r="367">
          <cell r="B367" t="str">
            <v>7HHG27AA101XB51</v>
          </cell>
          <cell r="E367" t="str">
            <v>Газова секц з-ка 7Н НВ</v>
          </cell>
        </row>
        <row r="368">
          <cell r="B368" t="str">
            <v>7HHG27AA101XB52</v>
          </cell>
          <cell r="E368" t="str">
            <v>Газова секц з-ка 7Н НЗ</v>
          </cell>
        </row>
        <row r="369">
          <cell r="B369" t="str">
            <v>7HHG28AA101XB06</v>
          </cell>
          <cell r="E369" t="str">
            <v>Газова секц з-ка 8Н НЖ</v>
          </cell>
        </row>
        <row r="370">
          <cell r="B370" t="str">
            <v>7HHG28AA101XB10</v>
          </cell>
          <cell r="E370" t="str">
            <v>Газова секц з-ка 8Н ШТ</v>
          </cell>
        </row>
        <row r="371">
          <cell r="B371" t="str">
            <v>7HHG28AA101XB51</v>
          </cell>
          <cell r="E371" t="str">
            <v>Газова секц з-ка 8Н НВ</v>
          </cell>
        </row>
        <row r="372">
          <cell r="B372" t="str">
            <v>7HHG28AA101XB52</v>
          </cell>
          <cell r="E372" t="str">
            <v>Газова секц з-ка 8Н НЗ</v>
          </cell>
        </row>
        <row r="373">
          <cell r="B373" t="str">
            <v>7LAE00AA101XB06</v>
          </cell>
          <cell r="E373" t="str">
            <v>Заг-на конд на вприски НЖ</v>
          </cell>
        </row>
        <row r="374">
          <cell r="B374" t="str">
            <v>7LAE00AA101XB10</v>
          </cell>
          <cell r="E374" t="str">
            <v>Заг-на конд на вприски ШТ</v>
          </cell>
        </row>
        <row r="375">
          <cell r="B375" t="str">
            <v>7LAE00AA101XB51</v>
          </cell>
          <cell r="E375" t="str">
            <v>Заг-на конд на вприски НВ</v>
          </cell>
        </row>
        <row r="376">
          <cell r="B376" t="str">
            <v>7LAE00AA101XB52</v>
          </cell>
          <cell r="E376" t="str">
            <v>Заг-на конд на вприски НЗ</v>
          </cell>
        </row>
        <row r="377">
          <cell r="B377" t="str">
            <v>7LBA00AA102XB06</v>
          </cell>
          <cell r="E377" t="str">
            <v>З-ка прод паропер 2 НЖ</v>
          </cell>
        </row>
        <row r="378">
          <cell r="B378" t="str">
            <v>7LBA00AA102XB10</v>
          </cell>
          <cell r="E378" t="str">
            <v>З-ка прод паропер 2 ШТ</v>
          </cell>
        </row>
        <row r="379">
          <cell r="B379" t="str">
            <v>7LBA00AA102XB51</v>
          </cell>
          <cell r="E379" t="str">
            <v>З-ка прод паропер 2 НВ</v>
          </cell>
        </row>
        <row r="380">
          <cell r="B380" t="str">
            <v>7LBA00AA102XB52</v>
          </cell>
          <cell r="E380" t="str">
            <v>З-ка прод паропер 2 НЗ</v>
          </cell>
        </row>
        <row r="381">
          <cell r="B381" t="str">
            <v>7HAD10AA101XB06</v>
          </cell>
          <cell r="E381" t="str">
            <v>Авар скид №1 НЖ</v>
          </cell>
        </row>
        <row r="382">
          <cell r="B382" t="str">
            <v>7HAD10AA101XB10</v>
          </cell>
          <cell r="E382" t="str">
            <v>Авар скид №1 ШТ</v>
          </cell>
        </row>
        <row r="383">
          <cell r="B383" t="str">
            <v>7HAD10AA101XB51</v>
          </cell>
          <cell r="E383" t="str">
            <v>Авар скид №1 НВ</v>
          </cell>
        </row>
        <row r="384">
          <cell r="B384" t="str">
            <v>7HAD10AA101XB52</v>
          </cell>
          <cell r="E384" t="str">
            <v>Авар скид №1 НЗ</v>
          </cell>
        </row>
        <row r="385">
          <cell r="B385" t="str">
            <v>7HAD10AA102XB06</v>
          </cell>
          <cell r="E385" t="str">
            <v>Авар скид №2 НЖ</v>
          </cell>
        </row>
        <row r="386">
          <cell r="B386" t="str">
            <v>7HAD10AA102XB10</v>
          </cell>
          <cell r="E386" t="str">
            <v>Авар скид №2 ШТ</v>
          </cell>
        </row>
        <row r="387">
          <cell r="B387" t="str">
            <v>7HAD10AA102XB51</v>
          </cell>
          <cell r="E387" t="str">
            <v>Авар скид №2 НВ</v>
          </cell>
        </row>
        <row r="388">
          <cell r="B388" t="str">
            <v>7HAD10AA102XB52</v>
          </cell>
          <cell r="E388" t="str">
            <v>Авар скид №2 НЗ</v>
          </cell>
        </row>
        <row r="389">
          <cell r="B389" t="str">
            <v>7LAE10AA101XB06</v>
          </cell>
          <cell r="E389" t="str">
            <v>З-ка впр ж.в.до перв ПП НЖ</v>
          </cell>
        </row>
        <row r="390">
          <cell r="B390" t="str">
            <v>7LAE10AA101XB10</v>
          </cell>
          <cell r="E390" t="str">
            <v>З-ка впр ж.в.до перв ПП ШТ</v>
          </cell>
        </row>
        <row r="391">
          <cell r="B391" t="str">
            <v>7LAE10AA101XB51</v>
          </cell>
          <cell r="E391" t="str">
            <v>З-ка впр ж.в.до перв ПП НВ</v>
          </cell>
        </row>
        <row r="392">
          <cell r="B392" t="str">
            <v>7LAE10AA101XB52</v>
          </cell>
          <cell r="E392" t="str">
            <v>З-ка впр ж.в.до перв ПП НЗ</v>
          </cell>
        </row>
        <row r="393">
          <cell r="B393" t="str">
            <v>7LAF10AA101XB06</v>
          </cell>
          <cell r="E393" t="str">
            <v>З-ка впр ж.в.до втор ПП НЖ</v>
          </cell>
        </row>
        <row r="394">
          <cell r="B394" t="str">
            <v>7LAF10AA101XB10</v>
          </cell>
          <cell r="E394" t="str">
            <v>З-ка впр ж.в.до втор ПП ШТ</v>
          </cell>
        </row>
        <row r="395">
          <cell r="B395" t="str">
            <v>7LAF10AA101XB51</v>
          </cell>
          <cell r="E395" t="str">
            <v>З-ка впр ж.в.до втор ПП НВ</v>
          </cell>
        </row>
        <row r="396">
          <cell r="B396" t="str">
            <v>7LAF10AA101XB52</v>
          </cell>
          <cell r="E396" t="str">
            <v>З-ка впр ж.в.до втор ПП НЗ</v>
          </cell>
        </row>
        <row r="397">
          <cell r="B397" t="str">
            <v>7HFB11AF001XB46</v>
          </cell>
          <cell r="E397" t="str">
            <v>ЖСВ М-11-1 АВАР ВІДКЛ</v>
          </cell>
        </row>
        <row r="398">
          <cell r="B398" t="str">
            <v>7HFB12AF001XB46</v>
          </cell>
          <cell r="E398" t="str">
            <v>ЖСВ М-11-2 АВАР ВІДКЛ</v>
          </cell>
        </row>
        <row r="399">
          <cell r="B399" t="str">
            <v>7LAB11AA001XB06</v>
          </cell>
          <cell r="E399" t="str">
            <v>РК живл кот 1 ду 250 НЖ</v>
          </cell>
        </row>
        <row r="400">
          <cell r="B400" t="str">
            <v>7LAB11AA001XB51</v>
          </cell>
          <cell r="E400" t="str">
            <v>РК живл кот 1 ду 250 НВ</v>
          </cell>
        </row>
        <row r="401">
          <cell r="B401" t="str">
            <v>7LAB11AA001XB52</v>
          </cell>
          <cell r="E401" t="str">
            <v>РК живл кот 1 ду 250 НЗ</v>
          </cell>
        </row>
        <row r="402">
          <cell r="B402" t="str">
            <v>7LAB13AA001XB06</v>
          </cell>
          <cell r="E402" t="str">
            <v>РК живл котла ду 100 НЖ</v>
          </cell>
        </row>
        <row r="403">
          <cell r="B403" t="str">
            <v>7LAB13AA001XB51</v>
          </cell>
          <cell r="E403" t="str">
            <v>РК живл котла ду 100 НВ</v>
          </cell>
        </row>
        <row r="404">
          <cell r="B404" t="str">
            <v>7LAB13AA001XB52</v>
          </cell>
          <cell r="E404" t="str">
            <v>РК живл котла ду 100 НЗ</v>
          </cell>
        </row>
        <row r="405">
          <cell r="B405" t="str">
            <v>7CHB00EY001XK02</v>
          </cell>
          <cell r="E405" t="str">
            <v>Роб захисту зупинки котла</v>
          </cell>
        </row>
        <row r="406">
          <cell r="B406" t="str">
            <v>7CHL00EY001XK02</v>
          </cell>
          <cell r="E406" t="str">
            <v>Роб захисту зупинки блоку</v>
          </cell>
        </row>
        <row r="407">
          <cell r="B407" t="str">
            <v>7HFB13AF001XB46</v>
          </cell>
          <cell r="E407" t="str">
            <v>ЖСВ М-11-3 АВАР ВІДКЛ</v>
          </cell>
        </row>
        <row r="408">
          <cell r="B408" t="str">
            <v>7HFB13AF002XB01</v>
          </cell>
          <cell r="E408" t="str">
            <v>ТЖСВ М-11-3 ВКЛ</v>
          </cell>
        </row>
        <row r="409">
          <cell r="B409" t="str">
            <v>7HFB13AF002XB02</v>
          </cell>
          <cell r="E409" t="str">
            <v>ТЖСВ М-11-3 ВІДКЛ</v>
          </cell>
        </row>
        <row r="410">
          <cell r="B410" t="str">
            <v>7HFB13AF002XB03</v>
          </cell>
          <cell r="E410" t="str">
            <v>ТЖСВ М-11-3 НЕСПР КІЛ КЕРУВ</v>
          </cell>
        </row>
        <row r="411">
          <cell r="B411" t="str">
            <v>7HFB13AF002XB47</v>
          </cell>
          <cell r="E411" t="str">
            <v>ТЖСВ М-11-3 АК</v>
          </cell>
        </row>
        <row r="412">
          <cell r="B412" t="str">
            <v>7HFB14AF001XB46</v>
          </cell>
          <cell r="E412" t="str">
            <v>ЖСВ М-11-4 АВАР ВІДКЛ</v>
          </cell>
        </row>
        <row r="413">
          <cell r="B413" t="str">
            <v>7HFB14AF002XB01</v>
          </cell>
          <cell r="E413" t="str">
            <v>ТЖСВ М-11-4 ВКЛ</v>
          </cell>
        </row>
        <row r="414">
          <cell r="B414" t="str">
            <v>7HFB14AF002XB02</v>
          </cell>
          <cell r="E414" t="str">
            <v xml:space="preserve">ТЖСВ М-11-4 ВІДКЛ </v>
          </cell>
        </row>
        <row r="415">
          <cell r="B415" t="str">
            <v>7HFB14AF002XB03</v>
          </cell>
          <cell r="E415" t="str">
            <v>ТЖСВ М-11-4 НЕСПР КІЛ КЕРУВ</v>
          </cell>
        </row>
        <row r="416">
          <cell r="B416" t="str">
            <v>7HFB14AF002XB47</v>
          </cell>
          <cell r="E416" t="str">
            <v>ТЖСВ М-11-4 АК</v>
          </cell>
        </row>
        <row r="417">
          <cell r="B417" t="str">
            <v>7HLB10AA001XB06</v>
          </cell>
          <cell r="E417" t="str">
            <v>НА ДВ-А НЖ</v>
          </cell>
        </row>
        <row r="418">
          <cell r="B418" t="str">
            <v>7HLB10AA001XB07</v>
          </cell>
          <cell r="E418" t="str">
            <v>НА ДВ-А ТП</v>
          </cell>
        </row>
        <row r="419">
          <cell r="B419" t="str">
            <v>7HLB10AA001XB51</v>
          </cell>
          <cell r="E419" t="str">
            <v>НА ДВ-А НВ</v>
          </cell>
        </row>
        <row r="420">
          <cell r="B420" t="str">
            <v>7HLB10AA001XB52</v>
          </cell>
          <cell r="E420" t="str">
            <v>НА ДВ-А НЗ</v>
          </cell>
        </row>
        <row r="421">
          <cell r="B421" t="str">
            <v>7HLB10AA001XB53</v>
          </cell>
          <cell r="E421" t="str">
            <v>НА ДВ-А РММ</v>
          </cell>
        </row>
        <row r="422">
          <cell r="B422" t="str">
            <v>7HNC10AA001XB06</v>
          </cell>
          <cell r="E422" t="str">
            <v>НА Д-А НЖ</v>
          </cell>
        </row>
        <row r="423">
          <cell r="B423" t="str">
            <v>7HNC10AA001XB07</v>
          </cell>
          <cell r="E423" t="str">
            <v>НА Д-А ТП</v>
          </cell>
        </row>
        <row r="424">
          <cell r="B424" t="str">
            <v>7HNC10AA001XB51</v>
          </cell>
          <cell r="E424" t="str">
            <v>НА Д-А НВ</v>
          </cell>
        </row>
        <row r="425">
          <cell r="B425" t="str">
            <v>7HNC10AA001XB52</v>
          </cell>
          <cell r="E425" t="str">
            <v>НА Д-А НЗ</v>
          </cell>
        </row>
        <row r="426">
          <cell r="B426" t="str">
            <v>7HNC10AA001XB53</v>
          </cell>
          <cell r="E426" t="str">
            <v>НА Д-А РММ</v>
          </cell>
        </row>
        <row r="427">
          <cell r="B427" t="str">
            <v>7LAE11AA001XB06</v>
          </cell>
          <cell r="E427" t="str">
            <v>РК Т гостр пари 1А НЖ</v>
          </cell>
        </row>
        <row r="428">
          <cell r="B428" t="str">
            <v>7LAE11AA001XB51</v>
          </cell>
          <cell r="E428" t="str">
            <v>РК Т гостр пари 1А НВ</v>
          </cell>
        </row>
        <row r="429">
          <cell r="B429" t="str">
            <v>7LAE11AA001XB52</v>
          </cell>
          <cell r="E429" t="str">
            <v>РК Т гостр пари 1А НЗ</v>
          </cell>
        </row>
        <row r="430">
          <cell r="B430" t="str">
            <v>7LAE12AA001XB06</v>
          </cell>
          <cell r="E430" t="str">
            <v>РК Т гостр пари 1Б НЖ</v>
          </cell>
        </row>
        <row r="431">
          <cell r="B431" t="str">
            <v>7LAE12AA001XB51</v>
          </cell>
          <cell r="E431" t="str">
            <v>РК Т гостр пари 1Б НВ</v>
          </cell>
        </row>
        <row r="432">
          <cell r="B432" t="str">
            <v>7LAE12AA001XB52</v>
          </cell>
          <cell r="E432" t="str">
            <v>РК Т гостр пари 1Б НЗ</v>
          </cell>
        </row>
        <row r="433">
          <cell r="B433" t="str">
            <v>7HNC11AA001XB06</v>
          </cell>
          <cell r="E433" t="str">
            <v>Шибер рец гаряч повітря А НЖ</v>
          </cell>
        </row>
        <row r="434">
          <cell r="B434" t="str">
            <v>7HNC11AA001XB07</v>
          </cell>
          <cell r="E434" t="str">
            <v>Шибер рец гаряч повітря А ТП</v>
          </cell>
        </row>
        <row r="435">
          <cell r="B435" t="str">
            <v>7HNC11AA001XB51</v>
          </cell>
          <cell r="E435" t="str">
            <v>Шибер рец гаряч повітря А НВ</v>
          </cell>
        </row>
        <row r="436">
          <cell r="B436" t="str">
            <v>7HNC11AA001XB52</v>
          </cell>
          <cell r="E436" t="str">
            <v>Шибер рец гаряч повітря А НЗ</v>
          </cell>
        </row>
        <row r="437">
          <cell r="B437" t="str">
            <v>7HNC11AA001XB53</v>
          </cell>
          <cell r="E437" t="str">
            <v>Шибер рец гаряч повітря А РММ</v>
          </cell>
        </row>
        <row r="438">
          <cell r="B438" t="str">
            <v>7LBC10AA103XB06</v>
          </cell>
          <cell r="E438" t="str">
            <v>З-ка обдув поверх нагр НЖ</v>
          </cell>
        </row>
        <row r="439">
          <cell r="B439" t="str">
            <v>7LBC10AA103XB10</v>
          </cell>
          <cell r="E439" t="str">
            <v>З-ка обдув поверх нагр ШТ</v>
          </cell>
        </row>
        <row r="440">
          <cell r="B440" t="str">
            <v>7LBC10AA103XB51</v>
          </cell>
          <cell r="E440" t="str">
            <v>З-ка обдув поверх нагр НВ</v>
          </cell>
        </row>
        <row r="441">
          <cell r="B441" t="str">
            <v>7LBC10AA103XB52</v>
          </cell>
          <cell r="E441" t="str">
            <v>З-ка обдув поверх нагр НЗ</v>
          </cell>
        </row>
        <row r="442">
          <cell r="B442" t="str">
            <v>7LCQ10AA101XB06</v>
          </cell>
          <cell r="E442" t="str">
            <v>З-ка безпер прод НЖ</v>
          </cell>
        </row>
        <row r="443">
          <cell r="B443" t="str">
            <v>7LCQ10AA101XB10</v>
          </cell>
          <cell r="E443" t="str">
            <v>З-ка безпер прод ШТ</v>
          </cell>
        </row>
        <row r="444">
          <cell r="B444" t="str">
            <v>7LCQ10AA101XB51</v>
          </cell>
          <cell r="E444" t="str">
            <v>З-ка безпер прод НВ</v>
          </cell>
        </row>
        <row r="445">
          <cell r="B445" t="str">
            <v>7LCQ10AA101XB52</v>
          </cell>
          <cell r="E445" t="str">
            <v>З-ка безпер прод НЗ</v>
          </cell>
        </row>
        <row r="446">
          <cell r="B446" t="str">
            <v>7LBG12AA101XB06</v>
          </cell>
          <cell r="E446" t="str">
            <v>З-ка перем 1 та 2 маг-ль НЖ</v>
          </cell>
        </row>
        <row r="447">
          <cell r="B447" t="str">
            <v>7LBG12AA101XB10</v>
          </cell>
          <cell r="E447" t="str">
            <v>З-ка перем 1 та 2 маг-ль ШТ</v>
          </cell>
        </row>
        <row r="448">
          <cell r="B448" t="str">
            <v>7LBG12AA101XB51</v>
          </cell>
          <cell r="E448" t="str">
            <v>З-ка перем 1 та 2 маг-ль НВ</v>
          </cell>
        </row>
        <row r="449">
          <cell r="B449" t="str">
            <v>7LBG12AA101XB52</v>
          </cell>
          <cell r="E449" t="str">
            <v>З-ка перем 1 та 2 маг-ль НЗ</v>
          </cell>
        </row>
        <row r="450">
          <cell r="B450" t="str">
            <v>7HFB11AF001YB01</v>
          </cell>
          <cell r="E450" t="str">
            <v>ЖСВ М-11-1 КВ</v>
          </cell>
        </row>
        <row r="451">
          <cell r="B451" t="str">
            <v>7HFB12AF001YB01</v>
          </cell>
          <cell r="E451" t="str">
            <v>ЖСВ М-11-2 КВ</v>
          </cell>
        </row>
        <row r="452">
          <cell r="B452" t="str">
            <v>7HFB13AF001YB01</v>
          </cell>
          <cell r="E452" t="str">
            <v>ЖСВ М-11-3 КВ</v>
          </cell>
        </row>
        <row r="453">
          <cell r="B453" t="str">
            <v>7HFB13AF002YB01</v>
          </cell>
          <cell r="E453" t="str">
            <v>ТЖСВ М-11-3 КВ</v>
          </cell>
        </row>
        <row r="454">
          <cell r="B454" t="str">
            <v>7HFB13AF002YB02</v>
          </cell>
          <cell r="E454" t="str">
            <v>ТЖСВ М-11-3 КО</v>
          </cell>
        </row>
        <row r="455">
          <cell r="B455" t="str">
            <v>7HFB14AF002YB01</v>
          </cell>
          <cell r="E455" t="str">
            <v>ТЖСВ М-11-4 КВ</v>
          </cell>
        </row>
        <row r="456">
          <cell r="B456" t="str">
            <v>7HFB14AF002YB02</v>
          </cell>
          <cell r="E456" t="str">
            <v>ТЖСВ М-11-4 КО</v>
          </cell>
        </row>
        <row r="457">
          <cell r="B457" t="str">
            <v>7HFB14AF001YB01</v>
          </cell>
          <cell r="E457" t="str">
            <v>ЖСВ М-11-4 КВ</v>
          </cell>
        </row>
        <row r="458">
          <cell r="B458" t="str">
            <v>7LAB11AA001YB01</v>
          </cell>
          <cell r="E458" t="str">
            <v>РК живл кот 1 ду 250 КВ</v>
          </cell>
        </row>
        <row r="459">
          <cell r="B459" t="str">
            <v>7LAB11AA001YB02</v>
          </cell>
          <cell r="E459" t="str">
            <v>РК живл кот 1 ду 250 КЗ</v>
          </cell>
        </row>
        <row r="460">
          <cell r="B460" t="str">
            <v>7LAB13AA001YB01</v>
          </cell>
          <cell r="E460" t="str">
            <v>РК живл котла ду 100 КВ</v>
          </cell>
        </row>
        <row r="461">
          <cell r="B461" t="str">
            <v>7LAB13AA001YB02</v>
          </cell>
          <cell r="E461" t="str">
            <v>РК живл котла ду 100 КЗ</v>
          </cell>
        </row>
        <row r="462">
          <cell r="B462" t="str">
            <v>7HLB10AA001YB01</v>
          </cell>
          <cell r="E462" t="str">
            <v>НА ДВ-А КВ</v>
          </cell>
        </row>
        <row r="463">
          <cell r="B463" t="str">
            <v>7HLB10AA001YB02</v>
          </cell>
          <cell r="E463" t="str">
            <v>НА ДВ-А КЗ</v>
          </cell>
        </row>
        <row r="464">
          <cell r="B464" t="str">
            <v>7HNC10AA001YB01</v>
          </cell>
          <cell r="E464" t="str">
            <v>НА Д-А КВ</v>
          </cell>
        </row>
        <row r="465">
          <cell r="B465" t="str">
            <v>7HNC10AA001YB02</v>
          </cell>
          <cell r="E465" t="str">
            <v>НА Д-А КЗ</v>
          </cell>
        </row>
        <row r="466">
          <cell r="B466" t="str">
            <v>7LAE11AA001YB01</v>
          </cell>
          <cell r="E466" t="str">
            <v>РК Т гостр пари 1А КВ</v>
          </cell>
        </row>
        <row r="467">
          <cell r="B467" t="str">
            <v>7LAE11AA001YB02</v>
          </cell>
          <cell r="E467" t="str">
            <v>РК Т гостр пари 1А КЗ</v>
          </cell>
        </row>
        <row r="468">
          <cell r="B468" t="str">
            <v>7LAE12AA001YB01</v>
          </cell>
          <cell r="E468" t="str">
            <v>РК Т гостр пари 1Б КВ</v>
          </cell>
        </row>
        <row r="469">
          <cell r="B469" t="str">
            <v>7LAE12AA001YB02</v>
          </cell>
          <cell r="E469" t="str">
            <v>РК Т гостр пари 1Б КЗ</v>
          </cell>
        </row>
        <row r="470">
          <cell r="B470" t="str">
            <v>7HNC11AA001YB01</v>
          </cell>
          <cell r="E470" t="str">
            <v>Шибер рец гаряч повітря А КВ</v>
          </cell>
        </row>
        <row r="471">
          <cell r="B471" t="str">
            <v>7HNC11AA001YB02</v>
          </cell>
          <cell r="E471" t="str">
            <v>Шибер рец гаряч повітря А КЗ</v>
          </cell>
        </row>
        <row r="472">
          <cell r="B472" t="str">
            <v>7LBC10AA103YB01</v>
          </cell>
          <cell r="E472" t="str">
            <v>З-ка обдув поверх нагр КВ</v>
          </cell>
        </row>
        <row r="473">
          <cell r="B473" t="str">
            <v>7LBC10AA103YB02</v>
          </cell>
          <cell r="E473" t="str">
            <v>З-ка обдув поверх нагр КЗ</v>
          </cell>
        </row>
        <row r="474">
          <cell r="B474" t="str">
            <v>7LCQ10AA101YB01</v>
          </cell>
          <cell r="E474" t="str">
            <v>З-ка безпер прод КВ</v>
          </cell>
        </row>
        <row r="475">
          <cell r="B475" t="str">
            <v>7LCQ10AA101YB02</v>
          </cell>
          <cell r="E475" t="str">
            <v>З-ка безпер прод КЗ</v>
          </cell>
        </row>
        <row r="476">
          <cell r="B476" t="str">
            <v>7LBG12AA101YB01</v>
          </cell>
          <cell r="E476" t="str">
            <v>З-ка перем 1 та 2 маг-ль КВ</v>
          </cell>
        </row>
        <row r="477">
          <cell r="B477" t="str">
            <v>7LBG12AA101YB02</v>
          </cell>
          <cell r="E477" t="str">
            <v>З-ка перем 1 та 2 маг-ль КЗ</v>
          </cell>
        </row>
        <row r="478">
          <cell r="B478" t="str">
            <v>7LAB11AA102YB01</v>
          </cell>
          <cell r="E478" t="str">
            <v>Лобова–А КВ</v>
          </cell>
        </row>
        <row r="479">
          <cell r="B479" t="str">
            <v>7LAB11AA102YB02</v>
          </cell>
          <cell r="E479" t="str">
            <v>Лобова–А КЗ</v>
          </cell>
        </row>
        <row r="480">
          <cell r="B480" t="str">
            <v>7LAB12AA102YB01</v>
          </cell>
          <cell r="E480" t="str">
            <v>Лобова–Б КВ</v>
          </cell>
        </row>
        <row r="481">
          <cell r="B481" t="str">
            <v>7LAB12AA102YB02</v>
          </cell>
          <cell r="E481" t="str">
            <v>Лобова–Б КЗ</v>
          </cell>
        </row>
        <row r="482">
          <cell r="B482" t="str">
            <v>7LAB20AA101YB01</v>
          </cell>
          <cell r="E482" t="str">
            <v>З-ка рецирк бараб - ВЕ КВ</v>
          </cell>
        </row>
        <row r="483">
          <cell r="B483" t="str">
            <v>7LAB20AA101YB02</v>
          </cell>
          <cell r="E483" t="str">
            <v>З-ка рецирк бараб - ВЕ КЗ</v>
          </cell>
        </row>
        <row r="484">
          <cell r="B484" t="str">
            <v>7LAB12AA001YB01</v>
          </cell>
          <cell r="E484" t="str">
            <v>РК живл кот 2 ду 250 КВ</v>
          </cell>
        </row>
        <row r="485">
          <cell r="B485" t="str">
            <v>7LAB12AA001YB02</v>
          </cell>
          <cell r="E485" t="str">
            <v>РК живл кот 2 ду 250 КЗ</v>
          </cell>
        </row>
        <row r="486">
          <cell r="B486" t="str">
            <v>7LAB14AA001YB01</v>
          </cell>
          <cell r="E486" t="str">
            <v>РК живл котла ду 50 КВ</v>
          </cell>
        </row>
        <row r="487">
          <cell r="B487" t="str">
            <v>7LAB14AA001YB02</v>
          </cell>
          <cell r="E487" t="str">
            <v>РК живл котла ду 50 КЗ</v>
          </cell>
        </row>
        <row r="488">
          <cell r="B488" t="str">
            <v>7HLB20AA001YB01</v>
          </cell>
          <cell r="E488" t="str">
            <v>НА ДВ-Б КВ</v>
          </cell>
        </row>
        <row r="489">
          <cell r="B489" t="str">
            <v>7HLB20AA001YB02</v>
          </cell>
          <cell r="E489" t="str">
            <v>НА ДВ-Б КЗ</v>
          </cell>
        </row>
        <row r="490">
          <cell r="B490" t="str">
            <v>7HNC20AA001YB01</v>
          </cell>
          <cell r="E490" t="str">
            <v>НА Д-Б КВ</v>
          </cell>
        </row>
        <row r="491">
          <cell r="B491" t="str">
            <v>7HNC20AA001YB02</v>
          </cell>
          <cell r="E491" t="str">
            <v>НА Д-Б КЗ</v>
          </cell>
        </row>
        <row r="492">
          <cell r="B492" t="str">
            <v>7LAE13AA001YB01</v>
          </cell>
          <cell r="E492" t="str">
            <v>РК Т гостр пари 2А КВ</v>
          </cell>
        </row>
        <row r="493">
          <cell r="B493" t="str">
            <v>7LAE13AA001YB02</v>
          </cell>
          <cell r="E493" t="str">
            <v>РК Т гостр пари 2А КЗ</v>
          </cell>
        </row>
        <row r="494">
          <cell r="B494" t="str">
            <v>7LAE14AA001YB01</v>
          </cell>
          <cell r="E494" t="str">
            <v>РК Т гостр пари 2Б КВ</v>
          </cell>
        </row>
        <row r="495">
          <cell r="B495" t="str">
            <v>7LAE14AA001YB02</v>
          </cell>
          <cell r="E495" t="str">
            <v>РК Т гостр пари 2Б КЗ</v>
          </cell>
        </row>
        <row r="496">
          <cell r="B496" t="str">
            <v>7HNC21AA001YB01</v>
          </cell>
          <cell r="E496" t="str">
            <v>Шибер рец гаряч повітря Б КВ</v>
          </cell>
        </row>
        <row r="497">
          <cell r="B497" t="str">
            <v>7HNC21AA001YB02</v>
          </cell>
          <cell r="E497" t="str">
            <v>Шибер рец гаряч повітря Б КЗ</v>
          </cell>
        </row>
        <row r="498">
          <cell r="B498" t="str">
            <v>7HFB15AF001YB01</v>
          </cell>
          <cell r="E498" t="str">
            <v>ЖСВ М-11-5 КВ</v>
          </cell>
        </row>
        <row r="499">
          <cell r="B499" t="str">
            <v>7HFB16AF001YB01</v>
          </cell>
          <cell r="E499" t="str">
            <v>ЖСВ М-11-6 КВ</v>
          </cell>
        </row>
        <row r="500">
          <cell r="B500" t="str">
            <v>7HHG10AA001YB01</v>
          </cell>
          <cell r="E500" t="str">
            <v>РК газу КВ</v>
          </cell>
        </row>
        <row r="501">
          <cell r="B501" t="str">
            <v>7HHG10AA001YB02</v>
          </cell>
          <cell r="E501" t="str">
            <v>РК газу КЗ</v>
          </cell>
        </row>
        <row r="502">
          <cell r="B502" t="str">
            <v>7LAF11AA001YB01</v>
          </cell>
          <cell r="E502" t="str">
            <v>РК Т втор пари А КВ</v>
          </cell>
        </row>
        <row r="503">
          <cell r="B503" t="str">
            <v>7LAF11AA001YB02</v>
          </cell>
          <cell r="E503" t="str">
            <v>РК Т втор пари А КЗ</v>
          </cell>
        </row>
        <row r="504">
          <cell r="B504" t="str">
            <v>7LAF12AA001YB01</v>
          </cell>
          <cell r="E504" t="str">
            <v>РК Т втор пари Б КВ</v>
          </cell>
        </row>
        <row r="505">
          <cell r="B505" t="str">
            <v>7LAF12AA001YB02</v>
          </cell>
          <cell r="E505" t="str">
            <v>РК Т втор пари Б КЗ</v>
          </cell>
        </row>
        <row r="506">
          <cell r="B506" t="str">
            <v>7LCQ20AA001YB01</v>
          </cell>
          <cell r="E506" t="str">
            <v>РК рівня в розш прод КВ</v>
          </cell>
        </row>
        <row r="507">
          <cell r="B507" t="str">
            <v>7LCQ20AA001YB02</v>
          </cell>
          <cell r="E507" t="str">
            <v>РК рівня в розш прод КЗ</v>
          </cell>
        </row>
        <row r="508">
          <cell r="B508" t="str">
            <v>7LCQ10AA001YB01</v>
          </cell>
          <cell r="E508" t="str">
            <v>РК безп прод КВ</v>
          </cell>
        </row>
        <row r="509">
          <cell r="B509" t="str">
            <v>7LCQ10AA001YB02</v>
          </cell>
          <cell r="E509" t="str">
            <v>РК безп прод КЗ</v>
          </cell>
        </row>
        <row r="510">
          <cell r="B510" t="str">
            <v>7LAB11AA102XB06</v>
          </cell>
          <cell r="E510" t="str">
            <v>Лобова–А НЖ</v>
          </cell>
        </row>
        <row r="511">
          <cell r="B511" t="str">
            <v>7LAB11AA102XB10</v>
          </cell>
          <cell r="E511" t="str">
            <v>Лобова–А ШТ</v>
          </cell>
        </row>
        <row r="512">
          <cell r="B512" t="str">
            <v>7LAB11AA102XB51</v>
          </cell>
          <cell r="E512" t="str">
            <v>Лобова–А НВ</v>
          </cell>
        </row>
        <row r="513">
          <cell r="B513" t="str">
            <v>7LAB11AA102XB52</v>
          </cell>
          <cell r="E513" t="str">
            <v>Лобова–А НЗ</v>
          </cell>
        </row>
        <row r="514">
          <cell r="B514" t="str">
            <v>7LAB12AA102XB06</v>
          </cell>
          <cell r="E514" t="str">
            <v>Лобова–Б НЖ</v>
          </cell>
        </row>
        <row r="515">
          <cell r="B515" t="str">
            <v>7LAB12AA102XB10</v>
          </cell>
          <cell r="E515" t="str">
            <v>Лобова–Б ШТ</v>
          </cell>
        </row>
        <row r="516">
          <cell r="B516" t="str">
            <v>7LAB12AA102XB51</v>
          </cell>
          <cell r="E516" t="str">
            <v>Лобова–Б НВ</v>
          </cell>
        </row>
        <row r="517">
          <cell r="B517" t="str">
            <v>7LAB12AA102XB52</v>
          </cell>
          <cell r="E517" t="str">
            <v>Лобова–Б НЗ</v>
          </cell>
        </row>
        <row r="518">
          <cell r="B518" t="str">
            <v>7LAB20AA101XB06</v>
          </cell>
          <cell r="E518" t="str">
            <v>З-ка рецирк бараб - ВЕ НЖ</v>
          </cell>
        </row>
        <row r="519">
          <cell r="B519" t="str">
            <v>7LAB20AA101XB10</v>
          </cell>
          <cell r="E519" t="str">
            <v>З-ка рецирк бараб - ВЕ ШТ</v>
          </cell>
        </row>
        <row r="520">
          <cell r="B520" t="str">
            <v>7LAB20AA101XB51</v>
          </cell>
          <cell r="E520" t="str">
            <v>З-ка рецирк бараб - ВЕ НВ</v>
          </cell>
        </row>
        <row r="521">
          <cell r="B521" t="str">
            <v>7LAB20AA101XB52</v>
          </cell>
          <cell r="E521" t="str">
            <v>З-ка рецирк бараб - ВЕ НЗ</v>
          </cell>
        </row>
        <row r="522">
          <cell r="B522" t="str">
            <v>7LAE13AA001XB06</v>
          </cell>
          <cell r="E522" t="str">
            <v>РК Т гостр пари 2А НЖ</v>
          </cell>
        </row>
        <row r="523">
          <cell r="B523" t="str">
            <v>7LAE13AA001XB51</v>
          </cell>
          <cell r="E523" t="str">
            <v>РК Т гостр пари 2А НВ</v>
          </cell>
        </row>
        <row r="524">
          <cell r="B524" t="str">
            <v>7LAE13AA001XB52</v>
          </cell>
          <cell r="E524" t="str">
            <v>РК Т гостр пари 2А НЗ</v>
          </cell>
        </row>
        <row r="525">
          <cell r="B525" t="str">
            <v>7LAE14AA001XB06</v>
          </cell>
          <cell r="E525" t="str">
            <v>РК Т гостр пари 2Б НЖ</v>
          </cell>
        </row>
        <row r="526">
          <cell r="B526" t="str">
            <v>7LAE14AA001XB51</v>
          </cell>
          <cell r="E526" t="str">
            <v>РК Т гостр пари 2Б НВ</v>
          </cell>
        </row>
        <row r="527">
          <cell r="B527" t="str">
            <v>7LAE14AA001XB52</v>
          </cell>
          <cell r="E527" t="str">
            <v>РК Т гостр пари 2Б НЗ</v>
          </cell>
        </row>
        <row r="528">
          <cell r="B528" t="str">
            <v>7HNC21AA001XB06</v>
          </cell>
          <cell r="E528" t="str">
            <v>Шибер рец гаряч повітря Б НЖ</v>
          </cell>
        </row>
        <row r="529">
          <cell r="B529" t="str">
            <v>7HNC21AA001XB07</v>
          </cell>
          <cell r="E529" t="str">
            <v>Шибер рец гаряч повітря Б ТП</v>
          </cell>
        </row>
        <row r="530">
          <cell r="B530" t="str">
            <v>7HNC21AA001XB51</v>
          </cell>
          <cell r="E530" t="str">
            <v>Шибер рец гаряч повітря Б НВ</v>
          </cell>
        </row>
        <row r="531">
          <cell r="B531" t="str">
            <v>7HNC21AA001XB52</v>
          </cell>
          <cell r="E531" t="str">
            <v>Шибер рец гаряч повітря Б НЗ</v>
          </cell>
        </row>
        <row r="532">
          <cell r="B532" t="str">
            <v>7HNC21AA001XB53</v>
          </cell>
          <cell r="E532" t="str">
            <v>Шибер рец гаряч повітря Б РММ</v>
          </cell>
        </row>
        <row r="533">
          <cell r="B533" t="str">
            <v>7HLB20AA001XB06</v>
          </cell>
          <cell r="E533" t="str">
            <v>НА ДВ-Б НЖ</v>
          </cell>
        </row>
        <row r="534">
          <cell r="B534" t="str">
            <v>7HLB20AA001XB07</v>
          </cell>
          <cell r="E534" t="str">
            <v>НА ДВ-Б ТП</v>
          </cell>
        </row>
        <row r="535">
          <cell r="B535" t="str">
            <v>7HLB20AA001XB51</v>
          </cell>
          <cell r="E535" t="str">
            <v>НА ДВ-Б НВ</v>
          </cell>
        </row>
        <row r="536">
          <cell r="B536" t="str">
            <v>7HLB20AA001XB52</v>
          </cell>
          <cell r="E536" t="str">
            <v>НА ДВ-Б НЗ</v>
          </cell>
        </row>
        <row r="537">
          <cell r="B537" t="str">
            <v>7HLB20AA001XB53</v>
          </cell>
          <cell r="E537" t="str">
            <v>НА ДВ-Б РММ</v>
          </cell>
        </row>
        <row r="538">
          <cell r="B538" t="str">
            <v>7HNC20AA001XB06</v>
          </cell>
          <cell r="E538" t="str">
            <v>НА Д-Б НЖ</v>
          </cell>
        </row>
        <row r="539">
          <cell r="B539" t="str">
            <v>7HNC20AA001XB07</v>
          </cell>
          <cell r="E539" t="str">
            <v>НА Д-Б ТП</v>
          </cell>
        </row>
        <row r="540">
          <cell r="B540" t="str">
            <v>7HNC20AA001XB51</v>
          </cell>
          <cell r="E540" t="str">
            <v>НА Д-Б НВ</v>
          </cell>
        </row>
        <row r="541">
          <cell r="B541" t="str">
            <v>7HNC20AA001XB52</v>
          </cell>
          <cell r="E541" t="str">
            <v>НА Д-Б НЗ</v>
          </cell>
        </row>
        <row r="542">
          <cell r="B542" t="str">
            <v>7HNC20AA001XB53</v>
          </cell>
          <cell r="E542" t="str">
            <v>НА Д-Б РММ</v>
          </cell>
        </row>
        <row r="543">
          <cell r="B543" t="str">
            <v>7LCQ10AA001XB06</v>
          </cell>
          <cell r="E543" t="str">
            <v>РК безп прод НЖ</v>
          </cell>
        </row>
        <row r="544">
          <cell r="B544" t="str">
            <v>7LCQ10AA001XB07</v>
          </cell>
          <cell r="E544" t="str">
            <v>РК безп прод ТП</v>
          </cell>
        </row>
        <row r="545">
          <cell r="B545" t="str">
            <v>7LCQ10AA001XB51</v>
          </cell>
          <cell r="E545" t="str">
            <v>РК безп прод НВ</v>
          </cell>
        </row>
        <row r="546">
          <cell r="B546" t="str">
            <v>7LCQ10AA001XB52</v>
          </cell>
          <cell r="E546" t="str">
            <v>РК безп прод НЗ</v>
          </cell>
        </row>
        <row r="547">
          <cell r="B547" t="str">
            <v>7LCQ10AA001XB53</v>
          </cell>
          <cell r="E547" t="str">
            <v>РК безп прод РММ</v>
          </cell>
        </row>
        <row r="548">
          <cell r="B548" t="str">
            <v>7HHG10AA001XB06</v>
          </cell>
          <cell r="E548" t="str">
            <v>РК газу НЖ</v>
          </cell>
        </row>
        <row r="549">
          <cell r="B549" t="str">
            <v>7HHG10AA001XB07</v>
          </cell>
          <cell r="E549" t="str">
            <v>РК газу ТП</v>
          </cell>
        </row>
        <row r="550">
          <cell r="B550" t="str">
            <v>7HHG10AA001XB51</v>
          </cell>
          <cell r="E550" t="str">
            <v>РК газу НВ</v>
          </cell>
        </row>
        <row r="551">
          <cell r="B551" t="str">
            <v>7HHG10AA001XB52</v>
          </cell>
          <cell r="E551" t="str">
            <v>РК газу НЗ</v>
          </cell>
        </row>
        <row r="552">
          <cell r="B552" t="str">
            <v>7HHG10AA001XB53</v>
          </cell>
          <cell r="E552" t="str">
            <v>РК газу РММ</v>
          </cell>
        </row>
        <row r="553">
          <cell r="B553" t="str">
            <v>7LAF11AA001XB06</v>
          </cell>
          <cell r="E553" t="str">
            <v>РК Т втор пари А НЖ</v>
          </cell>
        </row>
        <row r="554">
          <cell r="B554" t="str">
            <v>7LAF11AA001XB51</v>
          </cell>
          <cell r="E554" t="str">
            <v>РК Т втор пари А НВ</v>
          </cell>
        </row>
        <row r="555">
          <cell r="B555" t="str">
            <v>7LAF11AA001XB52</v>
          </cell>
          <cell r="E555" t="str">
            <v>РК Т втор пари А НЗ</v>
          </cell>
        </row>
        <row r="556">
          <cell r="B556" t="str">
            <v>7LAF12AA001XB06</v>
          </cell>
          <cell r="E556" t="str">
            <v>РК Т втор пари Б НЖ</v>
          </cell>
        </row>
        <row r="557">
          <cell r="B557" t="str">
            <v>7LAF12AA001XB51</v>
          </cell>
          <cell r="E557" t="str">
            <v>РК Т втор пари Б НВ</v>
          </cell>
        </row>
        <row r="558">
          <cell r="B558" t="str">
            <v>7LAF12AA001XB52</v>
          </cell>
          <cell r="E558" t="str">
            <v>РК Т втор пари Б НЗ</v>
          </cell>
        </row>
        <row r="559">
          <cell r="B559" t="str">
            <v>7LCQ20AA001XB06</v>
          </cell>
          <cell r="E559" t="str">
            <v>РК рівня в розш прод НЖ</v>
          </cell>
        </row>
        <row r="560">
          <cell r="B560" t="str">
            <v>7LCQ20AA001XB07</v>
          </cell>
          <cell r="E560" t="str">
            <v>РК рівня в розш прод ТП</v>
          </cell>
        </row>
        <row r="561">
          <cell r="B561" t="str">
            <v>7LCQ20AA001XB51</v>
          </cell>
          <cell r="E561" t="str">
            <v>РК рівня в розш прод НВ</v>
          </cell>
        </row>
        <row r="562">
          <cell r="B562" t="str">
            <v>7LCQ20AA001XB52</v>
          </cell>
          <cell r="E562" t="str">
            <v>РК рівня в розш прод НЗ</v>
          </cell>
        </row>
        <row r="563">
          <cell r="B563" t="str">
            <v>7LCQ20AA001XB53</v>
          </cell>
          <cell r="E563" t="str">
            <v>РК рівня в розш прод РММ</v>
          </cell>
        </row>
        <row r="564">
          <cell r="B564" t="str">
            <v>7HFB15AF001XB46</v>
          </cell>
          <cell r="E564" t="str">
            <v>ЖСВ М-11-5 АВАР ВІДКЛ</v>
          </cell>
        </row>
        <row r="565">
          <cell r="B565" t="str">
            <v>7HFB16AF001XB46</v>
          </cell>
          <cell r="E565" t="str">
            <v>ЖСВ М-11-6 АВАР ВІДКЛ</v>
          </cell>
        </row>
        <row r="566">
          <cell r="B566" t="str">
            <v>7LAB12AA001XB06</v>
          </cell>
          <cell r="E566" t="str">
            <v>РК живл кот 2 ду 250 НЖ</v>
          </cell>
        </row>
        <row r="567">
          <cell r="B567" t="str">
            <v>7LAB12AA001XB51</v>
          </cell>
          <cell r="E567" t="str">
            <v>РК живл кот 2 ду 250 НВ</v>
          </cell>
        </row>
        <row r="568">
          <cell r="B568" t="str">
            <v>7LAB12AA001XB52</v>
          </cell>
          <cell r="E568" t="str">
            <v>РК живл кот 2 ду 250 НЗ</v>
          </cell>
        </row>
        <row r="569">
          <cell r="B569" t="str">
            <v>7LAB14AA001XB06</v>
          </cell>
          <cell r="E569" t="str">
            <v>РК живл котла ду 50 НЖ</v>
          </cell>
        </row>
        <row r="570">
          <cell r="B570" t="str">
            <v>7LAB14AA001XB51</v>
          </cell>
          <cell r="E570" t="str">
            <v>РК живл котла ду 50 НВ</v>
          </cell>
        </row>
        <row r="571">
          <cell r="B571" t="str">
            <v>7LAB14AA001XB52</v>
          </cell>
          <cell r="E571" t="str">
            <v>РК живл котла ду 50 НЗ</v>
          </cell>
        </row>
        <row r="572">
          <cell r="B572" t="str">
            <v>7HFE11AA001XB06</v>
          </cell>
          <cell r="E572" t="str">
            <v>Шибер заг пов М-11-1 НЖ</v>
          </cell>
        </row>
        <row r="573">
          <cell r="B573" t="str">
            <v>7HFE11AA001XB51</v>
          </cell>
          <cell r="E573" t="str">
            <v>Шибер заг пов М-11-1 НВ</v>
          </cell>
        </row>
        <row r="574">
          <cell r="B574" t="str">
            <v>7HFE11AA001XB52</v>
          </cell>
          <cell r="E574" t="str">
            <v>Шибер заг пов М-11-1 НЗ</v>
          </cell>
        </row>
        <row r="575">
          <cell r="B575" t="str">
            <v>7HFE12AA001XB06</v>
          </cell>
          <cell r="E575" t="str">
            <v>Шибер заг пов М-11-2 НЖ</v>
          </cell>
        </row>
        <row r="576">
          <cell r="B576" t="str">
            <v>7HFE12AA001XB51</v>
          </cell>
          <cell r="E576" t="str">
            <v>Шибер заг пов М-11-2 НВ</v>
          </cell>
        </row>
        <row r="577">
          <cell r="B577" t="str">
            <v>7HFE12AA001XB52</v>
          </cell>
          <cell r="E577" t="str">
            <v>Шибер заг пов М-11-2 НЗ</v>
          </cell>
        </row>
        <row r="578">
          <cell r="B578" t="str">
            <v>7HFE11AA002XB06</v>
          </cell>
          <cell r="E578" t="str">
            <v>Шибер гар пов М-11-1 НЖ</v>
          </cell>
        </row>
        <row r="579">
          <cell r="B579" t="str">
            <v>7HFE11AA002XB07</v>
          </cell>
          <cell r="E579" t="str">
            <v>Шибер гар пов М-11-1 ТП</v>
          </cell>
        </row>
        <row r="580">
          <cell r="B580" t="str">
            <v>7HFE11AA002XB51</v>
          </cell>
          <cell r="E580" t="str">
            <v>Шибер гар пов М-11-1  НВ</v>
          </cell>
        </row>
        <row r="581">
          <cell r="B581" t="str">
            <v>7HFE11AA002XB52</v>
          </cell>
          <cell r="E581" t="str">
            <v>Шибер гар пов М-11-1  НЗ</v>
          </cell>
        </row>
        <row r="582">
          <cell r="B582" t="str">
            <v>7HFE11AA002XB53</v>
          </cell>
          <cell r="E582" t="str">
            <v>Шибер гар пов М-11-1  РММ</v>
          </cell>
        </row>
        <row r="583">
          <cell r="B583" t="str">
            <v>7HFE12AA002XB06</v>
          </cell>
          <cell r="E583" t="str">
            <v>Шибер гар пов М-11-2 НЖ</v>
          </cell>
        </row>
        <row r="584">
          <cell r="B584" t="str">
            <v>7HFE12AA002XB07</v>
          </cell>
          <cell r="E584" t="str">
            <v>Шибер гар пов М-11-2 ТП</v>
          </cell>
        </row>
        <row r="585">
          <cell r="B585" t="str">
            <v>7HFE12AA002XB51</v>
          </cell>
          <cell r="E585" t="str">
            <v>Шибер гар пов М-11-2  НВ</v>
          </cell>
        </row>
        <row r="586">
          <cell r="B586" t="str">
            <v>7HFE12AA002XB52</v>
          </cell>
          <cell r="E586" t="str">
            <v>Шибер гар пов М-11-2  НЗ</v>
          </cell>
        </row>
        <row r="587">
          <cell r="B587" t="str">
            <v>7HFE12AA002XB53</v>
          </cell>
          <cell r="E587" t="str">
            <v>Шибер гар пов М-11-2  РММ</v>
          </cell>
        </row>
        <row r="588">
          <cell r="B588" t="str">
            <v>7HFE13AA001XB06</v>
          </cell>
          <cell r="E588" t="str">
            <v>Шибер заг пов М-11-3 НЖ</v>
          </cell>
        </row>
        <row r="589">
          <cell r="B589" t="str">
            <v>7HFE13AA001XB51</v>
          </cell>
          <cell r="E589" t="str">
            <v>Шибер заг пов М-11-3 НВ</v>
          </cell>
        </row>
        <row r="590">
          <cell r="B590" t="str">
            <v>7HFE13AA001XB52</v>
          </cell>
          <cell r="E590" t="str">
            <v>Шибер заг пов М-11-3 НЗ</v>
          </cell>
        </row>
        <row r="591">
          <cell r="B591" t="str">
            <v>7HFE14AA001XB06</v>
          </cell>
          <cell r="E591" t="str">
            <v>Шибер заг пов М-11-4 НЖ</v>
          </cell>
        </row>
        <row r="592">
          <cell r="B592" t="str">
            <v>7HFE14AA001XB51</v>
          </cell>
          <cell r="E592" t="str">
            <v>Шибер заг пов М-11-4 НВ</v>
          </cell>
        </row>
        <row r="593">
          <cell r="B593" t="str">
            <v>7HFE14AA001XB52</v>
          </cell>
          <cell r="E593" t="str">
            <v>Шибер заг пов М-11-4 НЗ</v>
          </cell>
        </row>
        <row r="594">
          <cell r="B594" t="str">
            <v>7HFE13AA002XB06</v>
          </cell>
          <cell r="E594" t="str">
            <v>Шибер гар пов М-11-3 НЖ</v>
          </cell>
        </row>
        <row r="595">
          <cell r="B595" t="str">
            <v>7HFE13AA002XB07</v>
          </cell>
          <cell r="E595" t="str">
            <v>Шибер гар пов М-11-3 ТП</v>
          </cell>
        </row>
        <row r="596">
          <cell r="B596" t="str">
            <v>7HFE13AA002XB51</v>
          </cell>
          <cell r="E596" t="str">
            <v>Шибер гар пов М-11-3 НВ</v>
          </cell>
        </row>
        <row r="597">
          <cell r="B597" t="str">
            <v>7HFE13AA002XB52</v>
          </cell>
          <cell r="E597" t="str">
            <v>Шибер гар пов М-11-3 НЗ</v>
          </cell>
        </row>
        <row r="598">
          <cell r="B598" t="str">
            <v>7HFE13AA002XB53</v>
          </cell>
          <cell r="E598" t="str">
            <v>Шибер гар пов М-11-3 РММ</v>
          </cell>
        </row>
        <row r="599">
          <cell r="B599" t="str">
            <v>7HFE14AA002XB06</v>
          </cell>
          <cell r="E599" t="str">
            <v>Шибер гар пов М-11-4 НЖ</v>
          </cell>
        </row>
        <row r="600">
          <cell r="B600" t="str">
            <v>7HFE14AA002XB07</v>
          </cell>
          <cell r="E600" t="str">
            <v>Шибер гар пов М-11-4 ТП</v>
          </cell>
        </row>
        <row r="601">
          <cell r="B601" t="str">
            <v>7HFE14AA002XB51</v>
          </cell>
          <cell r="E601" t="str">
            <v>Шибер гар пов М-11-4 НВ</v>
          </cell>
        </row>
        <row r="602">
          <cell r="B602" t="str">
            <v>7HFE14AA002XB52</v>
          </cell>
          <cell r="E602" t="str">
            <v>Шибер гар пов М-11-4 НЗ</v>
          </cell>
        </row>
        <row r="603">
          <cell r="B603" t="str">
            <v>7HFE14AA002XB53</v>
          </cell>
          <cell r="E603" t="str">
            <v>Шибер гар пов М-11-4 РММ</v>
          </cell>
        </row>
        <row r="604">
          <cell r="B604" t="str">
            <v>7HFE11AA003XB06</v>
          </cell>
          <cell r="E604" t="str">
            <v>Шибер витр пов М-11-1 НЖ</v>
          </cell>
        </row>
        <row r="605">
          <cell r="B605" t="str">
            <v>7HFE11AA003XB51</v>
          </cell>
          <cell r="E605" t="str">
            <v>Шибер витр пов М-11-1 НВ</v>
          </cell>
        </row>
        <row r="606">
          <cell r="B606" t="str">
            <v>7HFE11AA003XB52</v>
          </cell>
          <cell r="E606" t="str">
            <v>Шибер витр пов М-11-1 НЗ</v>
          </cell>
        </row>
        <row r="607">
          <cell r="B607" t="str">
            <v>7HFE12AA003XB06</v>
          </cell>
          <cell r="E607" t="str">
            <v>Шибер витр пов М-11-2 НЖ</v>
          </cell>
        </row>
        <row r="608">
          <cell r="B608" t="str">
            <v>7HFE12AA003XB51</v>
          </cell>
          <cell r="E608" t="str">
            <v>Шибер витр пов М-11-2 НВ</v>
          </cell>
        </row>
        <row r="609">
          <cell r="B609" t="str">
            <v>7HFE12AA003XB52</v>
          </cell>
          <cell r="E609" t="str">
            <v>Шибер витр пов М-11-2 НЗ</v>
          </cell>
        </row>
        <row r="610">
          <cell r="B610" t="str">
            <v>7HFE21AA001XB06</v>
          </cell>
          <cell r="E610" t="str">
            <v>Шибер Т пилепов сум М-11-1 НЖ</v>
          </cell>
        </row>
        <row r="611">
          <cell r="B611" t="str">
            <v>7HFE21AA001XB51</v>
          </cell>
          <cell r="E611" t="str">
            <v>Шибер Т пилепов сум М-11-1 НВ</v>
          </cell>
        </row>
        <row r="612">
          <cell r="B612" t="str">
            <v>7HFE21AA001XB52</v>
          </cell>
          <cell r="E612" t="str">
            <v>Шибер Т пилепов сум М-11-1 НЗ</v>
          </cell>
        </row>
        <row r="613">
          <cell r="B613" t="str">
            <v>7HFE22AA001XB06</v>
          </cell>
          <cell r="E613" t="str">
            <v>Шибер Т пилепов сум М-11-2 НЖ</v>
          </cell>
        </row>
        <row r="614">
          <cell r="B614" t="str">
            <v>7HFE22AA001XB51</v>
          </cell>
          <cell r="E614" t="str">
            <v>Шибер Т пилепов сум М-11-2 НВ</v>
          </cell>
        </row>
        <row r="615">
          <cell r="B615" t="str">
            <v>7HFE22AA001XB52</v>
          </cell>
          <cell r="E615" t="str">
            <v>Шибер Т пилепов сум М-11-2 НЗ</v>
          </cell>
        </row>
        <row r="616">
          <cell r="B616" t="str">
            <v>7HFE13AA003XB06</v>
          </cell>
          <cell r="E616" t="str">
            <v>Шибер витр пов М-11-3 НЖ</v>
          </cell>
        </row>
        <row r="617">
          <cell r="B617" t="str">
            <v>7HFE13AA003XB51</v>
          </cell>
          <cell r="E617" t="str">
            <v>Шибер витр пов М-11-3 НВ</v>
          </cell>
        </row>
        <row r="618">
          <cell r="B618" t="str">
            <v>7HFE13AA003XB52</v>
          </cell>
          <cell r="E618" t="str">
            <v>Шибер витр пов М-11-3 НЗ</v>
          </cell>
        </row>
        <row r="619">
          <cell r="B619" t="str">
            <v>7HFE14AA003XB06</v>
          </cell>
          <cell r="E619" t="str">
            <v>Шибер витр пов М-11-4 НЖ</v>
          </cell>
        </row>
        <row r="620">
          <cell r="B620" t="str">
            <v>7HFE14AA003XB51</v>
          </cell>
          <cell r="E620" t="str">
            <v>Шибер витр пов М-11-4 НВ</v>
          </cell>
        </row>
        <row r="621">
          <cell r="B621" t="str">
            <v>7HFE14AA003XB52</v>
          </cell>
          <cell r="E621" t="str">
            <v>Шибер витр пов М-11-4 НЗ</v>
          </cell>
        </row>
        <row r="622">
          <cell r="B622" t="str">
            <v>7HFE23AA001XB06</v>
          </cell>
          <cell r="E622" t="str">
            <v>Шибер Т пилепов сум М-11-3 НЖ</v>
          </cell>
        </row>
        <row r="623">
          <cell r="B623" t="str">
            <v>7HFE23AA001XB51</v>
          </cell>
          <cell r="E623" t="str">
            <v>Шибер Т пилепов сум М-11-3 НВ</v>
          </cell>
        </row>
        <row r="624">
          <cell r="B624" t="str">
            <v>7HFE23AA001XB52</v>
          </cell>
          <cell r="E624" t="str">
            <v>Шибер Т пилепов сум М-11-3 НЗ</v>
          </cell>
        </row>
        <row r="625">
          <cell r="B625" t="str">
            <v>7HFE24AA001XB06</v>
          </cell>
          <cell r="E625" t="str">
            <v>Шибер Т пилепов сум М-11-4 НЖ</v>
          </cell>
        </row>
        <row r="626">
          <cell r="B626" t="str">
            <v>7HFE24AA001XB51</v>
          </cell>
          <cell r="E626" t="str">
            <v>Шибер Т пилепов сум М-11-4 НВ</v>
          </cell>
        </row>
        <row r="627">
          <cell r="B627" t="str">
            <v>7HFE24AA001XB52</v>
          </cell>
          <cell r="E627" t="str">
            <v>Шибер Т пилепов сум М-11-4 НЗ</v>
          </cell>
        </row>
        <row r="628">
          <cell r="B628" t="str">
            <v>7HFE21AA002XB06</v>
          </cell>
          <cell r="E628" t="str">
            <v>Кл атм пов М-11-1 НЖ</v>
          </cell>
        </row>
        <row r="629">
          <cell r="B629" t="str">
            <v>7HFE21AA002XB51</v>
          </cell>
          <cell r="E629" t="str">
            <v>Кл атм пов М-11-1 НВ</v>
          </cell>
        </row>
        <row r="630">
          <cell r="B630" t="str">
            <v>7HFE21AA002XB52</v>
          </cell>
          <cell r="E630" t="str">
            <v>Кл атм пов М-11-1 НЗ</v>
          </cell>
        </row>
        <row r="631">
          <cell r="B631" t="str">
            <v>7HFE22AA002XB06</v>
          </cell>
          <cell r="E631" t="str">
            <v>Кл атм пов М-11-2 НЖ</v>
          </cell>
        </row>
        <row r="632">
          <cell r="B632" t="str">
            <v>7HFE22AA002XB51</v>
          </cell>
          <cell r="E632" t="str">
            <v>Кл атм пов М-11-2 НВ</v>
          </cell>
        </row>
        <row r="633">
          <cell r="B633" t="str">
            <v>7HFE22AA002XB52</v>
          </cell>
          <cell r="E633" t="str">
            <v>Кл атм пов М-11-2 НЗ</v>
          </cell>
        </row>
        <row r="634">
          <cell r="B634" t="str">
            <v>7HFE11AA001YB01</v>
          </cell>
          <cell r="E634" t="str">
            <v>Шибер заг пов М-11-1 КВ</v>
          </cell>
        </row>
        <row r="635">
          <cell r="B635" t="str">
            <v>7HFE11AA001YB02</v>
          </cell>
          <cell r="E635" t="str">
            <v>Шибер заг пов М-11-1 КЗ</v>
          </cell>
        </row>
        <row r="636">
          <cell r="B636" t="str">
            <v>7HFE12AA001YB01</v>
          </cell>
          <cell r="E636" t="str">
            <v>Шибер заг пов М-11-2 КВ</v>
          </cell>
        </row>
        <row r="637">
          <cell r="B637" t="str">
            <v>7HFE12AA001YB02</v>
          </cell>
          <cell r="E637" t="str">
            <v>Шибер заг пов М-11-2 КЗ</v>
          </cell>
        </row>
        <row r="638">
          <cell r="B638" t="str">
            <v>7HFE11AA002YB01</v>
          </cell>
          <cell r="E638" t="str">
            <v>Шибер гар пов М-11-1 КВ</v>
          </cell>
        </row>
        <row r="639">
          <cell r="B639" t="str">
            <v>7HFE11AA002YB02</v>
          </cell>
          <cell r="E639" t="str">
            <v>Шибер гар пов М-11-1 КЗ</v>
          </cell>
        </row>
        <row r="640">
          <cell r="B640" t="str">
            <v>7HFE12AA002YB01</v>
          </cell>
          <cell r="E640" t="str">
            <v>Шибер гар пов М-11-2 КВ</v>
          </cell>
        </row>
        <row r="641">
          <cell r="B641" t="str">
            <v>7HFE12AA002YB02</v>
          </cell>
          <cell r="E641" t="str">
            <v>Шибер гар пов М-11-2 КЗ</v>
          </cell>
        </row>
        <row r="642">
          <cell r="B642" t="str">
            <v>7HFE11AA003YB01</v>
          </cell>
          <cell r="E642" t="str">
            <v>Шибер витр пов М-11-1 КВ</v>
          </cell>
        </row>
        <row r="643">
          <cell r="B643" t="str">
            <v>7HFE11AA003YB02</v>
          </cell>
          <cell r="E643" t="str">
            <v>Шибер витр пов М-11-1 КЗ</v>
          </cell>
        </row>
        <row r="644">
          <cell r="B644" t="str">
            <v>7HFE12AA003YB01</v>
          </cell>
          <cell r="E644" t="str">
            <v>Шибер витр пов М-11-2 КВ</v>
          </cell>
        </row>
        <row r="645">
          <cell r="B645" t="str">
            <v>7HFE12AA003YB02</v>
          </cell>
          <cell r="E645" t="str">
            <v>Шибер витр пов М-11-2 КЗ</v>
          </cell>
        </row>
        <row r="646">
          <cell r="B646" t="str">
            <v>7HFE21AA001YB01</v>
          </cell>
          <cell r="E646" t="str">
            <v>Шибер Т пилепов сум М-11-1 КВ</v>
          </cell>
        </row>
        <row r="647">
          <cell r="B647" t="str">
            <v>7HFE21AA001YB02</v>
          </cell>
          <cell r="E647" t="str">
            <v>Шибер Т пилепов сум М-11-1 КЗ</v>
          </cell>
        </row>
        <row r="648">
          <cell r="B648" t="str">
            <v>7HFE22AA001YB01</v>
          </cell>
          <cell r="E648" t="str">
            <v>Шибер Т пилепов сум М-11-2 КВ</v>
          </cell>
        </row>
        <row r="649">
          <cell r="B649" t="str">
            <v>7HFE22AA001YB02</v>
          </cell>
          <cell r="E649" t="str">
            <v>Шибер Т пилепов сум М-11-2 КЗ</v>
          </cell>
        </row>
        <row r="650">
          <cell r="B650" t="str">
            <v>7HFE13AA001YB01</v>
          </cell>
          <cell r="E650" t="str">
            <v>Шибер заг пов М-11-3 КВ</v>
          </cell>
        </row>
        <row r="651">
          <cell r="B651" t="str">
            <v>7HFE13AA001YB02</v>
          </cell>
          <cell r="E651" t="str">
            <v>Шибер заг пов М-11-3 КЗ</v>
          </cell>
        </row>
        <row r="652">
          <cell r="B652" t="str">
            <v>7HFE14AA001YB01</v>
          </cell>
          <cell r="E652" t="str">
            <v>Шибер заг пов М-11-4 КВ</v>
          </cell>
        </row>
        <row r="653">
          <cell r="B653" t="str">
            <v>7HFE14AA001YB02</v>
          </cell>
          <cell r="E653" t="str">
            <v>Шибер заг пов М-11-4 КЗ</v>
          </cell>
        </row>
        <row r="654">
          <cell r="B654" t="str">
            <v>7HFE13AA002YB01</v>
          </cell>
          <cell r="E654" t="str">
            <v>Шибер гар пов М-11-3 КВ</v>
          </cell>
        </row>
        <row r="655">
          <cell r="B655" t="str">
            <v>7HFE13AA002YB02</v>
          </cell>
          <cell r="E655" t="str">
            <v>Шибер гар пов М-11-3 КЗ</v>
          </cell>
        </row>
        <row r="656">
          <cell r="B656" t="str">
            <v>7HFE14AA002YB01</v>
          </cell>
          <cell r="E656" t="str">
            <v>Шибер гар пов М-11-4 КВ</v>
          </cell>
        </row>
        <row r="657">
          <cell r="B657" t="str">
            <v>7HFE14AA002YB02</v>
          </cell>
          <cell r="E657" t="str">
            <v>Шибер гар пов М-11-4 КЗ</v>
          </cell>
        </row>
        <row r="658">
          <cell r="B658" t="str">
            <v>7HFE13AA003YB01</v>
          </cell>
          <cell r="E658" t="str">
            <v>Шибер витр пов М-11-3 КВ</v>
          </cell>
        </row>
        <row r="659">
          <cell r="B659" t="str">
            <v>7HFE13AA003YB02</v>
          </cell>
          <cell r="E659" t="str">
            <v>Шибер витр пов М-11-3 КЗ</v>
          </cell>
        </row>
        <row r="660">
          <cell r="B660" t="str">
            <v>7HFE14AA003YB01</v>
          </cell>
          <cell r="E660" t="str">
            <v>Шибер витр пов М-11-4 КВ</v>
          </cell>
        </row>
        <row r="661">
          <cell r="B661" t="str">
            <v>7HFE14AA003YB02</v>
          </cell>
          <cell r="E661" t="str">
            <v>Шибер витр пов М-11-4 КЗ</v>
          </cell>
        </row>
        <row r="662">
          <cell r="B662" t="str">
            <v>7HFE23AA001YB01</v>
          </cell>
          <cell r="E662" t="str">
            <v>Шибер Т пилепов сум М-11-3 КВ</v>
          </cell>
        </row>
        <row r="663">
          <cell r="B663" t="str">
            <v>7HFE23AA001YB02</v>
          </cell>
          <cell r="E663" t="str">
            <v>Шибер Т пилепов сум М-11-3 КЗ</v>
          </cell>
        </row>
        <row r="664">
          <cell r="B664" t="str">
            <v>7HFE24AA001YB01</v>
          </cell>
          <cell r="E664" t="str">
            <v>Шибер Т пилепов сум М-11-4 КВ</v>
          </cell>
        </row>
        <row r="665">
          <cell r="B665" t="str">
            <v>7HFE24AA001YB02</v>
          </cell>
          <cell r="E665" t="str">
            <v>Шибер Т пилепов сум М-11-4 КЗ</v>
          </cell>
        </row>
        <row r="666">
          <cell r="B666" t="str">
            <v>7HFE21AA002YB01</v>
          </cell>
          <cell r="E666" t="str">
            <v>Кл атм пов М-11-1 КВ</v>
          </cell>
        </row>
        <row r="667">
          <cell r="B667" t="str">
            <v>7HFE21AA002YB02</v>
          </cell>
          <cell r="E667" t="str">
            <v>Кл атм пов М-11-1 КЗ</v>
          </cell>
        </row>
        <row r="668">
          <cell r="B668" t="str">
            <v>7HFE22AA002YB01</v>
          </cell>
          <cell r="E668" t="str">
            <v>Кл атм пов М-11-2 КВ</v>
          </cell>
        </row>
        <row r="669">
          <cell r="B669" t="str">
            <v>7HFE22AA002YB02</v>
          </cell>
          <cell r="E669" t="str">
            <v>Кл атм пов М-11-2 КЗ</v>
          </cell>
        </row>
        <row r="670">
          <cell r="B670" t="str">
            <v>7HFA11AA101YB01</v>
          </cell>
          <cell r="E670" t="str">
            <v>Вібратор В1 КВ</v>
          </cell>
        </row>
        <row r="671">
          <cell r="B671" t="str">
            <v>7HFA12AA101YB01</v>
          </cell>
          <cell r="E671" t="str">
            <v>Вібратор В2 КВ</v>
          </cell>
        </row>
        <row r="672">
          <cell r="B672" t="str">
            <v>7HFA13AA101YB01</v>
          </cell>
          <cell r="E672" t="str">
            <v>Вібратор В3 КВ</v>
          </cell>
        </row>
        <row r="673">
          <cell r="B673" t="str">
            <v>7HFA14AA101YB01</v>
          </cell>
          <cell r="E673" t="str">
            <v>Вібратор В4 КВ</v>
          </cell>
        </row>
        <row r="674">
          <cell r="B674" t="str">
            <v>7HFA15AA101YB01</v>
          </cell>
          <cell r="E674" t="str">
            <v>Вібратор В5 КВ</v>
          </cell>
        </row>
        <row r="675">
          <cell r="B675" t="str">
            <v>7HFA16AA101YB01</v>
          </cell>
          <cell r="E675" t="str">
            <v>Вібратор В6 КВ</v>
          </cell>
        </row>
        <row r="676">
          <cell r="B676" t="str">
            <v>7HFE23AA002YB01</v>
          </cell>
          <cell r="E676" t="str">
            <v>Кл атм пов М-11-3 КВ</v>
          </cell>
        </row>
        <row r="677">
          <cell r="B677" t="str">
            <v>7HFE23AA002YB02</v>
          </cell>
          <cell r="E677" t="str">
            <v>Кл атм пов М-11-3 КЗ</v>
          </cell>
        </row>
        <row r="678">
          <cell r="B678" t="str">
            <v>7HFE24AA002YB01</v>
          </cell>
          <cell r="E678" t="str">
            <v>Кл атм пов М-11-4 КВ</v>
          </cell>
        </row>
        <row r="679">
          <cell r="B679" t="str">
            <v>7HFE24AA002YB02</v>
          </cell>
          <cell r="E679" t="str">
            <v>Кл атм пов М-11-4 КЗ</v>
          </cell>
        </row>
        <row r="680">
          <cell r="B680" t="str">
            <v>7HFE25AA002YB01</v>
          </cell>
          <cell r="E680" t="str">
            <v>Кл атм пов М-11-5 КВ</v>
          </cell>
        </row>
        <row r="681">
          <cell r="B681" t="str">
            <v>7HFE25AA002YB02</v>
          </cell>
          <cell r="E681" t="str">
            <v>Кл атм пов М-11-5 КЗ</v>
          </cell>
        </row>
        <row r="682">
          <cell r="B682" t="str">
            <v>7HFE26AA002YB01</v>
          </cell>
          <cell r="E682" t="str">
            <v>Кл атм пов М-11-6 КВ</v>
          </cell>
        </row>
        <row r="683">
          <cell r="B683" t="str">
            <v>7HFE26AA002YB02</v>
          </cell>
          <cell r="E683" t="str">
            <v>Кл атм пов М-11-6 КЗ</v>
          </cell>
        </row>
        <row r="684">
          <cell r="B684" t="str">
            <v>7HFE15AA001YB01</v>
          </cell>
          <cell r="E684" t="str">
            <v>Шибер заг пов М-11-5 КВ</v>
          </cell>
        </row>
        <row r="685">
          <cell r="B685" t="str">
            <v>7HFE15AA001YB02</v>
          </cell>
          <cell r="E685" t="str">
            <v>Шибер заг пов М-11-5 КЗ</v>
          </cell>
        </row>
        <row r="686">
          <cell r="B686" t="str">
            <v>7HFE16AA001YB01</v>
          </cell>
          <cell r="E686" t="str">
            <v>Шибер заг пов М-11-6 КВ</v>
          </cell>
        </row>
        <row r="687">
          <cell r="B687" t="str">
            <v>7HFE16AA001YB02</v>
          </cell>
          <cell r="E687" t="str">
            <v>Шибер заг пов М-11-6 КЗ</v>
          </cell>
        </row>
        <row r="688">
          <cell r="B688" t="str">
            <v>7HFE15AA002YB01</v>
          </cell>
          <cell r="E688" t="str">
            <v>Шибер гар пов М-11-5 КВ</v>
          </cell>
        </row>
        <row r="689">
          <cell r="B689" t="str">
            <v>7HFE15AA002YB02</v>
          </cell>
          <cell r="E689" t="str">
            <v>Шибер гар пов М-11-5 КЗ</v>
          </cell>
        </row>
        <row r="690">
          <cell r="B690" t="str">
            <v>7HFE16AA002YB01</v>
          </cell>
          <cell r="E690" t="str">
            <v>Шибер гар пов М-11-6 КВ</v>
          </cell>
        </row>
        <row r="691">
          <cell r="B691" t="str">
            <v>7HFE16AA002YB02</v>
          </cell>
          <cell r="E691" t="str">
            <v>Шибер гар пов М-11-6 КЗ</v>
          </cell>
        </row>
        <row r="692">
          <cell r="B692" t="str">
            <v>7HFE15AA003YB01</v>
          </cell>
          <cell r="E692" t="str">
            <v>Шибер витр пов М-11-5 КВ</v>
          </cell>
        </row>
        <row r="693">
          <cell r="B693" t="str">
            <v>7HFE15AA003YB02</v>
          </cell>
          <cell r="E693" t="str">
            <v>Шибер витр пов М-11-5 КЗ</v>
          </cell>
        </row>
        <row r="694">
          <cell r="B694" t="str">
            <v>7HFE16AA003YB01</v>
          </cell>
          <cell r="E694" t="str">
            <v>Шибер витр пов М-11-6 КВ</v>
          </cell>
        </row>
        <row r="695">
          <cell r="B695" t="str">
            <v>7HFE16AA003YB02</v>
          </cell>
          <cell r="E695" t="str">
            <v>Шибер витр пов М-11-6 КЗ</v>
          </cell>
        </row>
        <row r="696">
          <cell r="B696" t="str">
            <v>7HFE25AA001YB01</v>
          </cell>
          <cell r="E696" t="str">
            <v>Шибер Т пилепов сум М-11-5 КВ</v>
          </cell>
        </row>
        <row r="697">
          <cell r="B697" t="str">
            <v>7HFE25AA001YB02</v>
          </cell>
          <cell r="E697" t="str">
            <v>Шибер Т пилепов сум М-11-5 КЗ</v>
          </cell>
        </row>
        <row r="698">
          <cell r="B698" t="str">
            <v>7HFE26AA001YB01</v>
          </cell>
          <cell r="E698" t="str">
            <v>Шибер Т пилепов сум М-11-6 КВ</v>
          </cell>
        </row>
        <row r="699">
          <cell r="B699" t="str">
            <v>7HFE26AA001YB02</v>
          </cell>
          <cell r="E699" t="str">
            <v>Шибер Т пилепов сум М-11-6 КЗ</v>
          </cell>
        </row>
        <row r="700">
          <cell r="B700" t="str">
            <v>7HFA11AA101XB47</v>
          </cell>
          <cell r="E700" t="str">
            <v>Вібратор В1-6 ВІДКЛ авар кн</v>
          </cell>
        </row>
        <row r="701">
          <cell r="B701" t="str">
            <v>7HFA11AA101XB02</v>
          </cell>
          <cell r="E701" t="str">
            <v>Вібратор В1 ВІДКЛ</v>
          </cell>
        </row>
        <row r="702">
          <cell r="B702" t="str">
            <v>7HFA12AA101XB02</v>
          </cell>
          <cell r="E702" t="str">
            <v>Вібратор В2 ВІДКЛ</v>
          </cell>
        </row>
        <row r="703">
          <cell r="B703" t="str">
            <v>7HFA13AA101XB02</v>
          </cell>
          <cell r="E703" t="str">
            <v>Вібратор В3 ВІДКЛ</v>
          </cell>
        </row>
        <row r="704">
          <cell r="B704" t="str">
            <v>7HFA14AA101XB02</v>
          </cell>
          <cell r="E704" t="str">
            <v>Вібратор В4 ВІДКЛ</v>
          </cell>
        </row>
        <row r="705">
          <cell r="B705" t="str">
            <v>7HFA15AA101XB02</v>
          </cell>
          <cell r="E705" t="str">
            <v>Вібратор В5 ВІДКЛ</v>
          </cell>
        </row>
        <row r="706">
          <cell r="B706" t="str">
            <v>7HFA16AA101XB02</v>
          </cell>
          <cell r="E706" t="str">
            <v>Вібратор В6 ВІДКЛ</v>
          </cell>
        </row>
        <row r="707">
          <cell r="B707" t="str">
            <v>7HFE25AA002XB06</v>
          </cell>
          <cell r="E707" t="str">
            <v>Кл атм пов М-11-5 НЖ</v>
          </cell>
        </row>
        <row r="708">
          <cell r="B708" t="str">
            <v>7HFE25AA002XB51</v>
          </cell>
          <cell r="E708" t="str">
            <v>Кл атм пов М-11-5 НВ</v>
          </cell>
        </row>
        <row r="709">
          <cell r="B709" t="str">
            <v>7HFE25AA002XB52</v>
          </cell>
          <cell r="E709" t="str">
            <v>Кл атм пов М-11-5 НЗ</v>
          </cell>
        </row>
        <row r="710">
          <cell r="B710" t="str">
            <v>7HFE26AA002XB06</v>
          </cell>
          <cell r="E710" t="str">
            <v>Кл атм пов М-11-6 НЖ</v>
          </cell>
        </row>
        <row r="711">
          <cell r="B711" t="str">
            <v>7HFE26AA002XB51</v>
          </cell>
          <cell r="E711" t="str">
            <v>Кл атм пов М-11-6 НВ</v>
          </cell>
        </row>
        <row r="712">
          <cell r="B712" t="str">
            <v>7HFE26AA002XB52</v>
          </cell>
          <cell r="E712" t="str">
            <v>Кл атм пов М-11-6 НЗ</v>
          </cell>
        </row>
        <row r="713">
          <cell r="B713" t="str">
            <v>7HFE23AA002XB06</v>
          </cell>
          <cell r="E713" t="str">
            <v>Кл атм пов М-11-3 НЖ</v>
          </cell>
        </row>
        <row r="714">
          <cell r="B714" t="str">
            <v>7HFE23AA002XB51</v>
          </cell>
          <cell r="E714" t="str">
            <v>Кл атм пов М-11-3 НВ</v>
          </cell>
        </row>
        <row r="715">
          <cell r="B715" t="str">
            <v>7HFE23AA002XB52</v>
          </cell>
          <cell r="E715" t="str">
            <v>Кл атм пов М-11-3 НЗ</v>
          </cell>
        </row>
        <row r="716">
          <cell r="B716" t="str">
            <v>7HFE24AA002XB06</v>
          </cell>
          <cell r="E716" t="str">
            <v>Кл атм пов М-11-4 НЖ</v>
          </cell>
        </row>
        <row r="717">
          <cell r="B717" t="str">
            <v>7HFE24AA002XB51</v>
          </cell>
          <cell r="E717" t="str">
            <v>Кл атм пов М-11-4 НВ</v>
          </cell>
        </row>
        <row r="718">
          <cell r="B718" t="str">
            <v>7HFE24AA002XB52</v>
          </cell>
          <cell r="E718" t="str">
            <v>Кл атм пов М-11-4 НЗ</v>
          </cell>
        </row>
        <row r="719">
          <cell r="B719" t="str">
            <v>7HFE15AA003XB06</v>
          </cell>
          <cell r="E719" t="str">
            <v>Шибер витр пов М-11-5 НЖ</v>
          </cell>
        </row>
        <row r="720">
          <cell r="B720" t="str">
            <v>7HFE15AA003XB51</v>
          </cell>
          <cell r="E720" t="str">
            <v>Шибер витр пов М-11-5 НВ</v>
          </cell>
        </row>
        <row r="721">
          <cell r="B721" t="str">
            <v>7HFE15AA003XB52</v>
          </cell>
          <cell r="E721" t="str">
            <v>Шибер витр пов М-11-5 НЗ</v>
          </cell>
        </row>
        <row r="722">
          <cell r="B722" t="str">
            <v>7HFE16AA003XB06</v>
          </cell>
          <cell r="E722" t="str">
            <v>Шибер витр пов М-11-6 НЖ</v>
          </cell>
        </row>
        <row r="723">
          <cell r="B723" t="str">
            <v>7HFE16AA003XB51</v>
          </cell>
          <cell r="E723" t="str">
            <v>Шибер витр пов М-11-6 НВ</v>
          </cell>
        </row>
        <row r="724">
          <cell r="B724" t="str">
            <v>7HFE16AA003XB52</v>
          </cell>
          <cell r="E724" t="str">
            <v>Шибер витр пов М-11-6 НЗ</v>
          </cell>
        </row>
        <row r="725">
          <cell r="B725" t="str">
            <v>7HFE25AA001XB06</v>
          </cell>
          <cell r="E725" t="str">
            <v>Шибер Т пилепов сум М-11-5 НЖ</v>
          </cell>
        </row>
        <row r="726">
          <cell r="B726" t="str">
            <v>7HFE25AA001XB51</v>
          </cell>
          <cell r="E726" t="str">
            <v>Шибер Т пилепов сум М-11-5 НВ</v>
          </cell>
        </row>
        <row r="727">
          <cell r="B727" t="str">
            <v>7HFE25AA001XB52</v>
          </cell>
          <cell r="E727" t="str">
            <v>Шибер Т пилепов сум М-11-5 НЗ</v>
          </cell>
        </row>
        <row r="728">
          <cell r="B728" t="str">
            <v>7HFE26AA001XB06</v>
          </cell>
          <cell r="E728" t="str">
            <v>Шибер Т пилепов сум М-11-6 НЖ</v>
          </cell>
        </row>
        <row r="729">
          <cell r="B729" t="str">
            <v>7HFE26AA001XB51</v>
          </cell>
          <cell r="E729" t="str">
            <v>Шибер Т пилепов сум М-11-6 НВ</v>
          </cell>
        </row>
        <row r="730">
          <cell r="B730" t="str">
            <v>7HFE26AA001XB52</v>
          </cell>
          <cell r="E730" t="str">
            <v>Шибер Т пилепов сум М-11-6 НЗ</v>
          </cell>
        </row>
        <row r="731">
          <cell r="B731" t="str">
            <v>7HFE15AA001XB06</v>
          </cell>
          <cell r="E731" t="str">
            <v>Шибер заг пов М-11-5 НЖ</v>
          </cell>
        </row>
        <row r="732">
          <cell r="B732" t="str">
            <v>7HFE15AA001XB51</v>
          </cell>
          <cell r="E732" t="str">
            <v>Шибер заг пов М-11-5 НВ</v>
          </cell>
        </row>
        <row r="733">
          <cell r="B733" t="str">
            <v>7HFE15AA001XB52</v>
          </cell>
          <cell r="E733" t="str">
            <v>Шибер заг пов М-11-5 НЗ</v>
          </cell>
        </row>
        <row r="734">
          <cell r="B734" t="str">
            <v>7HFE16AA001XB06</v>
          </cell>
          <cell r="E734" t="str">
            <v>Шибер заг пов М-11-6 НЖ</v>
          </cell>
        </row>
        <row r="735">
          <cell r="B735" t="str">
            <v>7HFE16AA001XB51</v>
          </cell>
          <cell r="E735" t="str">
            <v>Шибер заг пов М-11-6 НВ</v>
          </cell>
        </row>
        <row r="736">
          <cell r="B736" t="str">
            <v>7HFE16AA001XB52</v>
          </cell>
          <cell r="E736" t="str">
            <v>Шибер заг пов М-11-6 НЗ</v>
          </cell>
        </row>
        <row r="737">
          <cell r="B737" t="str">
            <v>7HFE15AA002XB06</v>
          </cell>
          <cell r="E737" t="str">
            <v>Шибер гар пов М-11-5 НЖ</v>
          </cell>
        </row>
        <row r="738">
          <cell r="B738" t="str">
            <v>7HFE15AA002XB07</v>
          </cell>
          <cell r="E738" t="str">
            <v>Шибер гар пов М-11-5 ТП</v>
          </cell>
        </row>
        <row r="739">
          <cell r="B739" t="str">
            <v>7HFE15AA002XB51</v>
          </cell>
          <cell r="E739" t="str">
            <v>Шибер гар пов М-11-5  НВ</v>
          </cell>
        </row>
        <row r="740">
          <cell r="B740" t="str">
            <v>7HFE15AA002XB52</v>
          </cell>
          <cell r="E740" t="str">
            <v>Шибер гар пов М-11-5  НЗ</v>
          </cell>
        </row>
        <row r="741">
          <cell r="B741" t="str">
            <v>7HFE15AA002XB53</v>
          </cell>
          <cell r="E741" t="str">
            <v>Шибер гар пов М-11-5  РММ</v>
          </cell>
        </row>
        <row r="742">
          <cell r="B742" t="str">
            <v>7HFE16AA002XB06</v>
          </cell>
          <cell r="E742" t="str">
            <v>Шибер гар пов М-11-6 НЖ</v>
          </cell>
        </row>
        <row r="743">
          <cell r="B743" t="str">
            <v>7HFE16AA002XB07</v>
          </cell>
          <cell r="E743" t="str">
            <v>Шибер гар пов М-11-6 ТП</v>
          </cell>
        </row>
        <row r="744">
          <cell r="B744" t="str">
            <v>7HFE16AA002XB51</v>
          </cell>
          <cell r="E744" t="str">
            <v>Шибер гар пов М-11-6  НВ</v>
          </cell>
        </row>
        <row r="745">
          <cell r="B745" t="str">
            <v>7HFE16AA002XB52</v>
          </cell>
          <cell r="E745" t="str">
            <v>Шибер гар пов М-11-6  НЗ</v>
          </cell>
        </row>
        <row r="746">
          <cell r="B746" t="str">
            <v>7HFE16AA002XB53</v>
          </cell>
          <cell r="E746" t="str">
            <v>Шибер гар пов М-11-6  РММ</v>
          </cell>
        </row>
        <row r="747">
          <cell r="B747" t="str">
            <v>7LAE11AA101XB06</v>
          </cell>
          <cell r="E747" t="str">
            <v>Лоб вент 1А до РК НЖ</v>
          </cell>
        </row>
        <row r="748">
          <cell r="B748" t="str">
            <v>7LAE11AA101XB10</v>
          </cell>
          <cell r="E748" t="str">
            <v>Лоб вент 1А  до РК ШТ</v>
          </cell>
        </row>
        <row r="749">
          <cell r="B749" t="str">
            <v>7LAE11AA101XB51</v>
          </cell>
          <cell r="E749" t="str">
            <v>Лоб вент 1А до РК НВ</v>
          </cell>
        </row>
        <row r="750">
          <cell r="B750" t="str">
            <v>7LAE11AA101XB52</v>
          </cell>
          <cell r="E750" t="str">
            <v>Лоб вент 1А до РК НЗ</v>
          </cell>
        </row>
        <row r="751">
          <cell r="B751" t="str">
            <v>7LAE12AA101XB06</v>
          </cell>
          <cell r="E751" t="str">
            <v>Лоб вент 1Б до РК НЖ</v>
          </cell>
        </row>
        <row r="752">
          <cell r="B752" t="str">
            <v>7LAE12AA101XB10</v>
          </cell>
          <cell r="E752" t="str">
            <v>Лоб вент 1Б  до РК ШТ</v>
          </cell>
        </row>
        <row r="753">
          <cell r="B753" t="str">
            <v>7LAE12AA101XB51</v>
          </cell>
          <cell r="E753" t="str">
            <v>Лоб вент 1Б до РК НВ</v>
          </cell>
        </row>
        <row r="754">
          <cell r="B754" t="str">
            <v>7LAE12AA101XB52</v>
          </cell>
          <cell r="E754" t="str">
            <v>Лоб вент 1Б до РК НЗ</v>
          </cell>
        </row>
        <row r="755">
          <cell r="B755" t="str">
            <v>7LAE13AA101XB06</v>
          </cell>
          <cell r="E755" t="str">
            <v>Лоб вент 2А до РК НЖ</v>
          </cell>
        </row>
        <row r="756">
          <cell r="B756" t="str">
            <v>7LAE13AA101XB10</v>
          </cell>
          <cell r="E756" t="str">
            <v>Лоб вент 2А до РК ШТ</v>
          </cell>
        </row>
        <row r="757">
          <cell r="B757" t="str">
            <v>7LAE13AA101XB51</v>
          </cell>
          <cell r="E757" t="str">
            <v>Лоб вент 2А до РК НВ</v>
          </cell>
        </row>
        <row r="758">
          <cell r="B758" t="str">
            <v>7LAE13AA101XB52</v>
          </cell>
          <cell r="E758" t="str">
            <v>Лоб вент 2А до РК НЗ</v>
          </cell>
        </row>
        <row r="759">
          <cell r="B759" t="str">
            <v>7LAE14AA101XB06</v>
          </cell>
          <cell r="E759" t="str">
            <v>Лоб вент 2Б до РК НЖ</v>
          </cell>
        </row>
        <row r="760">
          <cell r="B760" t="str">
            <v>7LAE14AA101XB10</v>
          </cell>
          <cell r="E760" t="str">
            <v>Лоб вент 2Б до РК ШТ</v>
          </cell>
        </row>
        <row r="761">
          <cell r="B761" t="str">
            <v>7LAE14AA101XB51</v>
          </cell>
          <cell r="E761" t="str">
            <v>Лоб вент 2Б до РК НВ</v>
          </cell>
        </row>
        <row r="762">
          <cell r="B762" t="str">
            <v>7LAE14AA101XB52</v>
          </cell>
          <cell r="E762" t="str">
            <v>Лоб вент 2Б до РК НЗ</v>
          </cell>
        </row>
        <row r="763">
          <cell r="B763" t="str">
            <v>7LAF11AA101XB06</v>
          </cell>
          <cell r="E763" t="str">
            <v>Лоб вент авар впр А НЖ</v>
          </cell>
        </row>
        <row r="764">
          <cell r="B764" t="str">
            <v>7LAF11AA101XB10</v>
          </cell>
          <cell r="E764" t="str">
            <v>Лоб вент авар впр А ШТ</v>
          </cell>
        </row>
        <row r="765">
          <cell r="B765" t="str">
            <v>7LAF11AA101XB51</v>
          </cell>
          <cell r="E765" t="str">
            <v>Лоб вент авар впр А НВ</v>
          </cell>
        </row>
        <row r="766">
          <cell r="B766" t="str">
            <v>7LAF11AA101XB52</v>
          </cell>
          <cell r="E766" t="str">
            <v>Лоб вент авар впр А НЗ</v>
          </cell>
        </row>
        <row r="767">
          <cell r="B767" t="str">
            <v>7LAF12AA101XB06</v>
          </cell>
          <cell r="E767" t="str">
            <v>Лоб вент авар впр Б НЖ</v>
          </cell>
        </row>
        <row r="768">
          <cell r="B768" t="str">
            <v>7LAF12AA101XB10</v>
          </cell>
          <cell r="E768" t="str">
            <v>Лоб вент авар впр Б ШТ</v>
          </cell>
        </row>
        <row r="769">
          <cell r="B769" t="str">
            <v>7LAF12AA101XB51</v>
          </cell>
          <cell r="E769" t="str">
            <v>Лоб вент авар впр Б НВ</v>
          </cell>
        </row>
        <row r="770">
          <cell r="B770" t="str">
            <v>7LAF12AA101XB52</v>
          </cell>
          <cell r="E770" t="str">
            <v>Лоб вент авар впр Б НЗ</v>
          </cell>
        </row>
        <row r="771">
          <cell r="B771" t="str">
            <v>7SGA11AA101XB06</v>
          </cell>
          <cell r="E771" t="str">
            <v>З-ка пож гасін М-11-1 НЖ</v>
          </cell>
        </row>
        <row r="772">
          <cell r="B772" t="str">
            <v>7SGA11AA101XB10</v>
          </cell>
          <cell r="E772" t="str">
            <v>З-ка пож гасін М-11-1 ШТ</v>
          </cell>
        </row>
        <row r="773">
          <cell r="B773" t="str">
            <v>7SGA11AA101XB51</v>
          </cell>
          <cell r="E773" t="str">
            <v>З-ка пож гасін М-11-1 НВ</v>
          </cell>
        </row>
        <row r="774">
          <cell r="B774" t="str">
            <v>7SGA11AA101XB52</v>
          </cell>
          <cell r="E774" t="str">
            <v>З-ка пож гасін М-11-1 НЗ</v>
          </cell>
        </row>
        <row r="775">
          <cell r="B775" t="str">
            <v>7SGA12AA101XB06</v>
          </cell>
          <cell r="E775" t="str">
            <v>З-ка пож гасін М-11-2 НЖ</v>
          </cell>
        </row>
        <row r="776">
          <cell r="B776" t="str">
            <v>7SGA12AA101XB10</v>
          </cell>
          <cell r="E776" t="str">
            <v>З-ка пож гасін М-11-2 ШТ</v>
          </cell>
        </row>
        <row r="777">
          <cell r="B777" t="str">
            <v>7SGA12AA101XB51</v>
          </cell>
          <cell r="E777" t="str">
            <v>З-ка пож гасін М-11-2 НВ</v>
          </cell>
        </row>
        <row r="778">
          <cell r="B778" t="str">
            <v>7SGA12AA101XB52</v>
          </cell>
          <cell r="E778" t="str">
            <v>З-ка пож гасін М-11-2 НЗ</v>
          </cell>
        </row>
        <row r="779">
          <cell r="B779" t="str">
            <v>7SGA13AA101XB06</v>
          </cell>
          <cell r="E779" t="str">
            <v>З-ка пож гасін М-11-3 НЖ</v>
          </cell>
        </row>
        <row r="780">
          <cell r="B780" t="str">
            <v>7SGA13AA101XB10</v>
          </cell>
          <cell r="E780" t="str">
            <v>З-ка пож гасін М-11-3 ШТ</v>
          </cell>
        </row>
        <row r="781">
          <cell r="B781" t="str">
            <v>7SGA13AA101XB51</v>
          </cell>
          <cell r="E781" t="str">
            <v>З-ка пож гасін М-11-3 НВ</v>
          </cell>
        </row>
        <row r="782">
          <cell r="B782" t="str">
            <v>7SGA13AA101XB52</v>
          </cell>
          <cell r="E782" t="str">
            <v>З-ка пож гасін М-11-3 НЗ</v>
          </cell>
        </row>
        <row r="783">
          <cell r="B783" t="str">
            <v>7LAE11AA101YB01</v>
          </cell>
          <cell r="E783" t="str">
            <v>Лоб вент 1А до РК КВ</v>
          </cell>
        </row>
        <row r="784">
          <cell r="B784" t="str">
            <v>7LAE11AA101YB02</v>
          </cell>
          <cell r="E784" t="str">
            <v>Лоб вент 1А до РК КЗ</v>
          </cell>
        </row>
        <row r="785">
          <cell r="B785" t="str">
            <v>7LAE12AA101YB01</v>
          </cell>
          <cell r="E785" t="str">
            <v>Лоб вент 1Б до РК КВ</v>
          </cell>
        </row>
        <row r="786">
          <cell r="B786" t="str">
            <v>7LAE12AA101YB02</v>
          </cell>
          <cell r="E786" t="str">
            <v>Лоб вент 1Б до РК КЗ</v>
          </cell>
        </row>
        <row r="787">
          <cell r="B787" t="str">
            <v>7LAE13AA101YB01</v>
          </cell>
          <cell r="E787" t="str">
            <v>Лоб вент 2А до РК КВ</v>
          </cell>
        </row>
        <row r="788">
          <cell r="B788" t="str">
            <v>7LAE13AA101YB02</v>
          </cell>
          <cell r="E788" t="str">
            <v>Лоб вент 2А до РК КЗ</v>
          </cell>
        </row>
        <row r="789">
          <cell r="B789" t="str">
            <v>7LAE14AA101YB01</v>
          </cell>
          <cell r="E789" t="str">
            <v>Лоб вент 2Б до РК КВ</v>
          </cell>
        </row>
        <row r="790">
          <cell r="B790" t="str">
            <v>7LAE14AA101YB02</v>
          </cell>
          <cell r="E790" t="str">
            <v>Лоб вент 2Б до РК КЗ</v>
          </cell>
        </row>
        <row r="791">
          <cell r="B791" t="str">
            <v>7LAF11AA101YB01</v>
          </cell>
          <cell r="E791" t="str">
            <v>Лоб вент авар впр А КВ</v>
          </cell>
        </row>
        <row r="792">
          <cell r="B792" t="str">
            <v>7LAF11AA101YB02</v>
          </cell>
          <cell r="E792" t="str">
            <v>Лоб вент авар впр А КЗ</v>
          </cell>
        </row>
        <row r="793">
          <cell r="B793" t="str">
            <v>7LAF12AA101YB01</v>
          </cell>
          <cell r="E793" t="str">
            <v>Лоб вент авар впр Б КВ</v>
          </cell>
        </row>
        <row r="794">
          <cell r="B794" t="str">
            <v>7LAF12AA101YB02</v>
          </cell>
          <cell r="E794" t="str">
            <v>Лоб вент авар впр Б КЗ</v>
          </cell>
        </row>
        <row r="795">
          <cell r="B795" t="str">
            <v>7SGA11AA101YB01</v>
          </cell>
          <cell r="E795" t="str">
            <v>З-ка пож гасін М-11-1 КВ</v>
          </cell>
        </row>
        <row r="796">
          <cell r="B796" t="str">
            <v>7SGA11AA101YB02</v>
          </cell>
          <cell r="E796" t="str">
            <v>З-ка пож гасін М-11-1 КЗ</v>
          </cell>
        </row>
        <row r="797">
          <cell r="B797" t="str">
            <v>7SGA12AA101YB01</v>
          </cell>
          <cell r="E797" t="str">
            <v>З-ка пож гасін М-11-2 КВ</v>
          </cell>
        </row>
        <row r="798">
          <cell r="B798" t="str">
            <v>7SGA12AA101YB02</v>
          </cell>
          <cell r="E798" t="str">
            <v>З-ка пож гасін М-11-2 КЗ</v>
          </cell>
        </row>
        <row r="799">
          <cell r="B799" t="str">
            <v>7SGA13AA101YB01</v>
          </cell>
          <cell r="E799" t="str">
            <v>З-ка пож гасін М-11-3 КВ</v>
          </cell>
        </row>
        <row r="800">
          <cell r="B800" t="str">
            <v>7SGA13AA101YB02</v>
          </cell>
          <cell r="E800" t="str">
            <v>З-ка пож гасін М-11-3 КЗ</v>
          </cell>
        </row>
        <row r="801">
          <cell r="B801" t="str">
            <v>7SGA14AA101YB01</v>
          </cell>
          <cell r="E801" t="str">
            <v>З-ка пож гасін М-11-4 КВ</v>
          </cell>
        </row>
        <row r="802">
          <cell r="B802" t="str">
            <v>7SGA14AA101YB02</v>
          </cell>
          <cell r="E802" t="str">
            <v>З-ка пож гасін М-11-4 КЗ</v>
          </cell>
        </row>
        <row r="803">
          <cell r="B803" t="str">
            <v>7SGA15AA101YB01</v>
          </cell>
          <cell r="E803" t="str">
            <v>З-ка пож гасін М-11-5 КВ</v>
          </cell>
        </row>
        <row r="804">
          <cell r="B804" t="str">
            <v>7SGA15AA101YB02</v>
          </cell>
          <cell r="E804" t="str">
            <v>З-ка пож гасін М-11-5 КЗ</v>
          </cell>
        </row>
        <row r="805">
          <cell r="B805" t="str">
            <v>7SGA16AA101YB01</v>
          </cell>
          <cell r="E805" t="str">
            <v>З-ка пож гасін М-11-6 КВ</v>
          </cell>
        </row>
        <row r="806">
          <cell r="B806" t="str">
            <v>7SGA16AA101YB02</v>
          </cell>
          <cell r="E806" t="str">
            <v>З-ка пож гасін М-11-6 КЗ</v>
          </cell>
        </row>
        <row r="807">
          <cell r="B807" t="str">
            <v>7LAE11AA102YB01</v>
          </cell>
          <cell r="E807" t="str">
            <v>Зап вент 1А за РК КВ</v>
          </cell>
        </row>
        <row r="808">
          <cell r="B808" t="str">
            <v>7LAE11AA102YB02</v>
          </cell>
          <cell r="E808" t="str">
            <v>Зап вент 1А за РК КЗ</v>
          </cell>
        </row>
        <row r="809">
          <cell r="B809" t="str">
            <v>7LAE12AA102YB01</v>
          </cell>
          <cell r="E809" t="str">
            <v>Зап вент 1Б за РК КВ</v>
          </cell>
        </row>
        <row r="810">
          <cell r="B810" t="str">
            <v>7LAE12AA102YB02</v>
          </cell>
          <cell r="E810" t="str">
            <v>Зап вент 1Б за РК КЗ</v>
          </cell>
        </row>
        <row r="811">
          <cell r="B811" t="str">
            <v>7LAE13AA102YB01</v>
          </cell>
          <cell r="E811" t="str">
            <v>Зап вент 2А за РК КВ</v>
          </cell>
        </row>
        <row r="812">
          <cell r="B812" t="str">
            <v>7LAE13AA102YB02</v>
          </cell>
          <cell r="E812" t="str">
            <v>Зап вент 2А за РК КЗ</v>
          </cell>
        </row>
        <row r="813">
          <cell r="B813" t="str">
            <v>7LAE14AA102YB01</v>
          </cell>
          <cell r="E813" t="str">
            <v>Зап вент 2Б за РК КВ</v>
          </cell>
        </row>
        <row r="814">
          <cell r="B814" t="str">
            <v>7LAE14AA102YB02</v>
          </cell>
          <cell r="E814" t="str">
            <v>Зап вент 2Б за РК КЗ</v>
          </cell>
        </row>
        <row r="815">
          <cell r="B815" t="str">
            <v>7LAF11AA102YB01</v>
          </cell>
          <cell r="E815" t="str">
            <v>Зап вент авар впр А КВ</v>
          </cell>
        </row>
        <row r="816">
          <cell r="B816" t="str">
            <v>7LAF11AA102YB02</v>
          </cell>
          <cell r="E816" t="str">
            <v>Зап вент авар впр А КЗ</v>
          </cell>
        </row>
        <row r="817">
          <cell r="B817" t="str">
            <v>7LAF12AA102YB01</v>
          </cell>
          <cell r="E817" t="str">
            <v>Зап вент авар впр Б КВ</v>
          </cell>
        </row>
        <row r="818">
          <cell r="B818" t="str">
            <v>7LAF12AA102YB02</v>
          </cell>
          <cell r="E818" t="str">
            <v>Зап вент авар впр Б КЗ</v>
          </cell>
        </row>
        <row r="819">
          <cell r="B819" t="str">
            <v>7SGA14AA101XB06</v>
          </cell>
          <cell r="E819" t="str">
            <v>З-ка пож гасін М-11-4 НЖ</v>
          </cell>
        </row>
        <row r="820">
          <cell r="B820" t="str">
            <v>7SGA14AA101XB10</v>
          </cell>
          <cell r="E820" t="str">
            <v>З-ка пож гасін М-11-4 ШТ</v>
          </cell>
        </row>
        <row r="821">
          <cell r="B821" t="str">
            <v>7SGA14AA101XB51</v>
          </cell>
          <cell r="E821" t="str">
            <v>З-ка пож гасін М-11-4 НВ</v>
          </cell>
        </row>
        <row r="822">
          <cell r="B822" t="str">
            <v>7SGA14AA101XB52</v>
          </cell>
          <cell r="E822" t="str">
            <v>З-ка пож гасін М-11-4 НЗ</v>
          </cell>
        </row>
        <row r="823">
          <cell r="B823" t="str">
            <v>7SGA15AA101XB06</v>
          </cell>
          <cell r="E823" t="str">
            <v>З-ка пож гасін М-11-5 НЖ</v>
          </cell>
        </row>
        <row r="824">
          <cell r="B824" t="str">
            <v>7SGA15AA101XB10</v>
          </cell>
          <cell r="E824" t="str">
            <v>З-ка пож гасін М-11-5 ШТ</v>
          </cell>
        </row>
        <row r="825">
          <cell r="B825" t="str">
            <v>7SGA15AA101XB51</v>
          </cell>
          <cell r="E825" t="str">
            <v>З-ка пож гасін М-11-5 НВ</v>
          </cell>
        </row>
        <row r="826">
          <cell r="B826" t="str">
            <v>7SGA15AA101XB52</v>
          </cell>
          <cell r="E826" t="str">
            <v>З-ка пож гасін М-11-5 НЗ</v>
          </cell>
        </row>
        <row r="827">
          <cell r="B827" t="str">
            <v>7SGA16AA101XB06</v>
          </cell>
          <cell r="E827" t="str">
            <v>З-ка пож гасін М-11-6 НЖ</v>
          </cell>
        </row>
        <row r="828">
          <cell r="B828" t="str">
            <v>7SGA16AA101XB10</v>
          </cell>
          <cell r="E828" t="str">
            <v>З-ка пож гасін М-11-6 ШТ</v>
          </cell>
        </row>
        <row r="829">
          <cell r="B829" t="str">
            <v>7SGA16AA101XB51</v>
          </cell>
          <cell r="E829" t="str">
            <v>З-ка пож гасін М-11-6 НВ</v>
          </cell>
        </row>
        <row r="830">
          <cell r="B830" t="str">
            <v>7SGA16AA101XB52</v>
          </cell>
          <cell r="E830" t="str">
            <v>З-ка пож гасін М-11-6 НЗ</v>
          </cell>
        </row>
        <row r="831">
          <cell r="B831" t="str">
            <v>7LAF11AA102XB06</v>
          </cell>
          <cell r="E831" t="str">
            <v>Зап вент авар впр А НЖ</v>
          </cell>
        </row>
        <row r="832">
          <cell r="B832" t="str">
            <v>7LAF11AA102XB10</v>
          </cell>
          <cell r="E832" t="str">
            <v>Зап вент авар впр А ШТ</v>
          </cell>
        </row>
        <row r="833">
          <cell r="B833" t="str">
            <v>7LAF11AA102XB51</v>
          </cell>
          <cell r="E833" t="str">
            <v>Зап вент авар впр А НВ</v>
          </cell>
        </row>
        <row r="834">
          <cell r="B834" t="str">
            <v>7LAF11AA102XB52</v>
          </cell>
          <cell r="E834" t="str">
            <v>Зап вент авар впр А НЗ</v>
          </cell>
        </row>
        <row r="835">
          <cell r="B835" t="str">
            <v>7LAF12AA102XB06</v>
          </cell>
          <cell r="E835" t="str">
            <v>Зап вент авар впр Б НЖ</v>
          </cell>
        </row>
        <row r="836">
          <cell r="B836" t="str">
            <v>7LAF12AA102XB10</v>
          </cell>
          <cell r="E836" t="str">
            <v>Зап вент авар впр Б ШТ</v>
          </cell>
        </row>
        <row r="837">
          <cell r="B837" t="str">
            <v>7LAF12AA102XB51</v>
          </cell>
          <cell r="E837" t="str">
            <v>Зап вент авар впр Б НВ</v>
          </cell>
        </row>
        <row r="838">
          <cell r="B838" t="str">
            <v>7LAF12AA102XB52</v>
          </cell>
          <cell r="E838" t="str">
            <v>Зап вент авар впр Б НЗ</v>
          </cell>
        </row>
        <row r="839">
          <cell r="B839" t="str">
            <v>7LAE11AA102XB06</v>
          </cell>
          <cell r="E839" t="str">
            <v>Зап вент 1А за РК НЖ</v>
          </cell>
        </row>
        <row r="840">
          <cell r="B840" t="str">
            <v>7LAE11AA102XB10</v>
          </cell>
          <cell r="E840" t="str">
            <v>Зап вент 1А за РК ШТ</v>
          </cell>
        </row>
        <row r="841">
          <cell r="B841" t="str">
            <v>7LAE11AA102XB51</v>
          </cell>
          <cell r="E841" t="str">
            <v>Зап вент 1А за РК НВ</v>
          </cell>
        </row>
        <row r="842">
          <cell r="B842" t="str">
            <v>7LAE11AA102XB52</v>
          </cell>
          <cell r="E842" t="str">
            <v>Зап вент 1А за РК НЗ</v>
          </cell>
        </row>
        <row r="843">
          <cell r="B843" t="str">
            <v>7LAE12AA102XB06</v>
          </cell>
          <cell r="E843" t="str">
            <v>Зап вент 1Б за РК НЖ</v>
          </cell>
        </row>
        <row r="844">
          <cell r="B844" t="str">
            <v>7LAE12AA102XB10</v>
          </cell>
          <cell r="E844" t="str">
            <v>Зап вент 1Б за РК ШТ</v>
          </cell>
        </row>
        <row r="845">
          <cell r="B845" t="str">
            <v>7LAE12AA102XB51</v>
          </cell>
          <cell r="E845" t="str">
            <v>Зап вент 1Б за РК НВ</v>
          </cell>
        </row>
        <row r="846">
          <cell r="B846" t="str">
            <v>7LAE12AA102XB52</v>
          </cell>
          <cell r="E846" t="str">
            <v>Зап вент 1Б за РК НЗ</v>
          </cell>
        </row>
        <row r="847">
          <cell r="B847" t="str">
            <v>7LAE13AA102XB06</v>
          </cell>
          <cell r="E847" t="str">
            <v>Зап вент 2А за РК НЖ</v>
          </cell>
        </row>
        <row r="848">
          <cell r="B848" t="str">
            <v>7LAE13AA102XB10</v>
          </cell>
          <cell r="E848" t="str">
            <v>Зап вент 2А за РК ШТ</v>
          </cell>
        </row>
        <row r="849">
          <cell r="B849" t="str">
            <v>7LAE13AA102XB51</v>
          </cell>
          <cell r="E849" t="str">
            <v>Зап вент 2А за РК НВ</v>
          </cell>
        </row>
        <row r="850">
          <cell r="B850" t="str">
            <v>7LAE13AA102XB52</v>
          </cell>
          <cell r="E850" t="str">
            <v>Зап вент 2А за РК НЗ</v>
          </cell>
        </row>
        <row r="851">
          <cell r="B851" t="str">
            <v>7LAE14AA102XB06</v>
          </cell>
          <cell r="E851" t="str">
            <v>Зап вент 2Б за РК НЖ</v>
          </cell>
        </row>
        <row r="852">
          <cell r="B852" t="str">
            <v>7LAE14AA102XB10</v>
          </cell>
          <cell r="E852" t="str">
            <v>Зап вент 2Б за РК ШТ</v>
          </cell>
        </row>
        <row r="853">
          <cell r="B853" t="str">
            <v>7LAE14AA102XB51</v>
          </cell>
          <cell r="E853" t="str">
            <v>Зап вент 2Б за РК НВ</v>
          </cell>
        </row>
        <row r="854">
          <cell r="B854" t="str">
            <v>7LAE14AA102XB52</v>
          </cell>
          <cell r="E854" t="str">
            <v>Зап вент 2Б за РК НЗ</v>
          </cell>
        </row>
        <row r="855">
          <cell r="B855" t="str">
            <v>7HCB01AA101XB06</v>
          </cell>
          <cell r="E855" t="str">
            <v>Обдувний апарат 1 НЖ</v>
          </cell>
        </row>
        <row r="856">
          <cell r="B856" t="str">
            <v>7HCB01AA101XB01</v>
          </cell>
          <cell r="E856" t="str">
            <v>Обдувний апарат 1 ВПЕРЕД</v>
          </cell>
        </row>
        <row r="857">
          <cell r="B857" t="str">
            <v>7HCB01AA101XB02</v>
          </cell>
          <cell r="E857" t="str">
            <v>Обдувний апарат 1 НАЗАД</v>
          </cell>
        </row>
        <row r="858">
          <cell r="B858" t="str">
            <v>7HCB02AA101XB06</v>
          </cell>
          <cell r="E858" t="str">
            <v>Обдувний апарат 2 НЖ</v>
          </cell>
        </row>
        <row r="859">
          <cell r="B859" t="str">
            <v>7HCB02AA101XB01</v>
          </cell>
          <cell r="E859" t="str">
            <v>Обдувний апарат 2 ВПЕРЕД</v>
          </cell>
        </row>
        <row r="860">
          <cell r="B860" t="str">
            <v>7HCB02AA101XB02</v>
          </cell>
          <cell r="E860" t="str">
            <v>Обдувний апарат 2 НАЗАД</v>
          </cell>
        </row>
        <row r="861">
          <cell r="B861" t="str">
            <v>7HCB03AA101XB06</v>
          </cell>
          <cell r="E861" t="str">
            <v>Обдувний апарат 3 НЖ</v>
          </cell>
        </row>
        <row r="862">
          <cell r="B862" t="str">
            <v>7HCB03AA101XB01</v>
          </cell>
          <cell r="E862" t="str">
            <v>Обдувний апарат 3 ВПЕРЕД</v>
          </cell>
        </row>
        <row r="863">
          <cell r="B863" t="str">
            <v>7HCB03AA101XB02</v>
          </cell>
          <cell r="E863" t="str">
            <v>Обдувний апарат 3 НАЗАД</v>
          </cell>
        </row>
        <row r="864">
          <cell r="B864" t="str">
            <v>7HCB04AA101XB06</v>
          </cell>
          <cell r="E864" t="str">
            <v>Обдувний апарат 4 НЖ</v>
          </cell>
        </row>
        <row r="865">
          <cell r="B865" t="str">
            <v>7HCB04AA101XB01</v>
          </cell>
          <cell r="E865" t="str">
            <v>Обдувний апарат 4 ВПЕРЕД</v>
          </cell>
        </row>
        <row r="866">
          <cell r="B866" t="str">
            <v>7HCB04AA101XB02</v>
          </cell>
          <cell r="E866" t="str">
            <v>Обдувний апарат 4 НАЗАД</v>
          </cell>
        </row>
        <row r="867">
          <cell r="B867" t="str">
            <v>7HCB05AA101XB06</v>
          </cell>
          <cell r="E867" t="str">
            <v>Обдувний апарат 5 НЖ</v>
          </cell>
        </row>
        <row r="868">
          <cell r="B868" t="str">
            <v>7HCB05AA101XB01</v>
          </cell>
          <cell r="E868" t="str">
            <v>Обдувний апарат 5 ВПЕРЕД</v>
          </cell>
        </row>
        <row r="869">
          <cell r="B869" t="str">
            <v>7HCB05AA101XB02</v>
          </cell>
          <cell r="E869" t="str">
            <v>Обдувний апарат 5 НАЗАД</v>
          </cell>
        </row>
        <row r="870">
          <cell r="B870" t="str">
            <v>7HCB06AA101XB06</v>
          </cell>
          <cell r="E870" t="str">
            <v>Обдувний апарат 6 НЖ</v>
          </cell>
        </row>
        <row r="871">
          <cell r="B871" t="str">
            <v>7HCB06AA101XB01</v>
          </cell>
          <cell r="E871" t="str">
            <v>Обдувний апарат 6 ВПЕРЕД</v>
          </cell>
        </row>
        <row r="872">
          <cell r="B872" t="str">
            <v>7HCB06AA101XB02</v>
          </cell>
          <cell r="E872" t="str">
            <v>Обдувний апарат 6 НАЗАД</v>
          </cell>
        </row>
        <row r="873">
          <cell r="B873" t="str">
            <v>7HCB07AA101XB06</v>
          </cell>
          <cell r="E873" t="str">
            <v>Обдувний апарат 7 НЖ</v>
          </cell>
        </row>
        <row r="874">
          <cell r="B874" t="str">
            <v>7HCB07AA101XB01</v>
          </cell>
          <cell r="E874" t="str">
            <v>Обдувний апарат 7 ВПЕРЕД</v>
          </cell>
        </row>
        <row r="875">
          <cell r="B875" t="str">
            <v>7HCB07AA101XB02</v>
          </cell>
          <cell r="E875" t="str">
            <v>Обдувний апарат 7 НАЗАД</v>
          </cell>
        </row>
        <row r="876">
          <cell r="B876" t="str">
            <v>7HCB08AA101XB06</v>
          </cell>
          <cell r="E876" t="str">
            <v>Обдувний апарат 8 НЖ</v>
          </cell>
        </row>
        <row r="877">
          <cell r="B877" t="str">
            <v>7HCB08AA101XB01</v>
          </cell>
          <cell r="E877" t="str">
            <v>Обдувний апарат 8 ВПЕРЕД</v>
          </cell>
        </row>
        <row r="878">
          <cell r="B878" t="str">
            <v>7HCB08AA101XB02</v>
          </cell>
          <cell r="E878" t="str">
            <v>Обдувний апарат 8 НАЗАД</v>
          </cell>
        </row>
        <row r="879">
          <cell r="B879" t="str">
            <v>7HCB09AA101XB06</v>
          </cell>
          <cell r="E879" t="str">
            <v>Обдувний апарат 9 НЖ</v>
          </cell>
        </row>
        <row r="880">
          <cell r="B880" t="str">
            <v>7HCB09AA101XB01</v>
          </cell>
          <cell r="E880" t="str">
            <v>Обдувний апарат 9 ВПЕРЕД</v>
          </cell>
        </row>
        <row r="881">
          <cell r="B881" t="str">
            <v>7HCB09AA101XB02</v>
          </cell>
          <cell r="E881" t="str">
            <v>Обдувний апарат 9 НАЗАД</v>
          </cell>
        </row>
        <row r="882">
          <cell r="B882" t="str">
            <v>7HCB10AA101XB06</v>
          </cell>
          <cell r="E882" t="str">
            <v>Обдувний апарат 10 НЖ</v>
          </cell>
        </row>
        <row r="883">
          <cell r="B883" t="str">
            <v>7HCB10AA101XB01</v>
          </cell>
          <cell r="E883" t="str">
            <v>Обдувний апарат 10 ВПЕРЕД</v>
          </cell>
        </row>
        <row r="884">
          <cell r="B884" t="str">
            <v>7HCB10AA101XB02</v>
          </cell>
          <cell r="E884" t="str">
            <v>Обдувний апарат 10 НАЗАД</v>
          </cell>
        </row>
        <row r="885">
          <cell r="B885" t="str">
            <v>7HCB11AA101XB01</v>
          </cell>
          <cell r="E885" t="str">
            <v>Обдувний апарат 11 ВПЕРЕД</v>
          </cell>
        </row>
        <row r="886">
          <cell r="B886" t="str">
            <v>7HCB11AA101XB02</v>
          </cell>
          <cell r="E886" t="str">
            <v>Обдувний апарат 11 НАЗАД</v>
          </cell>
        </row>
        <row r="887">
          <cell r="B887" t="str">
            <v>7HCB12AA101XB06</v>
          </cell>
          <cell r="E887" t="str">
            <v>Обдувний апарат 12 НЖ</v>
          </cell>
        </row>
        <row r="888">
          <cell r="B888" t="str">
            <v>7HCB12AA101XB01</v>
          </cell>
          <cell r="E888" t="str">
            <v>Обдувний апарат 12 ВПЕРЕД</v>
          </cell>
        </row>
        <row r="889">
          <cell r="B889" t="str">
            <v>7HCB12AA101XB02</v>
          </cell>
          <cell r="E889" t="str">
            <v>Обдувний апарат 12 НАЗАД</v>
          </cell>
        </row>
        <row r="890">
          <cell r="B890" t="str">
            <v>7HCB01AA101YB01</v>
          </cell>
          <cell r="E890" t="str">
            <v>Обдувний апарат 1 КВ</v>
          </cell>
        </row>
        <row r="891">
          <cell r="B891" t="str">
            <v>7HCB01AA101YB02</v>
          </cell>
          <cell r="E891" t="str">
            <v>Обдувний апарат 1 КН</v>
          </cell>
        </row>
        <row r="892">
          <cell r="B892" t="str">
            <v>7HCB02AA101YB01</v>
          </cell>
          <cell r="E892" t="str">
            <v>Обдувний апарат 2 КВ</v>
          </cell>
        </row>
        <row r="893">
          <cell r="B893" t="str">
            <v>7HCB02AA101YB02</v>
          </cell>
          <cell r="E893" t="str">
            <v>Обдувний апарат 2 КН</v>
          </cell>
        </row>
        <row r="894">
          <cell r="B894" t="str">
            <v>7HCB03AA101YB01</v>
          </cell>
          <cell r="E894" t="str">
            <v>Обдувний апарат 3 КВ</v>
          </cell>
        </row>
        <row r="895">
          <cell r="B895" t="str">
            <v>7HCB03AA101YB02</v>
          </cell>
          <cell r="E895" t="str">
            <v>Обдувний апарат 3 КН</v>
          </cell>
        </row>
        <row r="896">
          <cell r="B896" t="str">
            <v>7HCB04AA101YB01</v>
          </cell>
          <cell r="E896" t="str">
            <v>Обдувний апарат 4 КВ</v>
          </cell>
        </row>
        <row r="897">
          <cell r="B897" t="str">
            <v>7HCB04AA101YB02</v>
          </cell>
          <cell r="E897" t="str">
            <v>Обдувний апарат 4 КН</v>
          </cell>
        </row>
        <row r="898">
          <cell r="B898" t="str">
            <v>7HCB05AA101YB01</v>
          </cell>
          <cell r="E898" t="str">
            <v>Обдувний апарат 5 КВ</v>
          </cell>
        </row>
        <row r="899">
          <cell r="B899" t="str">
            <v>7HCB05AA101YB02</v>
          </cell>
          <cell r="E899" t="str">
            <v>Обдувний апарат 5 КН</v>
          </cell>
        </row>
        <row r="900">
          <cell r="B900" t="str">
            <v>7HCB06AA101YB01</v>
          </cell>
          <cell r="E900" t="str">
            <v>Обдувний апарат 6 КВ</v>
          </cell>
        </row>
        <row r="901">
          <cell r="B901" t="str">
            <v>7HCB06AA101YB02</v>
          </cell>
          <cell r="E901" t="str">
            <v>Обдувний апарат 6 КН</v>
          </cell>
        </row>
        <row r="902">
          <cell r="B902" t="str">
            <v>7HCB07AA101YB01</v>
          </cell>
          <cell r="E902" t="str">
            <v>Обдувний апарат 7 КВ</v>
          </cell>
        </row>
        <row r="903">
          <cell r="B903" t="str">
            <v>7HCB07AA101YB02</v>
          </cell>
          <cell r="E903" t="str">
            <v>Обдувний апарат 7 КН</v>
          </cell>
        </row>
        <row r="904">
          <cell r="B904" t="str">
            <v>7HCB08AA101YB01</v>
          </cell>
          <cell r="E904" t="str">
            <v>Обдувний апарат 8 КВ</v>
          </cell>
        </row>
        <row r="905">
          <cell r="B905" t="str">
            <v>7HCB08AA101YB02</v>
          </cell>
          <cell r="E905" t="str">
            <v>Обдувний апарат 8 КН</v>
          </cell>
        </row>
        <row r="906">
          <cell r="B906" t="str">
            <v>7HCB09AA101YB01</v>
          </cell>
          <cell r="E906" t="str">
            <v>Обдувний апарат 9 КВ</v>
          </cell>
        </row>
        <row r="907">
          <cell r="B907" t="str">
            <v>7HCB09AA101YB02</v>
          </cell>
          <cell r="E907" t="str">
            <v>Обдувний апарат 9 КН</v>
          </cell>
        </row>
        <row r="908">
          <cell r="B908" t="str">
            <v>7HCB10AA101YB01</v>
          </cell>
          <cell r="E908" t="str">
            <v>Обдувний апарат 10 КВ</v>
          </cell>
        </row>
        <row r="909">
          <cell r="B909" t="str">
            <v>7HCB10AA101YB02</v>
          </cell>
          <cell r="E909" t="str">
            <v>Обдувний апарат 10 КН</v>
          </cell>
        </row>
        <row r="910">
          <cell r="B910" t="str">
            <v>7HCB11AA101YB01</v>
          </cell>
          <cell r="E910" t="str">
            <v>Обдувний апарат 11 КВ</v>
          </cell>
        </row>
        <row r="911">
          <cell r="B911" t="str">
            <v>7HCB11AA101YB02</v>
          </cell>
          <cell r="E911" t="str">
            <v>Обдувний апарат 11 КН</v>
          </cell>
        </row>
        <row r="912">
          <cell r="B912" t="str">
            <v>7HCB12AA101YB01</v>
          </cell>
          <cell r="E912" t="str">
            <v>Обдувний апарат 12 КВ</v>
          </cell>
        </row>
        <row r="913">
          <cell r="B913" t="str">
            <v>7HCB12AA101YB02</v>
          </cell>
          <cell r="E913" t="str">
            <v>Обдувний апарат 12 КН</v>
          </cell>
        </row>
        <row r="914">
          <cell r="B914" t="str">
            <v>7HCB21AA101YB01</v>
          </cell>
          <cell r="E914" t="str">
            <v>Обдувний апарат 21 КВ</v>
          </cell>
        </row>
        <row r="915">
          <cell r="B915" t="str">
            <v>7HCB21AA101YB02</v>
          </cell>
          <cell r="E915" t="str">
            <v>Обдувний апарат 21 КН</v>
          </cell>
        </row>
        <row r="916">
          <cell r="B916" t="str">
            <v>7HCB22AA101YB01</v>
          </cell>
          <cell r="E916" t="str">
            <v>Обдувний апарат 22 КВ</v>
          </cell>
        </row>
        <row r="917">
          <cell r="B917" t="str">
            <v>7HCB22AA101YB02</v>
          </cell>
          <cell r="E917" t="str">
            <v>Обдувний апарат 22 КН</v>
          </cell>
        </row>
        <row r="918">
          <cell r="B918" t="str">
            <v>7HCB23AA101YB01</v>
          </cell>
          <cell r="E918" t="str">
            <v>Обдувний апарат 23 КВ</v>
          </cell>
        </row>
        <row r="919">
          <cell r="B919" t="str">
            <v>7HCB23AA101YB02</v>
          </cell>
          <cell r="E919" t="str">
            <v>Обдувний апарат 23 КН</v>
          </cell>
        </row>
        <row r="920">
          <cell r="B920" t="str">
            <v>7HCB24AA101YB01</v>
          </cell>
          <cell r="E920" t="str">
            <v>Обдувний апарат 24 КВ</v>
          </cell>
        </row>
        <row r="921">
          <cell r="B921" t="str">
            <v>7HCB24AA101YB02</v>
          </cell>
          <cell r="E921" t="str">
            <v>Обдувний апарат 24 КН</v>
          </cell>
        </row>
        <row r="922">
          <cell r="B922" t="str">
            <v>7HCB13AA101YB01</v>
          </cell>
          <cell r="E922" t="str">
            <v>Обдувний апарат 13 КВ</v>
          </cell>
        </row>
        <row r="923">
          <cell r="B923" t="str">
            <v>7HCB13AA101YB02</v>
          </cell>
          <cell r="E923" t="str">
            <v>Обдувний апарат 13 КН</v>
          </cell>
        </row>
        <row r="924">
          <cell r="B924" t="str">
            <v>7HCB14AA101YB01</v>
          </cell>
          <cell r="E924" t="str">
            <v>Обдувний апарат 14 КВ</v>
          </cell>
        </row>
        <row r="925">
          <cell r="B925" t="str">
            <v>7HCB14AA101YB02</v>
          </cell>
          <cell r="E925" t="str">
            <v>Обдувний апарат 14 КН</v>
          </cell>
        </row>
        <row r="926">
          <cell r="B926" t="str">
            <v>7HCB15AA101YB01</v>
          </cell>
          <cell r="E926" t="str">
            <v>Обдувний апарат 15 КВ</v>
          </cell>
        </row>
        <row r="927">
          <cell r="B927" t="str">
            <v>7HCB15AA101YB02</v>
          </cell>
          <cell r="E927" t="str">
            <v>Обдувний апарат 15 КН</v>
          </cell>
        </row>
        <row r="928">
          <cell r="B928" t="str">
            <v>7HCB16AA101YB01</v>
          </cell>
          <cell r="E928" t="str">
            <v>Обдувний апарат 16 КВ</v>
          </cell>
        </row>
        <row r="929">
          <cell r="B929" t="str">
            <v>7HCB16AA101YB02</v>
          </cell>
          <cell r="E929" t="str">
            <v>Обдувний апарат 16 КН</v>
          </cell>
        </row>
        <row r="930">
          <cell r="B930" t="str">
            <v>7HCB17AA101YB01</v>
          </cell>
          <cell r="E930" t="str">
            <v>Обдувний апарат 17 КВ</v>
          </cell>
        </row>
        <row r="931">
          <cell r="B931" t="str">
            <v>7HCB17AA101YB02</v>
          </cell>
          <cell r="E931" t="str">
            <v>Обдувний апарат 17 КН</v>
          </cell>
        </row>
        <row r="932">
          <cell r="B932" t="str">
            <v>7HCB18AA101YB01</v>
          </cell>
          <cell r="E932" t="str">
            <v>Обдувний апарат 18 КВ</v>
          </cell>
        </row>
        <row r="933">
          <cell r="B933" t="str">
            <v>7HCB18AA101YB02</v>
          </cell>
          <cell r="E933" t="str">
            <v>Обдувний апарат 18 КН</v>
          </cell>
        </row>
        <row r="934">
          <cell r="B934" t="str">
            <v>7HCB19AA101YB01</v>
          </cell>
          <cell r="E934" t="str">
            <v>Обдувний апарат 19 КВ</v>
          </cell>
        </row>
        <row r="935">
          <cell r="B935" t="str">
            <v>7HCB19AA101YB02</v>
          </cell>
          <cell r="E935" t="str">
            <v>Обдувний апарат 19 КН</v>
          </cell>
        </row>
        <row r="936">
          <cell r="B936" t="str">
            <v>7HCB20AA101YB01</v>
          </cell>
          <cell r="E936" t="str">
            <v>Обдувний апарат 20 КВ</v>
          </cell>
        </row>
        <row r="937">
          <cell r="B937" t="str">
            <v>7HCB20AA101YB02</v>
          </cell>
          <cell r="E937" t="str">
            <v>Обдувний апарат 20 КН</v>
          </cell>
        </row>
        <row r="938">
          <cell r="B938" t="str">
            <v>7HCB23AA101XB06</v>
          </cell>
          <cell r="E938" t="str">
            <v>Обдувний апарат 23 НЖ</v>
          </cell>
        </row>
        <row r="939">
          <cell r="B939" t="str">
            <v>7HCB23AA101XB01</v>
          </cell>
          <cell r="E939" t="str">
            <v>Обдувний апарат 23 ВПЕРЕД</v>
          </cell>
        </row>
        <row r="940">
          <cell r="B940" t="str">
            <v>7HCB23AA101XB02</v>
          </cell>
          <cell r="E940" t="str">
            <v>Обдувний апарат 23 НАЗАД</v>
          </cell>
        </row>
        <row r="941">
          <cell r="B941" t="str">
            <v>7HCB24AA101XB06</v>
          </cell>
          <cell r="E941" t="str">
            <v>Обдувний апарат 24 НЖ</v>
          </cell>
        </row>
        <row r="942">
          <cell r="B942" t="str">
            <v>7HCB24AA101XB01</v>
          </cell>
          <cell r="E942" t="str">
            <v>Обдувний апарат 24 ВПЕРЕД</v>
          </cell>
        </row>
        <row r="943">
          <cell r="B943" t="str">
            <v>7HCB24AA101XB02</v>
          </cell>
          <cell r="E943" t="str">
            <v>Обдувний апарат 24 НАЗАД</v>
          </cell>
        </row>
        <row r="944">
          <cell r="B944" t="str">
            <v>7HCB18AA101XB06</v>
          </cell>
          <cell r="E944" t="str">
            <v>Обдувний апарат 18 НЖ</v>
          </cell>
        </row>
        <row r="945">
          <cell r="B945" t="str">
            <v>7HCB18AA101XB01</v>
          </cell>
          <cell r="E945" t="str">
            <v>Обдувний апарат 18 ВПЕРЕД</v>
          </cell>
        </row>
        <row r="946">
          <cell r="B946" t="str">
            <v>7HCB18AA101XB02</v>
          </cell>
          <cell r="E946" t="str">
            <v>Обдувний апарат 18 НАЗАД</v>
          </cell>
        </row>
        <row r="947">
          <cell r="B947" t="str">
            <v>7HCB19AA101XB06</v>
          </cell>
          <cell r="E947" t="str">
            <v>Обдувний апарат 19 НЖ</v>
          </cell>
        </row>
        <row r="948">
          <cell r="B948" t="str">
            <v>7HCB19AA101XB01</v>
          </cell>
          <cell r="E948" t="str">
            <v>Обдувний апарат 19 ВПЕРЕД</v>
          </cell>
        </row>
        <row r="949">
          <cell r="B949" t="str">
            <v>7HCB19AA101XB02</v>
          </cell>
          <cell r="E949" t="str">
            <v>Обдувний апарат 19 НАЗАД</v>
          </cell>
        </row>
        <row r="950">
          <cell r="B950" t="str">
            <v>7HCB20AA101XB06</v>
          </cell>
          <cell r="E950" t="str">
            <v>Обдувний апарат 20 НЖ</v>
          </cell>
        </row>
        <row r="951">
          <cell r="B951" t="str">
            <v>7HCB20AA101XB01</v>
          </cell>
          <cell r="E951" t="str">
            <v>Обдувний апарат 20 ВПЕРЕД</v>
          </cell>
        </row>
        <row r="952">
          <cell r="B952" t="str">
            <v>7HCB20AA101XB02</v>
          </cell>
          <cell r="E952" t="str">
            <v>Обдувний апарат 20 НАЗАД</v>
          </cell>
        </row>
        <row r="953">
          <cell r="B953" t="str">
            <v>7HCB21AA101XB06</v>
          </cell>
          <cell r="E953" t="str">
            <v>Обдувний апарат 21 НЖ</v>
          </cell>
        </row>
        <row r="954">
          <cell r="B954" t="str">
            <v>7HCB21AA101XB01</v>
          </cell>
          <cell r="E954" t="str">
            <v>Обдувний апарат 21 ВПЕРЕД</v>
          </cell>
        </row>
        <row r="955">
          <cell r="B955" t="str">
            <v>7HCB21AA101XB02</v>
          </cell>
          <cell r="E955" t="str">
            <v>Обдувний апарат 21 НАЗАД</v>
          </cell>
        </row>
        <row r="956">
          <cell r="B956" t="str">
            <v>7HCB22AA101XB06</v>
          </cell>
          <cell r="E956" t="str">
            <v>Обдувний апарат 22 НЖ</v>
          </cell>
        </row>
        <row r="957">
          <cell r="B957" t="str">
            <v>7HCB22AA101XB01</v>
          </cell>
          <cell r="E957" t="str">
            <v>Обдувний апарат 22 ВПЕРЕД</v>
          </cell>
        </row>
        <row r="958">
          <cell r="B958" t="str">
            <v>7HCB22AA101XB02</v>
          </cell>
          <cell r="E958" t="str">
            <v>Обдувний апарат 22 НАЗАД</v>
          </cell>
        </row>
        <row r="959">
          <cell r="B959" t="str">
            <v>7HCB13AA101XB06</v>
          </cell>
          <cell r="E959" t="str">
            <v>Обдувний апарат 13 НЖ</v>
          </cell>
        </row>
        <row r="960">
          <cell r="B960" t="str">
            <v>7HCB13AA101XB01</v>
          </cell>
          <cell r="E960" t="str">
            <v>Обдувний апарат 13 ВПЕРЕД</v>
          </cell>
        </row>
        <row r="961">
          <cell r="B961" t="str">
            <v>7HCB13AA101XB02</v>
          </cell>
          <cell r="E961" t="str">
            <v>Обдувний апарат 13 НАЗАД</v>
          </cell>
        </row>
        <row r="962">
          <cell r="B962" t="str">
            <v>7HCB14AA101XB06</v>
          </cell>
          <cell r="E962" t="str">
            <v>Обдувний апарат 14 НЖ</v>
          </cell>
        </row>
        <row r="963">
          <cell r="B963" t="str">
            <v>7HCB14AA101XB01</v>
          </cell>
          <cell r="E963" t="str">
            <v>Обдувний апарат 14 ВПЕРЕД</v>
          </cell>
        </row>
        <row r="964">
          <cell r="B964" t="str">
            <v>7HCB14AA101XB02</v>
          </cell>
          <cell r="E964" t="str">
            <v>Обдувний апарат 14 НАЗАД</v>
          </cell>
        </row>
        <row r="965">
          <cell r="B965" t="str">
            <v>7HCB15AA101XB06</v>
          </cell>
          <cell r="E965" t="str">
            <v>Обдувний апарат 15 НЖ</v>
          </cell>
        </row>
        <row r="966">
          <cell r="B966" t="str">
            <v>7HCB15AA101XB01</v>
          </cell>
          <cell r="E966" t="str">
            <v>Обдувний апарат 15 ВПЕРЕД</v>
          </cell>
        </row>
        <row r="967">
          <cell r="B967" t="str">
            <v>7HCB15AA101XB02</v>
          </cell>
          <cell r="E967" t="str">
            <v>Обдувний апарат 15 НАЗАД</v>
          </cell>
        </row>
        <row r="968">
          <cell r="B968" t="str">
            <v>7HCB16AA101XB06</v>
          </cell>
          <cell r="E968" t="str">
            <v>Обдувний апарат 16 НЖ</v>
          </cell>
        </row>
        <row r="969">
          <cell r="B969" t="str">
            <v>7HCB16AA101XB01</v>
          </cell>
          <cell r="E969" t="str">
            <v>Обдувний апарат 16 ВПЕРЕД</v>
          </cell>
        </row>
        <row r="970">
          <cell r="B970" t="str">
            <v>7HCB16AA101XB02</v>
          </cell>
          <cell r="E970" t="str">
            <v>Обдувний апарат 16 НАЗАД</v>
          </cell>
        </row>
        <row r="971">
          <cell r="B971" t="str">
            <v>7HCB17AA101XB06</v>
          </cell>
          <cell r="E971" t="str">
            <v>Обдувний апарат 17 НЖ</v>
          </cell>
        </row>
        <row r="972">
          <cell r="B972" t="str">
            <v>7HCB17AA101XB01</v>
          </cell>
          <cell r="E972" t="str">
            <v>Обдувний апарат 17 ВПЕРЕД</v>
          </cell>
        </row>
        <row r="973">
          <cell r="B973" t="str">
            <v>7HCB17AA101XB02</v>
          </cell>
          <cell r="E973" t="str">
            <v>Обдувний апарат 17 НАЗАД</v>
          </cell>
        </row>
        <row r="974">
          <cell r="B974" t="str">
            <v>7HFW11AN001XB01</v>
          </cell>
          <cell r="E974" t="str">
            <v>Вент ущ пов М-11-1 ВКЛ</v>
          </cell>
        </row>
        <row r="975">
          <cell r="B975" t="str">
            <v>7HFW11AN001XB02</v>
          </cell>
          <cell r="E975" t="str">
            <v>Вент ущ пов М-11-1 ВІДКЛ</v>
          </cell>
        </row>
        <row r="976">
          <cell r="B976" t="str">
            <v>7HFW11AN001XB47</v>
          </cell>
          <cell r="E976" t="str">
            <v>Вент ущ пов М-11-1 АК</v>
          </cell>
        </row>
        <row r="977">
          <cell r="B977" t="str">
            <v>7HFW11AN001XB03</v>
          </cell>
          <cell r="E977" t="str">
            <v>Вент ущ пов М-11-1 НЕСПРАВН</v>
          </cell>
        </row>
        <row r="978">
          <cell r="B978" t="str">
            <v>7HFW12AN001XB01</v>
          </cell>
          <cell r="E978" t="str">
            <v>Вент ущ пов М-11-2 ВКЛ</v>
          </cell>
        </row>
        <row r="979">
          <cell r="B979" t="str">
            <v>7HFW12AN001XB02</v>
          </cell>
          <cell r="E979" t="str">
            <v>Вент ущ пов М-11-2 ВІДКЛ</v>
          </cell>
        </row>
        <row r="980">
          <cell r="B980" t="str">
            <v>7HFW12AN001XB47</v>
          </cell>
          <cell r="E980" t="str">
            <v>Вент ущ пов М-11-2 АК</v>
          </cell>
        </row>
        <row r="981">
          <cell r="B981" t="str">
            <v>7HFW12AN001XB03</v>
          </cell>
          <cell r="E981" t="str">
            <v>Вент ущ пов М-11-2 НЕСПРАВН</v>
          </cell>
        </row>
        <row r="982">
          <cell r="B982" t="str">
            <v>7CHB00EY001XK03</v>
          </cell>
          <cell r="E982" t="str">
            <v>Роб захисту зупинки котла (Drop 1)</v>
          </cell>
        </row>
        <row r="983">
          <cell r="B983" t="str">
            <v>7CHL00EY001XK03</v>
          </cell>
          <cell r="E983" t="str">
            <v>Роб захисту зупинки блоку (Drop 4)</v>
          </cell>
        </row>
        <row r="984">
          <cell r="B984" t="str">
            <v>7HFW13AN001XB01</v>
          </cell>
          <cell r="E984" t="str">
            <v>Вент ущ пов М-11-3 ВКЛ</v>
          </cell>
        </row>
        <row r="985">
          <cell r="B985" t="str">
            <v>7HFW13AN001XB02</v>
          </cell>
          <cell r="E985" t="str">
            <v>Вент ущ пов М-11-3 ВІДКЛ</v>
          </cell>
        </row>
        <row r="986">
          <cell r="B986" t="str">
            <v>7HFW13AN001XB47</v>
          </cell>
          <cell r="E986" t="str">
            <v>Вент ущ пов М-11-3 АК</v>
          </cell>
        </row>
        <row r="987">
          <cell r="B987" t="str">
            <v>7HFW13AN001XB03</v>
          </cell>
          <cell r="E987" t="str">
            <v>Вент ущ пов М-11-3 НЕСПРАВН</v>
          </cell>
        </row>
        <row r="988">
          <cell r="B988" t="str">
            <v>7HDA20AP001XB01</v>
          </cell>
          <cell r="E988" t="str">
            <v>Шлам.нас. багерної ШН-6</v>
          </cell>
        </row>
        <row r="989">
          <cell r="B989" t="str">
            <v>7HDA30AP001XB01</v>
          </cell>
          <cell r="E989" t="str">
            <v>Багерний нас БН-6</v>
          </cell>
        </row>
        <row r="990">
          <cell r="B990" t="str">
            <v>7HDA30CL001XB07</v>
          </cell>
          <cell r="E990" t="str">
            <v>Н баг-ної чи нема ~220В авт-ки</v>
          </cell>
        </row>
        <row r="991">
          <cell r="B991" t="str">
            <v>7HFW11AN001YB01</v>
          </cell>
          <cell r="E991" t="str">
            <v>Вент ущ пов М-11-1 ВКЛ</v>
          </cell>
        </row>
        <row r="992">
          <cell r="B992" t="str">
            <v>7HFW11AN001YB02</v>
          </cell>
          <cell r="E992" t="str">
            <v>Вент ущ пов М-11-1 ВІДКЛ</v>
          </cell>
        </row>
        <row r="993">
          <cell r="B993" t="str">
            <v>7HFW12AN001YB01</v>
          </cell>
          <cell r="E993" t="str">
            <v>Вент ущ пов М-11-2 ВКЛ</v>
          </cell>
        </row>
        <row r="994">
          <cell r="B994" t="str">
            <v>7HFW12AN001YB02</v>
          </cell>
          <cell r="E994" t="str">
            <v>Вент ущ пов М-11-2 ВІДКЛ</v>
          </cell>
        </row>
        <row r="995">
          <cell r="B995" t="str">
            <v>7HFW13AN001YB01</v>
          </cell>
          <cell r="E995" t="str">
            <v>Вент ущ пов М-11-3 ВКЛ</v>
          </cell>
        </row>
        <row r="996">
          <cell r="B996" t="str">
            <v>7HFW13AN001YB02</v>
          </cell>
          <cell r="E996" t="str">
            <v>Вент ущ пов М-11-3 ВІДКЛ</v>
          </cell>
        </row>
        <row r="997">
          <cell r="B997" t="str">
            <v>7HFW14AN001YB01</v>
          </cell>
          <cell r="E997" t="str">
            <v>Вент ущ пов М-11-4 ВКЛ</v>
          </cell>
        </row>
        <row r="998">
          <cell r="B998" t="str">
            <v>7HFW14AN001YB02</v>
          </cell>
          <cell r="E998" t="str">
            <v>Вент ущ пов М-11-4 ВІДКЛ</v>
          </cell>
        </row>
        <row r="999">
          <cell r="B999" t="str">
            <v>7HFW15AN001YB01</v>
          </cell>
          <cell r="E999" t="str">
            <v>Вент ущ пов М-11-5 ВКЛ</v>
          </cell>
        </row>
        <row r="1000">
          <cell r="B1000" t="str">
            <v>7HFW15AN001YB02</v>
          </cell>
          <cell r="E1000" t="str">
            <v>Вент ущ пов М-11-5 ВІДКЛ</v>
          </cell>
        </row>
        <row r="1001">
          <cell r="B1001" t="str">
            <v>7HFW16AN001YB01</v>
          </cell>
          <cell r="E1001" t="str">
            <v>Вент ущ пов М-11-6 ВКЛ</v>
          </cell>
        </row>
        <row r="1002">
          <cell r="B1002" t="str">
            <v>7HFW16AN001YB02</v>
          </cell>
          <cell r="E1002" t="str">
            <v>Вент ущ пов М-11-6 ВІДКЛ</v>
          </cell>
        </row>
        <row r="1003">
          <cell r="B1003" t="str">
            <v>7HFW16AN001XB01</v>
          </cell>
          <cell r="E1003" t="str">
            <v>Вент ущ пов М-11-6 ВКЛ</v>
          </cell>
        </row>
        <row r="1004">
          <cell r="B1004" t="str">
            <v>7HFW16AN001XB02</v>
          </cell>
          <cell r="E1004" t="str">
            <v>Вент ущ пов М-11-6 ВІДКЛ</v>
          </cell>
        </row>
        <row r="1005">
          <cell r="B1005" t="str">
            <v>7HFW16AN001XB47</v>
          </cell>
          <cell r="E1005" t="str">
            <v>Вент ущ пов М-11-6 АК</v>
          </cell>
        </row>
        <row r="1006">
          <cell r="B1006" t="str">
            <v>7HFW16AN001XB03</v>
          </cell>
          <cell r="E1006" t="str">
            <v>Вент ущ пов М-11-6 НЕСПРАВН</v>
          </cell>
        </row>
        <row r="1007">
          <cell r="B1007" t="str">
            <v>7HBK10CQ001XB07</v>
          </cell>
          <cell r="E1007" t="str">
            <v>Загазованість на котлі (п 1)</v>
          </cell>
        </row>
        <row r="1008">
          <cell r="B1008" t="str">
            <v>7HBK10CQ002XB07</v>
          </cell>
          <cell r="E1008" t="str">
            <v>Загаз. на котлі (п 2 аварія)</v>
          </cell>
        </row>
        <row r="1009">
          <cell r="B1009" t="str">
            <v>7HBK10CQ003XB07</v>
          </cell>
          <cell r="E1009" t="str">
            <v>Загаз. на котлі (несправність)</v>
          </cell>
        </row>
        <row r="1010">
          <cell r="B1010" t="str">
            <v>7HFW14AN001XB01</v>
          </cell>
          <cell r="E1010" t="str">
            <v>Вент ущ пов М-11-4 ВКЛ</v>
          </cell>
        </row>
        <row r="1011">
          <cell r="B1011" t="str">
            <v>7HFW14AN001XB02</v>
          </cell>
          <cell r="E1011" t="str">
            <v>Вент ущ пов М-11-4 ВІДКЛ</v>
          </cell>
        </row>
        <row r="1012">
          <cell r="B1012" t="str">
            <v>7HFW14AN001XB47</v>
          </cell>
          <cell r="E1012" t="str">
            <v>Вент ущ пов М-11-4 АК</v>
          </cell>
        </row>
        <row r="1013">
          <cell r="B1013" t="str">
            <v>7HFW14AN001XB03</v>
          </cell>
          <cell r="E1013" t="str">
            <v>Вент ущ пов М-11-4 НЕСПРАВН</v>
          </cell>
        </row>
        <row r="1014">
          <cell r="B1014" t="str">
            <v>7HFW15AN001XB01</v>
          </cell>
          <cell r="E1014" t="str">
            <v>Вент ущ пов М-11-5 ВКЛ</v>
          </cell>
        </row>
        <row r="1015">
          <cell r="B1015" t="str">
            <v>7HFW15AN001XB02</v>
          </cell>
          <cell r="E1015" t="str">
            <v>Вент ущ пов М-11-5 ВІДКЛ</v>
          </cell>
        </row>
        <row r="1016">
          <cell r="B1016" t="str">
            <v>7HFW15AN001XB47</v>
          </cell>
          <cell r="E1016" t="str">
            <v>Вент ущ пов М-11-5 АК</v>
          </cell>
        </row>
        <row r="1017">
          <cell r="B1017" t="str">
            <v>7HFW15AN001XB03</v>
          </cell>
          <cell r="E1017" t="str">
            <v>Вент ущ пов М-11-5 НЕСПРАВН</v>
          </cell>
        </row>
        <row r="1018">
          <cell r="B1018" t="str">
            <v>7ADA10CS901XB03A</v>
          </cell>
          <cell r="E1018" t="str">
            <v>Асинхр реж ген-ра сигн 1</v>
          </cell>
        </row>
        <row r="1019">
          <cell r="B1019" t="str">
            <v>7ADA10CS901XB04A</v>
          </cell>
          <cell r="E1019" t="str">
            <v>Вн пошк блоку ген-транс сигн 1</v>
          </cell>
        </row>
        <row r="1020">
          <cell r="B1020" t="str">
            <v>7ADA10CS901XB01</v>
          </cell>
          <cell r="E1020" t="str">
            <v>Генератор (ПВ ~220 кв) вкл.</v>
          </cell>
        </row>
        <row r="1021">
          <cell r="B1021" t="str">
            <v>7ADA10CS901XB02</v>
          </cell>
          <cell r="E1021" t="str">
            <v>Генератор (ПВ ~220 кв) відкл.</v>
          </cell>
        </row>
        <row r="1022">
          <cell r="B1022" t="str">
            <v>7MAB01CG901XG01</v>
          </cell>
          <cell r="E1022" t="str">
            <v>СК нитка А ПП відкр</v>
          </cell>
        </row>
        <row r="1023">
          <cell r="B1023" t="str">
            <v>7MAB01CG901XG02</v>
          </cell>
          <cell r="E1023" t="str">
            <v>СК нитка А ПП закр</v>
          </cell>
        </row>
        <row r="1024">
          <cell r="B1024" t="str">
            <v>7MAL25CL001XG01</v>
          </cell>
          <cell r="E1024" t="str">
            <v xml:space="preserve">L оливи в ДБ низьк I гр РУ1 </v>
          </cell>
        </row>
        <row r="1025">
          <cell r="B1025" t="str">
            <v>7MAL25CL002XG01</v>
          </cell>
          <cell r="E1025" t="str">
            <v>L оливи в ДБ авар II гр РУ2</v>
          </cell>
        </row>
        <row r="1026">
          <cell r="B1026" t="str">
            <v>7CWR01CN003XK06</v>
          </cell>
          <cell r="E1026" t="str">
            <v>АПК ключ зупинки турбіни введ</v>
          </cell>
        </row>
        <row r="1027">
          <cell r="B1027" t="str">
            <v>7CWR01CN001XK06</v>
          </cell>
          <cell r="E1027" t="str">
            <v>АПК ключ зупинки блоку введ</v>
          </cell>
        </row>
        <row r="1028">
          <cell r="B1028" t="str">
            <v>7CWR01CN005XK06</v>
          </cell>
          <cell r="E1028" t="str">
            <v>АПК ключ пожежа введ</v>
          </cell>
        </row>
        <row r="1029">
          <cell r="B1029" t="str">
            <v>7CWR01CN011XK06</v>
          </cell>
          <cell r="E1029" t="str">
            <v>АПК ключ відкл ЖЕН введ</v>
          </cell>
        </row>
        <row r="1030">
          <cell r="B1030" t="str">
            <v>7CWR01CN004XK06</v>
          </cell>
          <cell r="E1030" t="str">
            <v>АПК ключ відкл ПВТ введ</v>
          </cell>
        </row>
        <row r="1031">
          <cell r="B1031" t="str">
            <v>7CWR01CN002XK04A</v>
          </cell>
          <cell r="E1031" t="str">
            <v>АПК ключ зупинки котла Drop 1</v>
          </cell>
        </row>
        <row r="1032">
          <cell r="B1032" t="str">
            <v>7CHB00EY001XK04A</v>
          </cell>
          <cell r="E1032" t="str">
            <v>Роб захисту зупинки котла Drop 1</v>
          </cell>
        </row>
        <row r="1033">
          <cell r="B1033" t="str">
            <v>7MAD01CY103EZ01</v>
          </cell>
          <cell r="E1033" t="str">
            <v>ОЗР захист к.1</v>
          </cell>
        </row>
        <row r="1034">
          <cell r="B1034" t="str">
            <v>7MAD01CY102EH01</v>
          </cell>
          <cell r="E1034" t="str">
            <v>ОЗР сигналізація попереджувальна</v>
          </cell>
        </row>
        <row r="1035">
          <cell r="B1035" t="str">
            <v>7MAD01CY104EH01</v>
          </cell>
          <cell r="E1035" t="str">
            <v>Вбр підш 4,5</v>
          </cell>
        </row>
        <row r="1036">
          <cell r="B1036" t="str">
            <v>7MAD01CY105EH02</v>
          </cell>
          <cell r="E1036" t="str">
            <v>Вбр підш 7,1</v>
          </cell>
        </row>
        <row r="1037">
          <cell r="B1037" t="str">
            <v>7MAD01CY106EH03</v>
          </cell>
          <cell r="E1037" t="str">
            <v>Вбр підш 11,2</v>
          </cell>
        </row>
        <row r="1038">
          <cell r="B1038" t="str">
            <v>7MAD01CY100EH01</v>
          </cell>
          <cell r="E1038" t="str">
            <v>Неспр стійки СКМВТ</v>
          </cell>
        </row>
        <row r="1039">
          <cell r="B1039" t="str">
            <v>7MAD01CY100EH02</v>
          </cell>
          <cell r="E1039" t="str">
            <v>Живл СКМВТ вх 1</v>
          </cell>
        </row>
        <row r="1040">
          <cell r="B1040" t="str">
            <v>7MAD01CY100EH03</v>
          </cell>
          <cell r="E1040" t="str">
            <v>Живл СКМВТ 24В</v>
          </cell>
        </row>
        <row r="1041">
          <cell r="B1041" t="str">
            <v>7LAD10AA101XB06</v>
          </cell>
          <cell r="E1041" t="str">
            <v>Вент ТЗ ПВТ №1 НЖ</v>
          </cell>
        </row>
        <row r="1042">
          <cell r="B1042" t="str">
            <v>7LAD10AA101XB10</v>
          </cell>
          <cell r="E1042" t="str">
            <v>Вент ТЗ ПВТ №1 ШТ</v>
          </cell>
        </row>
        <row r="1043">
          <cell r="B1043" t="str">
            <v>7LAD10AA101XB51</v>
          </cell>
          <cell r="E1043" t="str">
            <v>Вент ТЗ ПВТ №1 НВ</v>
          </cell>
        </row>
        <row r="1044">
          <cell r="B1044" t="str">
            <v>7LAD10AA101XB52</v>
          </cell>
          <cell r="E1044" t="str">
            <v>Вент ТЗ ПВТ №1 НЗ</v>
          </cell>
        </row>
        <row r="1045">
          <cell r="B1045" t="str">
            <v>7LBA10AA101XB06</v>
          </cell>
          <cell r="E1045" t="str">
            <v>ГПЗ–А НЖ</v>
          </cell>
        </row>
        <row r="1046">
          <cell r="B1046" t="str">
            <v>7LBA10AA101XB10</v>
          </cell>
          <cell r="E1046" t="str">
            <v>ГПЗ–А ШТ</v>
          </cell>
        </row>
        <row r="1047">
          <cell r="B1047" t="str">
            <v>7LBA10AA101XB51</v>
          </cell>
          <cell r="E1047" t="str">
            <v>ГПЗ–А НВ</v>
          </cell>
        </row>
        <row r="1048">
          <cell r="B1048" t="str">
            <v>7LBA10AA101XB52</v>
          </cell>
          <cell r="E1048" t="str">
            <v>ГПЗ–А НЗ</v>
          </cell>
        </row>
        <row r="1049">
          <cell r="B1049" t="str">
            <v>7LBA20AA101XB06</v>
          </cell>
          <cell r="E1049" t="str">
            <v>ГПЗ–Б НЖ</v>
          </cell>
        </row>
        <row r="1050">
          <cell r="B1050" t="str">
            <v>7LBA20AA101XB10</v>
          </cell>
          <cell r="E1050" t="str">
            <v>ГПЗ–Б ШТ</v>
          </cell>
        </row>
        <row r="1051">
          <cell r="B1051" t="str">
            <v>7LBA20AA101XB51</v>
          </cell>
          <cell r="E1051" t="str">
            <v>ГПЗ–Б НВ</v>
          </cell>
        </row>
        <row r="1052">
          <cell r="B1052" t="str">
            <v>7LBA20AA101XB52</v>
          </cell>
          <cell r="E1052" t="str">
            <v>ГПЗ–Б НЗ</v>
          </cell>
        </row>
        <row r="1053">
          <cell r="B1053" t="str">
            <v>7LBA50AA101XB06</v>
          </cell>
          <cell r="E1053" t="str">
            <v>З-ка cкид ГП в ХПП №1 НЖ</v>
          </cell>
        </row>
        <row r="1054">
          <cell r="B1054" t="str">
            <v>7LBA50AA101XB10</v>
          </cell>
          <cell r="E1054" t="str">
            <v>З-ка cкид ГП в ХПП №1 ШТ</v>
          </cell>
        </row>
        <row r="1055">
          <cell r="B1055" t="str">
            <v>7LBA50AA101XB51</v>
          </cell>
          <cell r="E1055" t="str">
            <v>З-ка cкид ГП в ХПП №1 НВ</v>
          </cell>
        </row>
        <row r="1056">
          <cell r="B1056" t="str">
            <v>7LBA50AA101XB52</v>
          </cell>
          <cell r="E1056" t="str">
            <v>З-ка cкид ГП в ХПП №1 НЗ</v>
          </cell>
        </row>
        <row r="1057">
          <cell r="B1057" t="str">
            <v>7LBA60AA101XB06</v>
          </cell>
          <cell r="E1057" t="str">
            <v>З-ка cкид ГП в ХПП №2 НЖ</v>
          </cell>
        </row>
        <row r="1058">
          <cell r="B1058" t="str">
            <v>7LBA60AA101XB10</v>
          </cell>
          <cell r="E1058" t="str">
            <v>З-ка cкид ГП в ХПП №2 ШТ</v>
          </cell>
        </row>
        <row r="1059">
          <cell r="B1059" t="str">
            <v>7LBA60AA101XB51</v>
          </cell>
          <cell r="E1059" t="str">
            <v>З-ка cкид ГП в ХПП №2 НВ</v>
          </cell>
        </row>
        <row r="1060">
          <cell r="B1060" t="str">
            <v>7LBA60AA101XB52</v>
          </cell>
          <cell r="E1060" t="str">
            <v>З-ка cкид ГП в ХПП №2 НЗ</v>
          </cell>
        </row>
        <row r="1061">
          <cell r="B1061" t="str">
            <v>7LBQ80AA101XB06</v>
          </cell>
          <cell r="E1061" t="str">
            <v>З-ка 1 відб на ПВТ-8 НЖ</v>
          </cell>
        </row>
        <row r="1062">
          <cell r="B1062" t="str">
            <v>7LBQ80AA101XB10</v>
          </cell>
          <cell r="E1062" t="str">
            <v>З-ка 1 відб на ПВТ-8 ШТ</v>
          </cell>
        </row>
        <row r="1063">
          <cell r="B1063" t="str">
            <v>7LBQ80AA101XB51</v>
          </cell>
          <cell r="E1063" t="str">
            <v>З-ка 1 відб на ПВТ-8 НВ</v>
          </cell>
        </row>
        <row r="1064">
          <cell r="B1064" t="str">
            <v>7LBQ80AA101XB52</v>
          </cell>
          <cell r="E1064" t="str">
            <v>З-ка 1 відб на ПВТ-8 НЗ</v>
          </cell>
        </row>
        <row r="1065">
          <cell r="B1065" t="str">
            <v>7LBQ70AA101XB06</v>
          </cell>
          <cell r="E1065" t="str">
            <v>З-ка 2 відб на ПВТ-7 НЖ</v>
          </cell>
        </row>
        <row r="1066">
          <cell r="B1066" t="str">
            <v>7LBQ70AA101XB10</v>
          </cell>
          <cell r="E1066" t="str">
            <v>З-ка 2 відб на ПВТ-7 ШТ</v>
          </cell>
        </row>
        <row r="1067">
          <cell r="B1067" t="str">
            <v>7LBQ70AA101XB51</v>
          </cell>
          <cell r="E1067" t="str">
            <v>З-ка 2 відб на ПВТ-7 НВ</v>
          </cell>
        </row>
        <row r="1068">
          <cell r="B1068" t="str">
            <v>7LBQ70AA101XB52</v>
          </cell>
          <cell r="E1068" t="str">
            <v>З-ка 2 відб на ПВТ-7 НЗ</v>
          </cell>
        </row>
        <row r="1069">
          <cell r="B1069" t="str">
            <v>7LBQ60AA101XB06</v>
          </cell>
          <cell r="E1069" t="str">
            <v>З-ка 3 відб на ПВТ-6 НЖ</v>
          </cell>
        </row>
        <row r="1070">
          <cell r="B1070" t="str">
            <v>7LBQ60AA101XB10</v>
          </cell>
          <cell r="E1070" t="str">
            <v>З-ка 3 відб на ПВТ-6 ШТ</v>
          </cell>
        </row>
        <row r="1071">
          <cell r="B1071" t="str">
            <v>7LBQ60AA101XB51</v>
          </cell>
          <cell r="E1071" t="str">
            <v>З-ка 3 відб на ПВТ-6 НВ</v>
          </cell>
        </row>
        <row r="1072">
          <cell r="B1072" t="str">
            <v>7LBQ60AA101XB52</v>
          </cell>
          <cell r="E1072" t="str">
            <v>З-ка 3 відб на ПВТ-6 НЗ</v>
          </cell>
        </row>
        <row r="1073">
          <cell r="B1073" t="str">
            <v>7LBA10AA102XB06</v>
          </cell>
          <cell r="E1073" t="str">
            <v>З-ка байпас ГПЗ-А 1 НЖ</v>
          </cell>
        </row>
        <row r="1074">
          <cell r="B1074" t="str">
            <v>7LBA10AA102XB10</v>
          </cell>
          <cell r="E1074" t="str">
            <v>З-ка байпас ГПЗ-А 1 ШТ</v>
          </cell>
        </row>
        <row r="1075">
          <cell r="B1075" t="str">
            <v>7LBA10AA102XB51</v>
          </cell>
          <cell r="E1075" t="str">
            <v>З-ка байпас ГПЗ-А 1 НВ</v>
          </cell>
        </row>
        <row r="1076">
          <cell r="B1076" t="str">
            <v>7LBA10AA102XB52</v>
          </cell>
          <cell r="E1076" t="str">
            <v>З-ка байпас ГПЗ-А 1 НЗ</v>
          </cell>
        </row>
        <row r="1077">
          <cell r="B1077" t="str">
            <v>7LAB10AA101XB06</v>
          </cell>
          <cell r="E1077" t="str">
            <v>З-ка вхід в ПВТ НЖ</v>
          </cell>
        </row>
        <row r="1078">
          <cell r="B1078" t="str">
            <v>7LAB10AA101XB10</v>
          </cell>
          <cell r="E1078" t="str">
            <v>З-ка вхід в ПВТ ШТ</v>
          </cell>
        </row>
        <row r="1079">
          <cell r="B1079" t="str">
            <v>7LAB10AA101XB51</v>
          </cell>
          <cell r="E1079" t="str">
            <v>З-ка вхід в ПВТ НВ</v>
          </cell>
        </row>
        <row r="1080">
          <cell r="B1080" t="str">
            <v>7LAB10AA101XB52</v>
          </cell>
          <cell r="E1080" t="str">
            <v>З-ка вхід в ПВТ НЗ</v>
          </cell>
        </row>
        <row r="1081">
          <cell r="B1081" t="str">
            <v>7LAB10AA102XB06</v>
          </cell>
          <cell r="E1081" t="str">
            <v>З-ка вихід в ПВТ НЖ</v>
          </cell>
        </row>
        <row r="1082">
          <cell r="B1082" t="str">
            <v>7LAB10AA102XB10</v>
          </cell>
          <cell r="E1082" t="str">
            <v>З-ка вихід в ПВТ ШТ</v>
          </cell>
        </row>
        <row r="1083">
          <cell r="B1083" t="str">
            <v>7LAB10AA102XB51</v>
          </cell>
          <cell r="E1083" t="str">
            <v>З-ка вихід в ПВТ НВ</v>
          </cell>
        </row>
        <row r="1084">
          <cell r="B1084" t="str">
            <v>7LAB10AA102XB52</v>
          </cell>
          <cell r="E1084" t="str">
            <v>З-ка вихід в ПВТ НЗ</v>
          </cell>
        </row>
        <row r="1085">
          <cell r="B1085" t="str">
            <v>7LAB10AA103XB06</v>
          </cell>
          <cell r="E1085" t="str">
            <v>З-ка байпас ПВТ НЖ</v>
          </cell>
        </row>
        <row r="1086">
          <cell r="B1086" t="str">
            <v>7LAB10AA103XB10</v>
          </cell>
          <cell r="E1086" t="str">
            <v>З-ка байпас ПВТ ШТ</v>
          </cell>
        </row>
        <row r="1087">
          <cell r="B1087" t="str">
            <v>7LAB10AA103XB51</v>
          </cell>
          <cell r="E1087" t="str">
            <v>З-ка байпас ПВТ НВ</v>
          </cell>
        </row>
        <row r="1088">
          <cell r="B1088" t="str">
            <v>7LAB10AA103XB52</v>
          </cell>
          <cell r="E1088" t="str">
            <v>З-ка байпас ПВТ НЗ</v>
          </cell>
        </row>
        <row r="1089">
          <cell r="B1089" t="str">
            <v>7LBA10AA103XB06</v>
          </cell>
          <cell r="E1089" t="str">
            <v>З-ка байпас ГПЗ-А2 НЖ</v>
          </cell>
        </row>
        <row r="1090">
          <cell r="B1090" t="str">
            <v>7LBA10AA103XB10</v>
          </cell>
          <cell r="E1090" t="str">
            <v>З-ка байпас ГПЗ-А2 ШТ</v>
          </cell>
        </row>
        <row r="1091">
          <cell r="B1091" t="str">
            <v>7LBA10AA103XB51</v>
          </cell>
          <cell r="E1091" t="str">
            <v>З-ка байпас ГПЗ-А2 НВ</v>
          </cell>
        </row>
        <row r="1092">
          <cell r="B1092" t="str">
            <v>7LBA10AA103XB52</v>
          </cell>
          <cell r="E1092" t="str">
            <v>З-ка байпас ГПЗ-А2 НЗ</v>
          </cell>
        </row>
        <row r="1093">
          <cell r="B1093" t="str">
            <v>7LBA10AA101YB01</v>
          </cell>
          <cell r="E1093" t="str">
            <v>ГПЗ–А КВ</v>
          </cell>
        </row>
        <row r="1094">
          <cell r="B1094" t="str">
            <v>7LBA10AA101YB02</v>
          </cell>
          <cell r="E1094" t="str">
            <v>ГПЗ–А КЗ</v>
          </cell>
        </row>
        <row r="1095">
          <cell r="B1095" t="str">
            <v>7LBA20AA101YB01</v>
          </cell>
          <cell r="E1095" t="str">
            <v>ГПЗ–Б КВ</v>
          </cell>
        </row>
        <row r="1096">
          <cell r="B1096" t="str">
            <v>7LBA20AA101YB02</v>
          </cell>
          <cell r="E1096" t="str">
            <v>ГПЗ–Б КЗ</v>
          </cell>
        </row>
        <row r="1097">
          <cell r="B1097" t="str">
            <v>7LBA50AA101YB01</v>
          </cell>
          <cell r="E1097" t="str">
            <v>З-ка cкид ГП в ХПП №1 КВ</v>
          </cell>
        </row>
        <row r="1098">
          <cell r="B1098" t="str">
            <v>7LBA50AA101YB02</v>
          </cell>
          <cell r="E1098" t="str">
            <v>З-ка cкид ГП в ХПП №1 КЗ</v>
          </cell>
        </row>
        <row r="1099">
          <cell r="B1099" t="str">
            <v>7LBA60AA101YB01</v>
          </cell>
          <cell r="E1099" t="str">
            <v>З-ка cкид ГП в ХПП №2 КВ</v>
          </cell>
        </row>
        <row r="1100">
          <cell r="B1100" t="str">
            <v>7LBA60AA101YB02</v>
          </cell>
          <cell r="E1100" t="str">
            <v>З-ка cкид ГП в ХПП №2 КЗ</v>
          </cell>
        </row>
        <row r="1101">
          <cell r="B1101" t="str">
            <v>7LBQ80AA101YB01</v>
          </cell>
          <cell r="E1101" t="str">
            <v>З-ка 1 відб на ПВТ-8 КВ</v>
          </cell>
        </row>
        <row r="1102">
          <cell r="B1102" t="str">
            <v>7LBQ80AA101YB02</v>
          </cell>
          <cell r="E1102" t="str">
            <v>З-ка 1 відб на ПВТ-8 КЗ</v>
          </cell>
        </row>
        <row r="1103">
          <cell r="B1103" t="str">
            <v>7LBQ70AA101YB01</v>
          </cell>
          <cell r="E1103" t="str">
            <v>З-ка 2 відб на ПВТ-7 КВ</v>
          </cell>
        </row>
        <row r="1104">
          <cell r="B1104" t="str">
            <v>7LBQ70AA101YB02</v>
          </cell>
          <cell r="E1104" t="str">
            <v>З-ка 2 відб на ПВТ-7 КЗ</v>
          </cell>
        </row>
        <row r="1105">
          <cell r="B1105" t="str">
            <v>7LBQ60AA101YB01</v>
          </cell>
          <cell r="E1105" t="str">
            <v>З-ка 3 відб на ПВТ-6 КВ</v>
          </cell>
        </row>
        <row r="1106">
          <cell r="B1106" t="str">
            <v>7LBQ60AA101YB02</v>
          </cell>
          <cell r="E1106" t="str">
            <v>З-ка 3 відб на ПВТ-6 КЗ</v>
          </cell>
        </row>
        <row r="1107">
          <cell r="B1107" t="str">
            <v>7LAD10AA101YB01</v>
          </cell>
          <cell r="E1107" t="str">
            <v>Вент ТЗ ПВТ №1 КВ</v>
          </cell>
        </row>
        <row r="1108">
          <cell r="B1108" t="str">
            <v>7LAD10AA101YB02</v>
          </cell>
          <cell r="E1108" t="str">
            <v>Вент ТЗ ПВТ №1 КЗ</v>
          </cell>
        </row>
        <row r="1109">
          <cell r="B1109" t="str">
            <v>7LAB10AA101YB01</v>
          </cell>
          <cell r="E1109" t="str">
            <v>З-ка вхід в ПВТ КВ</v>
          </cell>
        </row>
        <row r="1110">
          <cell r="B1110" t="str">
            <v>7LAB10AA101YB02A</v>
          </cell>
          <cell r="E1110" t="str">
            <v>З-ка вхід в ПВТ КЗ</v>
          </cell>
        </row>
        <row r="1111">
          <cell r="B1111" t="str">
            <v>7LAB10AA102YB01</v>
          </cell>
          <cell r="E1111" t="str">
            <v>З-ка вихід в ПВТ КВ</v>
          </cell>
        </row>
        <row r="1112">
          <cell r="B1112" t="str">
            <v>7LAB10AA102YB02A</v>
          </cell>
          <cell r="E1112" t="str">
            <v>З-ка вихід в ПВТ КЗ</v>
          </cell>
        </row>
        <row r="1113">
          <cell r="B1113" t="str">
            <v>7LAB10AA103YB01A</v>
          </cell>
          <cell r="E1113" t="str">
            <v>З-ка байпас ПВТ КВ</v>
          </cell>
        </row>
        <row r="1114">
          <cell r="B1114" t="str">
            <v>7LAB10AA103YB02</v>
          </cell>
          <cell r="E1114" t="str">
            <v>З-ка байпас ПВТ КЗ</v>
          </cell>
        </row>
        <row r="1115">
          <cell r="B1115" t="str">
            <v>7LBA10AA102YB01</v>
          </cell>
          <cell r="E1115" t="str">
            <v>З-ка байпас ГПЗ-А1 КВ</v>
          </cell>
        </row>
        <row r="1116">
          <cell r="B1116" t="str">
            <v>7LBA10AA102YB02</v>
          </cell>
          <cell r="E1116" t="str">
            <v>З-ка байпас ГПЗ-А1 КЗ</v>
          </cell>
        </row>
        <row r="1117">
          <cell r="B1117" t="str">
            <v>7LBA10AA103YB01</v>
          </cell>
          <cell r="E1117" t="str">
            <v>З-ка байпас ГПЗ-А2 КВ</v>
          </cell>
        </row>
        <row r="1118">
          <cell r="B1118" t="str">
            <v>7LBA10AA103YB02</v>
          </cell>
          <cell r="E1118" t="str">
            <v>З-ка байпас ГПЗ-А2 КЗ</v>
          </cell>
        </row>
        <row r="1119">
          <cell r="B1119" t="str">
            <v>7ADA10CS901YB02A</v>
          </cell>
          <cell r="E1119" t="str">
            <v>Ком відключити ПВ генератора</v>
          </cell>
        </row>
        <row r="1120">
          <cell r="B1120" t="str">
            <v>7LAC11AA101YB01</v>
          </cell>
          <cell r="E1120" t="str">
            <v>З-ка напір ЖЕН-7А КВ</v>
          </cell>
        </row>
        <row r="1121">
          <cell r="B1121" t="str">
            <v>7LAC11AA101YB02</v>
          </cell>
          <cell r="E1121" t="str">
            <v>З-ка напір ЖЕН-7А КЗ</v>
          </cell>
        </row>
        <row r="1122">
          <cell r="B1122" t="str">
            <v>7LAC11AA101YB03</v>
          </cell>
          <cell r="E1122" t="str">
            <v>З-ка напір ЖЕН-7А МК</v>
          </cell>
        </row>
        <row r="1123">
          <cell r="B1123" t="str">
            <v>7LAC12AA101YB01</v>
          </cell>
          <cell r="E1123" t="str">
            <v>З-ка напір ЖЕН-7Б КВ</v>
          </cell>
        </row>
        <row r="1124">
          <cell r="B1124" t="str">
            <v>7LAC12AA101YB02</v>
          </cell>
          <cell r="E1124" t="str">
            <v>З-ка напір ЖЕН-7Б КЗ</v>
          </cell>
        </row>
        <row r="1125">
          <cell r="B1125" t="str">
            <v>7LAC12AA101YB03</v>
          </cell>
          <cell r="E1125" t="str">
            <v>З-ка напір ЖЕН-7Б МК</v>
          </cell>
        </row>
        <row r="1126">
          <cell r="B1126" t="str">
            <v>7LAC11AA102YB01</v>
          </cell>
          <cell r="E1126" t="str">
            <v>З-ка рец.ЖЕН-7А КВ</v>
          </cell>
        </row>
        <row r="1127">
          <cell r="B1127" t="str">
            <v>7LAC11AA102YB02</v>
          </cell>
          <cell r="E1127" t="str">
            <v>З-ка рец.ЖЕН-7А КЗ</v>
          </cell>
        </row>
        <row r="1128">
          <cell r="B1128" t="str">
            <v>7LAC12AA102YB01</v>
          </cell>
          <cell r="E1128" t="str">
            <v>З-ка рец.ЖЕН-7Б КВ</v>
          </cell>
        </row>
        <row r="1129">
          <cell r="B1129" t="str">
            <v>7LAC12AA102YB02</v>
          </cell>
          <cell r="E1129" t="str">
            <v>З-ка рец.ЖЕН-7Б КЗ</v>
          </cell>
        </row>
        <row r="1130">
          <cell r="B1130" t="str">
            <v>7LBA20AA103YB01</v>
          </cell>
          <cell r="E1130" t="str">
            <v>З-ка байпас ГПЗ-Б2 КВ</v>
          </cell>
        </row>
        <row r="1131">
          <cell r="B1131" t="str">
            <v>7LBA20AA103YB02</v>
          </cell>
          <cell r="E1131" t="str">
            <v>З-ка байпас ГПЗ-Б2 КЗ</v>
          </cell>
        </row>
        <row r="1132">
          <cell r="B1132" t="str">
            <v>7LBA20AA102YB01</v>
          </cell>
          <cell r="E1132" t="str">
            <v>З-ка байпас ГПЗ-Б1 КВ</v>
          </cell>
        </row>
        <row r="1133">
          <cell r="B1133" t="str">
            <v>7LBA20AA102YB02</v>
          </cell>
          <cell r="E1133" t="str">
            <v>З-ка байпас ГПЗ-Б1 КЗ</v>
          </cell>
        </row>
        <row r="1134">
          <cell r="B1134" t="str">
            <v>7ADA10CS901YB02B</v>
          </cell>
          <cell r="E1134" t="str">
            <v>Ком відкл. ПВ ген-ра</v>
          </cell>
        </row>
        <row r="1135">
          <cell r="B1135" t="str">
            <v>7LBA30AA101YB01</v>
          </cell>
          <cell r="E1135" t="str">
            <v>З-ка скид ГП в конд-р №1 КВ</v>
          </cell>
        </row>
        <row r="1136">
          <cell r="B1136" t="str">
            <v>7LBA30AA101YB02</v>
          </cell>
          <cell r="E1136" t="str">
            <v>З-ка скид ГП в конд-р №1 КЗ</v>
          </cell>
        </row>
        <row r="1137">
          <cell r="B1137" t="str">
            <v>7LBA40AA101YB01</v>
          </cell>
          <cell r="E1137" t="str">
            <v>З-ка скид ГП в конд-р №2 КВ</v>
          </cell>
        </row>
        <row r="1138">
          <cell r="B1138" t="str">
            <v>7LBA40AA101YB02</v>
          </cell>
          <cell r="E1138" t="str">
            <v>З-ка скид ГП в конд-р №2 КЗ</v>
          </cell>
        </row>
        <row r="1139">
          <cell r="B1139" t="str">
            <v>7LBC10AA101YB01</v>
          </cell>
          <cell r="E1139" t="str">
            <v>З-ка холодний ПП–А КВ</v>
          </cell>
        </row>
        <row r="1140">
          <cell r="B1140" t="str">
            <v>7LBC10AA101YB02</v>
          </cell>
          <cell r="E1140" t="str">
            <v>З-ка холодний ПП–А КЗ</v>
          </cell>
        </row>
        <row r="1141">
          <cell r="B1141" t="str">
            <v>7LBC20AA101YB01</v>
          </cell>
          <cell r="E1141" t="str">
            <v>З-ка холодний ПП–Б КВ</v>
          </cell>
        </row>
        <row r="1142">
          <cell r="B1142" t="str">
            <v>7LBC20AA101YB02</v>
          </cell>
          <cell r="E1142" t="str">
            <v>З-ка холодний ПП–Б КЗ</v>
          </cell>
        </row>
        <row r="1143">
          <cell r="B1143" t="str">
            <v>7LAA10AA101YB01</v>
          </cell>
          <cell r="E1143" t="str">
            <v>З-ка авар скид з ДВТ КВ</v>
          </cell>
        </row>
        <row r="1144">
          <cell r="B1144" t="str">
            <v>7LAA10AA101YB02</v>
          </cell>
          <cell r="E1144" t="str">
            <v>З-ка авар скид з ДВТ КЗ</v>
          </cell>
        </row>
        <row r="1145">
          <cell r="B1145" t="str">
            <v>7MAJ10AA101YB01</v>
          </cell>
          <cell r="E1145" t="str">
            <v>З-ка зрив вакууму КВ</v>
          </cell>
        </row>
        <row r="1146">
          <cell r="B1146" t="str">
            <v>7MAJ10AA101YB02</v>
          </cell>
          <cell r="E1146" t="str">
            <v>З-ка зрив вакууму КЗ</v>
          </cell>
        </row>
        <row r="1147">
          <cell r="B1147" t="str">
            <v>7LAD10AA102YB01</v>
          </cell>
          <cell r="E1147" t="str">
            <v>Вент ТЗ ПВТ №2 КВ</v>
          </cell>
        </row>
        <row r="1148">
          <cell r="B1148" t="str">
            <v>7LAD10AA102YB02</v>
          </cell>
          <cell r="E1148" t="str">
            <v>Вент ТЗ ПВТ №2 КЗ</v>
          </cell>
        </row>
        <row r="1149">
          <cell r="B1149" t="str">
            <v>7LAC11AA102XB06</v>
          </cell>
          <cell r="E1149" t="str">
            <v>З-ка рец.ЖЕН-7А НЖ</v>
          </cell>
        </row>
        <row r="1150">
          <cell r="B1150" t="str">
            <v>7LAC11AA102XB10</v>
          </cell>
          <cell r="E1150" t="str">
            <v>З-ка рец.ЖЕН-7А ШТ</v>
          </cell>
        </row>
        <row r="1151">
          <cell r="B1151" t="str">
            <v>7LAC11AA102XB51</v>
          </cell>
          <cell r="E1151" t="str">
            <v>З-ка рец.ЖЕН-7А НВ</v>
          </cell>
        </row>
        <row r="1152">
          <cell r="B1152" t="str">
            <v>7LAC11AA102XB52</v>
          </cell>
          <cell r="E1152" t="str">
            <v>З-ка рец.ЖЕН-7А НЗ</v>
          </cell>
        </row>
        <row r="1153">
          <cell r="B1153" t="str">
            <v>7LAC12AA102XB06</v>
          </cell>
          <cell r="E1153" t="str">
            <v>З-ка рец.ЖЕН-7Б НЖ</v>
          </cell>
        </row>
        <row r="1154">
          <cell r="B1154" t="str">
            <v>7LAC12AA102XB10</v>
          </cell>
          <cell r="E1154" t="str">
            <v>З-ка рец.ЖЕН-7Б ШТ</v>
          </cell>
        </row>
        <row r="1155">
          <cell r="B1155" t="str">
            <v>7LAC12AA102XB51</v>
          </cell>
          <cell r="E1155" t="str">
            <v>З-ка рец.ЖЕН-7Б НВ</v>
          </cell>
        </row>
        <row r="1156">
          <cell r="B1156" t="str">
            <v>7LAC12AA102XB52</v>
          </cell>
          <cell r="E1156" t="str">
            <v>З-ка рец.ЖЕН-7Б НЗ</v>
          </cell>
        </row>
        <row r="1157">
          <cell r="B1157" t="str">
            <v>7LBA20AA103XB06</v>
          </cell>
          <cell r="E1157" t="str">
            <v>З-ка байпас ГПЗ-Б2 НЖ</v>
          </cell>
        </row>
        <row r="1158">
          <cell r="B1158" t="str">
            <v>7LBA20AA103XB10</v>
          </cell>
          <cell r="E1158" t="str">
            <v>З-ка байпас ГПЗ-Б2 ШТ</v>
          </cell>
        </row>
        <row r="1159">
          <cell r="B1159" t="str">
            <v>7LBA20AA103XB51</v>
          </cell>
          <cell r="E1159" t="str">
            <v>З-ка байпас ГПЗ-Б2 НВ</v>
          </cell>
        </row>
        <row r="1160">
          <cell r="B1160" t="str">
            <v>7LBA20AA103XB52</v>
          </cell>
          <cell r="E1160" t="str">
            <v>З-ка байпас ГПЗ-Б2 НЗ</v>
          </cell>
        </row>
        <row r="1161">
          <cell r="B1161" t="str">
            <v>7LBA20AA102XB06</v>
          </cell>
          <cell r="E1161" t="str">
            <v>З-ка байпас ГПЗ-Б1 НЖ</v>
          </cell>
        </row>
        <row r="1162">
          <cell r="B1162" t="str">
            <v>7LBA20AA102XB10</v>
          </cell>
          <cell r="E1162" t="str">
            <v>З-ка байпас ГПЗ-Б1 ШТ</v>
          </cell>
        </row>
        <row r="1163">
          <cell r="B1163" t="str">
            <v>7LBA20AA102XB51</v>
          </cell>
          <cell r="E1163" t="str">
            <v>З-ка байпас ГПЗ-Б1 НВ</v>
          </cell>
        </row>
        <row r="1164">
          <cell r="B1164" t="str">
            <v>7LBA20AA102XB52</v>
          </cell>
          <cell r="E1164" t="str">
            <v>З-ка байпас ГПЗ-Б1 НЗ</v>
          </cell>
        </row>
        <row r="1165">
          <cell r="B1165" t="str">
            <v>7LAA10AA101XB06</v>
          </cell>
          <cell r="E1165" t="str">
            <v>З-ка авар скид з ДВТ НЖ</v>
          </cell>
        </row>
        <row r="1166">
          <cell r="B1166" t="str">
            <v>7LAA10AA101XB10</v>
          </cell>
          <cell r="E1166" t="str">
            <v>З-ка авар скид з ДВТ ШТ</v>
          </cell>
        </row>
        <row r="1167">
          <cell r="B1167" t="str">
            <v>7LAA10AA101XB51</v>
          </cell>
          <cell r="E1167" t="str">
            <v>З-ка авар скид з ДВТ НВ</v>
          </cell>
        </row>
        <row r="1168">
          <cell r="B1168" t="str">
            <v>7LAA10AA101XB52</v>
          </cell>
          <cell r="E1168" t="str">
            <v>З-ка авар скид з ДВТ НЗ</v>
          </cell>
        </row>
        <row r="1169">
          <cell r="B1169" t="str">
            <v>7MAJ10AA101XB06</v>
          </cell>
          <cell r="E1169" t="str">
            <v>З-ка зрив вакууму НЖ</v>
          </cell>
        </row>
        <row r="1170">
          <cell r="B1170" t="str">
            <v>7MAJ10AA101XB10</v>
          </cell>
          <cell r="E1170" t="str">
            <v>З-ка зрив вакууму ШТ</v>
          </cell>
        </row>
        <row r="1171">
          <cell r="B1171" t="str">
            <v>7MAJ10AA101XB51</v>
          </cell>
          <cell r="E1171" t="str">
            <v>З-ка зрив вакууму НВ</v>
          </cell>
        </row>
        <row r="1172">
          <cell r="B1172" t="str">
            <v>7MAJ10AA101XB52</v>
          </cell>
          <cell r="E1172" t="str">
            <v>З-ка зрив вакууму НЗ</v>
          </cell>
        </row>
        <row r="1173">
          <cell r="B1173" t="str">
            <v>7LAC11AA101XB06</v>
          </cell>
          <cell r="E1173" t="str">
            <v>З-ка напір ЖЕН-7А НЖ</v>
          </cell>
        </row>
        <row r="1174">
          <cell r="B1174" t="str">
            <v>7LAC11AA101XB10</v>
          </cell>
          <cell r="E1174" t="str">
            <v>З-ка напір ЖЕН-7А ШТ</v>
          </cell>
        </row>
        <row r="1175">
          <cell r="B1175" t="str">
            <v>7LAC11AA101XB51</v>
          </cell>
          <cell r="E1175" t="str">
            <v>З-ка напір ЖЕН-7А НВ</v>
          </cell>
        </row>
        <row r="1176">
          <cell r="B1176" t="str">
            <v>7LAC11AA101XB52</v>
          </cell>
          <cell r="E1176" t="str">
            <v>З-ка напір ЖЕН-7А НЗ</v>
          </cell>
        </row>
        <row r="1177">
          <cell r="B1177" t="str">
            <v>7LAC12AA101XB06</v>
          </cell>
          <cell r="E1177" t="str">
            <v>З-ка напір ЖЕН-7Б НЖ</v>
          </cell>
        </row>
        <row r="1178">
          <cell r="B1178" t="str">
            <v>7LAC12AA101XB10</v>
          </cell>
          <cell r="E1178" t="str">
            <v>З-ка напір ЖЕН-7Б ШТ</v>
          </cell>
        </row>
        <row r="1179">
          <cell r="B1179" t="str">
            <v>7LAC12AA101XB51</v>
          </cell>
          <cell r="E1179" t="str">
            <v>З-ка напір ЖЕН-7Б НВ</v>
          </cell>
        </row>
        <row r="1180">
          <cell r="B1180" t="str">
            <v>7LAC12AA101XB52</v>
          </cell>
          <cell r="E1180" t="str">
            <v>З-ка напір ЖЕН-7Б НЗ</v>
          </cell>
        </row>
        <row r="1181">
          <cell r="B1181" t="str">
            <v>7LBA30AA101XB06</v>
          </cell>
          <cell r="E1181" t="str">
            <v>З-ка скид ГП в конд-р №1 НЖ</v>
          </cell>
        </row>
        <row r="1182">
          <cell r="B1182" t="str">
            <v>7LBA30AA101XB10</v>
          </cell>
          <cell r="E1182" t="str">
            <v>З-ка скид ГП в конд-р №1 ШТ</v>
          </cell>
        </row>
        <row r="1183">
          <cell r="B1183" t="str">
            <v>7LBA30AA101XB51</v>
          </cell>
          <cell r="E1183" t="str">
            <v>З-ка скид ГП в конд-р №1 НВ</v>
          </cell>
        </row>
        <row r="1184">
          <cell r="B1184" t="str">
            <v>7LBA30AA101XB52</v>
          </cell>
          <cell r="E1184" t="str">
            <v>З-ка скид ГП в конд-р №1 НЗ</v>
          </cell>
        </row>
        <row r="1185">
          <cell r="B1185" t="str">
            <v>7LBA40AA101XB06</v>
          </cell>
          <cell r="E1185" t="str">
            <v>З-ка скид ГП в конд-р №2 НЖ</v>
          </cell>
        </row>
        <row r="1186">
          <cell r="B1186" t="str">
            <v>7LBA40AA101XB10</v>
          </cell>
          <cell r="E1186" t="str">
            <v>З-ка скид ГП в конд-р №2 ШТ</v>
          </cell>
        </row>
        <row r="1187">
          <cell r="B1187" t="str">
            <v>7LBA40AA101XB51</v>
          </cell>
          <cell r="E1187" t="str">
            <v>З-ка скид ГП в конд-р №2 НВ</v>
          </cell>
        </row>
        <row r="1188">
          <cell r="B1188" t="str">
            <v>7LBA40AA101XB52</v>
          </cell>
          <cell r="E1188" t="str">
            <v>З-ка скид ГП в конд-р №2 НЗ</v>
          </cell>
        </row>
        <row r="1189">
          <cell r="B1189" t="str">
            <v>7LBC10AA101XB06</v>
          </cell>
          <cell r="E1189" t="str">
            <v>З-ка холодний ПП–А НЖ</v>
          </cell>
        </row>
        <row r="1190">
          <cell r="B1190" t="str">
            <v>7LBC10AA101XB10</v>
          </cell>
          <cell r="E1190" t="str">
            <v>З-ка холодний ПП–А ШТ</v>
          </cell>
        </row>
        <row r="1191">
          <cell r="B1191" t="str">
            <v>7LBC10AA101XB51</v>
          </cell>
          <cell r="E1191" t="str">
            <v>З-ка холодний ПП–А НВ</v>
          </cell>
        </row>
        <row r="1192">
          <cell r="B1192" t="str">
            <v>7LBC10AA101XB52</v>
          </cell>
          <cell r="E1192" t="str">
            <v>З-ка холодний ПП–А НЗ</v>
          </cell>
        </row>
        <row r="1193">
          <cell r="B1193" t="str">
            <v>7LBC20AA101XB06</v>
          </cell>
          <cell r="E1193" t="str">
            <v>З-ка холодний ПП–Б НЖ</v>
          </cell>
        </row>
        <row r="1194">
          <cell r="B1194" t="str">
            <v>7LBC20AA101XB10</v>
          </cell>
          <cell r="E1194" t="str">
            <v>З-ка холодний ПП–Б ШТ</v>
          </cell>
        </row>
        <row r="1195">
          <cell r="B1195" t="str">
            <v>7LBC20AA101XB51</v>
          </cell>
          <cell r="E1195" t="str">
            <v>З-ка холодний ПП–Б НВ</v>
          </cell>
        </row>
        <row r="1196">
          <cell r="B1196" t="str">
            <v>7LBC20AA101XB52</v>
          </cell>
          <cell r="E1196" t="str">
            <v>З-ка холодний ПП–Б НЗ</v>
          </cell>
        </row>
        <row r="1197">
          <cell r="B1197" t="str">
            <v>7MAD01CY103EZ02</v>
          </cell>
          <cell r="E1197" t="str">
            <v>ОЗР захист к.2</v>
          </cell>
        </row>
        <row r="1198">
          <cell r="B1198" t="str">
            <v>7MAD01CY107EH01</v>
          </cell>
          <cell r="E1198" t="str">
            <v>Сигн 2900&gt;Y&lt;3200 об/хв</v>
          </cell>
        </row>
        <row r="1199">
          <cell r="B1199" t="str">
            <v>7MAD01CY108EZ01</v>
          </cell>
          <cell r="E1199" t="str">
            <v>Авар 2800 об/хв</v>
          </cell>
        </row>
        <row r="1200">
          <cell r="B1200" t="str">
            <v>7MAD01CY108EZ02</v>
          </cell>
          <cell r="E1200" t="str">
            <v>Авар 3300 об/хв</v>
          </cell>
        </row>
        <row r="1201">
          <cell r="B1201" t="str">
            <v>7MAD01CY109EH01</v>
          </cell>
          <cell r="E1201" t="str">
            <v>ВРР ЦНТ сигналізація</v>
          </cell>
        </row>
        <row r="1202">
          <cell r="B1202" t="str">
            <v>7MAD01CY110EH01</v>
          </cell>
          <cell r="E1202" t="str">
            <v>ВРР ЦВСТ сигналізація</v>
          </cell>
        </row>
        <row r="1203">
          <cell r="B1203" t="str">
            <v>7ANK01GS001XB07</v>
          </cell>
          <cell r="E1203" t="str">
            <v>Нема =220В в колах ТЗ ТГ</v>
          </cell>
        </row>
        <row r="1204">
          <cell r="B1204" t="str">
            <v>7ANK01GS002XB07</v>
          </cell>
          <cell r="E1204" t="str">
            <v>Нема =220В ТЗ енергоблоку</v>
          </cell>
        </row>
        <row r="1205">
          <cell r="B1205" t="str">
            <v>7ANE01GS001XB07</v>
          </cell>
          <cell r="E1205" t="str">
            <v>Нема ~220 В релейної шафи</v>
          </cell>
        </row>
        <row r="1206">
          <cell r="B1206" t="str">
            <v>7ANE02GS001XB07</v>
          </cell>
          <cell r="E1206" t="str">
            <v>Нема ~ 220 В кіл ТЗ ужі дб</v>
          </cell>
        </row>
        <row r="1207">
          <cell r="B1207" t="str">
            <v>7ANE03GS001XB07</v>
          </cell>
          <cell r="E1207" t="str">
            <v>Нема ~ 220 В ел вент тз ПВТ</v>
          </cell>
        </row>
        <row r="1208">
          <cell r="B1208" t="str">
            <v>7LAD10AA102XB06</v>
          </cell>
          <cell r="E1208" t="str">
            <v>Вент ТЗ ПВТ №2 НЖ</v>
          </cell>
        </row>
        <row r="1209">
          <cell r="B1209" t="str">
            <v>7LAD10AA102XB10</v>
          </cell>
          <cell r="E1209" t="str">
            <v>Вент ТЗ ПВТ №2 ШТ</v>
          </cell>
        </row>
        <row r="1210">
          <cell r="B1210" t="str">
            <v>7LAD10AA102XB51</v>
          </cell>
          <cell r="E1210" t="str">
            <v>Вент ТЗ ПВТ №2 НВ</v>
          </cell>
        </row>
        <row r="1211">
          <cell r="B1211" t="str">
            <v>7LAD10AA102XB52</v>
          </cell>
          <cell r="E1211" t="str">
            <v>Вент ТЗ ПВТ №2 НЗ</v>
          </cell>
        </row>
        <row r="1212">
          <cell r="B1212" t="str">
            <v>7ADA10CS901XB03B</v>
          </cell>
          <cell r="E1212" t="str">
            <v>Асинхр реж ген-ра сигн 2</v>
          </cell>
        </row>
        <row r="1213">
          <cell r="B1213" t="str">
            <v>7ADA10CS901XB04B</v>
          </cell>
          <cell r="E1213" t="str">
            <v>Вн пошк блоку ген-транс сигн 2</v>
          </cell>
        </row>
        <row r="1214">
          <cell r="B1214" t="str">
            <v>7MAA01CG901XG01</v>
          </cell>
          <cell r="E1214" t="str">
            <v>СК ЦВТ відкр.</v>
          </cell>
        </row>
        <row r="1215">
          <cell r="B1215" t="str">
            <v>7MAA01CG901XG02</v>
          </cell>
          <cell r="E1215" t="str">
            <v>СК ЦВТ закр.</v>
          </cell>
        </row>
        <row r="1216">
          <cell r="B1216" t="str">
            <v>7MAB02CG901XG01</v>
          </cell>
          <cell r="E1216" t="str">
            <v>СК нитка Б ПП відкр.</v>
          </cell>
        </row>
        <row r="1217">
          <cell r="B1217" t="str">
            <v>7MAB02CG901XG02</v>
          </cell>
          <cell r="E1217" t="str">
            <v>СК нитка Б ПП закр.</v>
          </cell>
        </row>
        <row r="1218">
          <cell r="B1218" t="str">
            <v>7MAL25CL003XG01</v>
          </cell>
          <cell r="E1218" t="str">
            <v>L оливи в ДБ низьк I гр РУ3 (РЕЗЕРВ)</v>
          </cell>
        </row>
        <row r="1219">
          <cell r="B1219" t="str">
            <v>7MAL25CL004XG01</v>
          </cell>
          <cell r="E1219" t="str">
            <v>L оливи в ДБ авар II гр РУ4 (РЕЗЕРВ)</v>
          </cell>
        </row>
        <row r="1220">
          <cell r="B1220" t="str">
            <v>7MAL24CL001XG01</v>
          </cell>
          <cell r="E1220" t="str">
            <v>L в затв гідр високий ду1</v>
          </cell>
        </row>
        <row r="1221">
          <cell r="B1221" t="str">
            <v>7MAL24CL002XG01</v>
          </cell>
          <cell r="E1221" t="str">
            <v>L в затв гідр низький ду2</v>
          </cell>
        </row>
        <row r="1222">
          <cell r="B1222" t="str">
            <v>7CWR01CN002XK04B</v>
          </cell>
          <cell r="E1222" t="str">
            <v>АПК ключ зупинки котла Drop 1</v>
          </cell>
        </row>
        <row r="1223">
          <cell r="B1223" t="str">
            <v>7CHB00EY001XK04B</v>
          </cell>
          <cell r="E1223" t="str">
            <v>Роб зах зупинки котла Drop 1</v>
          </cell>
        </row>
        <row r="1224">
          <cell r="B1224" t="str">
            <v>7LAC11AP001XB01</v>
          </cell>
          <cell r="E1224" t="str">
            <v>ЖЕН-7А ВКЛ</v>
          </cell>
        </row>
        <row r="1225">
          <cell r="B1225" t="str">
            <v>7LAC11AP001XB02</v>
          </cell>
          <cell r="E1225" t="str">
            <v>ЖЕН-7А ВІДКЛ</v>
          </cell>
        </row>
        <row r="1226">
          <cell r="B1226" t="str">
            <v>7LAC11AP001XB11</v>
          </cell>
          <cell r="E1226" t="str">
            <v>ЖЕН-7А ВІЗОК ВКОЧЕНИЙ</v>
          </cell>
        </row>
        <row r="1227">
          <cell r="B1227" t="str">
            <v>7LAC11AP001XB48</v>
          </cell>
          <cell r="E1227" t="str">
            <v>ЖЕН-7А РОБОТА ЕЛ ЗАХ</v>
          </cell>
        </row>
        <row r="1228">
          <cell r="B1228" t="str">
            <v>7LAC11AP001XB50</v>
          </cell>
          <cell r="E1228" t="str">
            <v>ЖЕН-7А ГОТОВН КІЛ КЕРУВ</v>
          </cell>
        </row>
        <row r="1229">
          <cell r="B1229" t="str">
            <v>7MAV11AP001XB01</v>
          </cell>
          <cell r="E1229" t="str">
            <v>ПЕМН ВКЛ</v>
          </cell>
        </row>
        <row r="1230">
          <cell r="B1230" t="str">
            <v>7MAV11AP001XB02</v>
          </cell>
          <cell r="E1230" t="str">
            <v>ПЕМН ВІДКЛ</v>
          </cell>
        </row>
        <row r="1231">
          <cell r="B1231" t="str">
            <v>7MAV11AP001XB47</v>
          </cell>
          <cell r="E1231" t="str">
            <v>ПЕМН ВІДКЛ АК</v>
          </cell>
        </row>
        <row r="1232">
          <cell r="B1232" t="str">
            <v>7MAV11AP001XB03</v>
          </cell>
          <cell r="E1232" t="str">
            <v>ПЕМН НЕСПР КІЛ КЕРУВ</v>
          </cell>
        </row>
        <row r="1233">
          <cell r="B1233" t="str">
            <v>7MKA11AP001XB01</v>
          </cell>
          <cell r="E1233" t="str">
            <v>НООС-7А ВКЛ</v>
          </cell>
        </row>
        <row r="1234">
          <cell r="B1234" t="str">
            <v>7MKA11AP001XB02</v>
          </cell>
          <cell r="E1234" t="str">
            <v>НООС-7А ВІДКЛ</v>
          </cell>
        </row>
        <row r="1235">
          <cell r="B1235" t="str">
            <v>7MKA11AP001XB47</v>
          </cell>
          <cell r="E1235" t="str">
            <v>НООС-7А ВІДКЛ АК</v>
          </cell>
        </row>
        <row r="1236">
          <cell r="B1236" t="str">
            <v>7MKA11AP001XB03</v>
          </cell>
          <cell r="E1236" t="str">
            <v>НООС-7А НЕСПР КІЛ КЕРУВ</v>
          </cell>
        </row>
        <row r="1237">
          <cell r="B1237" t="str">
            <v>7PAC11AP001XB01</v>
          </cell>
          <cell r="E1237" t="str">
            <v>НГО-7А ВКЛ</v>
          </cell>
        </row>
        <row r="1238">
          <cell r="B1238" t="str">
            <v>7PAC11AP001XB02</v>
          </cell>
          <cell r="E1238" t="str">
            <v>НГО-7А ВІДКЛ</v>
          </cell>
        </row>
        <row r="1239">
          <cell r="B1239" t="str">
            <v>7PAC11AP001XB47</v>
          </cell>
          <cell r="E1239" t="str">
            <v>НГО-7А ВІДКЛ АК</v>
          </cell>
        </row>
        <row r="1240">
          <cell r="B1240" t="str">
            <v>7PAC11AP001XB03</v>
          </cell>
          <cell r="E1240" t="str">
            <v>НГО-7А НЕСПР КІЛ КЕРУВ</v>
          </cell>
        </row>
        <row r="1241">
          <cell r="B1241" t="str">
            <v>7MAV13AP001XB01</v>
          </cell>
          <cell r="E1241" t="str">
            <v>АЕМН ВКЛ</v>
          </cell>
        </row>
        <row r="1242">
          <cell r="B1242" t="str">
            <v>7MAV13AP001XB02</v>
          </cell>
          <cell r="E1242" t="str">
            <v>АЕМН ВІДКЛ</v>
          </cell>
        </row>
        <row r="1243">
          <cell r="B1243" t="str">
            <v>7MAV13AP001XB47</v>
          </cell>
          <cell r="E1243" t="str">
            <v>АЕМН ВІДКЛ АК</v>
          </cell>
        </row>
        <row r="1244">
          <cell r="B1244" t="str">
            <v>7MAV13AP001XB03</v>
          </cell>
          <cell r="E1244" t="str">
            <v>АЕМН НЕСПР КІЛ КЕРУВ</v>
          </cell>
        </row>
        <row r="1245">
          <cell r="B1245" t="str">
            <v>7CRA40GS001XG01</v>
          </cell>
          <cell r="E1245" t="str">
            <v>ШАФА 8CRA40 ВІДКРИТА</v>
          </cell>
        </row>
        <row r="1246">
          <cell r="B1246" t="str">
            <v>7CRA40GS003XG01</v>
          </cell>
          <cell r="E1246" t="str">
            <v>ШАФА 8СRА40 НЕДОПУСТ.ТЕМПЕРАТ.</v>
          </cell>
        </row>
        <row r="1247">
          <cell r="B1247" t="str">
            <v>7MKW02AP001XB01</v>
          </cell>
          <cell r="E1247" t="str">
            <v>РЕМН АМП ТГ-7 ВКЛ</v>
          </cell>
        </row>
        <row r="1248">
          <cell r="B1248" t="str">
            <v>7MKW02AP001XB02</v>
          </cell>
          <cell r="E1248" t="str">
            <v>РЕМН АМП ТГ-7 ВІДКЛ</v>
          </cell>
        </row>
        <row r="1249">
          <cell r="B1249" t="str">
            <v>7MKW02AP001XB47</v>
          </cell>
          <cell r="E1249" t="str">
            <v>РЕМН АМП ТГ-7 ВІДКЛ АК</v>
          </cell>
        </row>
        <row r="1250">
          <cell r="B1250" t="str">
            <v>7MKW02AP001XB03</v>
          </cell>
          <cell r="E1250" t="str">
            <v>РЕМН АМП ТГ-7 НЕСПР КІЛ КЕРУВ</v>
          </cell>
        </row>
        <row r="1251">
          <cell r="B1251" t="str">
            <v>7LAC11AP001YB01</v>
          </cell>
          <cell r="E1251" t="str">
            <v>ЖЕН-7А КВ</v>
          </cell>
        </row>
        <row r="1252">
          <cell r="B1252" t="str">
            <v>7LAC11AP001YB02</v>
          </cell>
          <cell r="E1252" t="str">
            <v>ЖЕН-7А КО</v>
          </cell>
        </row>
        <row r="1253">
          <cell r="B1253" t="str">
            <v>7MAV11AP001YB01</v>
          </cell>
          <cell r="E1253" t="str">
            <v>ПЕМН КВ</v>
          </cell>
        </row>
        <row r="1254">
          <cell r="B1254" t="str">
            <v>7MAV11AP001YB02</v>
          </cell>
          <cell r="E1254" t="str">
            <v>ПЕМН КО</v>
          </cell>
        </row>
        <row r="1255">
          <cell r="B1255" t="str">
            <v>7MAV11AP001YB03</v>
          </cell>
          <cell r="E1255" t="str">
            <v>ПЕМН МК</v>
          </cell>
        </row>
        <row r="1256">
          <cell r="B1256" t="str">
            <v>7MKA11AP001YB01</v>
          </cell>
          <cell r="E1256" t="str">
            <v>НООС-7А КВ</v>
          </cell>
        </row>
        <row r="1257">
          <cell r="B1257" t="str">
            <v>7MKA11AP001YB02</v>
          </cell>
          <cell r="E1257" t="str">
            <v>НООС-7А КО</v>
          </cell>
        </row>
        <row r="1258">
          <cell r="B1258" t="str">
            <v>7MKA11AP001YB03</v>
          </cell>
          <cell r="E1258" t="str">
            <v>НООС-7А МК</v>
          </cell>
        </row>
        <row r="1259">
          <cell r="B1259" t="str">
            <v>7PAC11AP001YB01</v>
          </cell>
          <cell r="E1259" t="str">
            <v>НГО-7А КВ</v>
          </cell>
        </row>
        <row r="1260">
          <cell r="B1260" t="str">
            <v>7PAC11AP001YB02</v>
          </cell>
          <cell r="E1260" t="str">
            <v>НГО-7А КО</v>
          </cell>
        </row>
        <row r="1261">
          <cell r="B1261" t="str">
            <v>7PAC11AP001YB03</v>
          </cell>
          <cell r="E1261" t="str">
            <v>НГО-7А МК</v>
          </cell>
        </row>
        <row r="1262">
          <cell r="B1262" t="str">
            <v>7MAV13AP001YB01</v>
          </cell>
          <cell r="E1262" t="str">
            <v>АЕМН КВ</v>
          </cell>
        </row>
        <row r="1263">
          <cell r="B1263" t="str">
            <v>7MAV13AP001YB02</v>
          </cell>
          <cell r="E1263" t="str">
            <v>АЕМН КО</v>
          </cell>
        </row>
        <row r="1264">
          <cell r="B1264" t="str">
            <v>7MAV13AP001YB03</v>
          </cell>
          <cell r="E1264" t="str">
            <v>АЕМН МК</v>
          </cell>
        </row>
        <row r="1265">
          <cell r="B1265" t="str">
            <v>7MKW02AP001YB01</v>
          </cell>
          <cell r="E1265" t="str">
            <v>РЕМН АМП ТГ-7 КВ</v>
          </cell>
        </row>
        <row r="1266">
          <cell r="B1266" t="str">
            <v>7MKW02AP001YB02</v>
          </cell>
          <cell r="E1266" t="str">
            <v>РЕМН АМП ТГ-7 КО</v>
          </cell>
        </row>
        <row r="1267">
          <cell r="B1267" t="str">
            <v>7MKW02AP001YB03</v>
          </cell>
          <cell r="E1267" t="str">
            <v>РЕМН АМП ТГ-7 МК</v>
          </cell>
        </row>
        <row r="1268">
          <cell r="B1268" t="str">
            <v>7CHL00EY001YK01A</v>
          </cell>
          <cell r="E1268" t="str">
            <v>Роб зах зупинки блоку, к.1</v>
          </cell>
        </row>
        <row r="1269">
          <cell r="B1269" t="str">
            <v>7CHL00EY001YK02A</v>
          </cell>
          <cell r="E1269" t="str">
            <v>Роб зах зупинки блоку, к.2</v>
          </cell>
        </row>
        <row r="1270">
          <cell r="B1270" t="str">
            <v>7CHL00EY001YK03A</v>
          </cell>
          <cell r="E1270" t="str">
            <v>Роб зах зупинки блоку, к.3</v>
          </cell>
        </row>
        <row r="1271">
          <cell r="B1271" t="str">
            <v>7CHL00EY001YK05A</v>
          </cell>
          <cell r="E1271" t="str">
            <v>Дія зах на відключення турбіни, к.1</v>
          </cell>
        </row>
        <row r="1272">
          <cell r="B1272" t="str">
            <v>7CHL00EY001YK06A</v>
          </cell>
          <cell r="E1272" t="str">
            <v>Дія зах на відключення турбіни, к.2</v>
          </cell>
        </row>
        <row r="1273">
          <cell r="B1273" t="str">
            <v>7CHL00EY001YK07A</v>
          </cell>
          <cell r="E1273" t="str">
            <v>Дія зах на відключення турбіни, к.3</v>
          </cell>
        </row>
        <row r="1274">
          <cell r="B1274" t="str">
            <v>7CHL00EY002YK01A</v>
          </cell>
          <cell r="E1274" t="str">
            <v>Дія зах на розвантаження 50%</v>
          </cell>
        </row>
        <row r="1275">
          <cell r="B1275" t="str">
            <v>7MAA01CG901YB01</v>
          </cell>
          <cell r="E1275" t="str">
            <v>Ком на ЕМВ взвед СК</v>
          </cell>
        </row>
        <row r="1276">
          <cell r="B1276" t="str">
            <v>7MAA01CG901YB02A</v>
          </cell>
          <cell r="E1276" t="str">
            <v>Ком на ЕМВ закр СК, к.1</v>
          </cell>
        </row>
        <row r="1277">
          <cell r="B1277" t="str">
            <v>7LBQ80CG901YB01</v>
          </cell>
          <cell r="E1277" t="str">
            <v>Ком на КИС відкр КОС</v>
          </cell>
        </row>
        <row r="1278">
          <cell r="B1278" t="str">
            <v>7LBQ80CG901YB02A</v>
          </cell>
          <cell r="E1278" t="str">
            <v>Ком на КИС закр КОС, к.1</v>
          </cell>
        </row>
        <row r="1279">
          <cell r="B1279" t="str">
            <v>7CHL00EY001YK01B</v>
          </cell>
          <cell r="E1279" t="str">
            <v>Роб зах зупинки блоку, к.1</v>
          </cell>
        </row>
        <row r="1280">
          <cell r="B1280" t="str">
            <v>7CHL00EY001YK02B</v>
          </cell>
          <cell r="E1280" t="str">
            <v>Роб зах зупинки блоку, к.2</v>
          </cell>
        </row>
        <row r="1281">
          <cell r="B1281" t="str">
            <v>7CHL00EY001YK03B</v>
          </cell>
          <cell r="E1281" t="str">
            <v>Роб зах зупинки блоку, к.3</v>
          </cell>
        </row>
        <row r="1282">
          <cell r="B1282" t="str">
            <v>7CHL00EY001YK05B</v>
          </cell>
          <cell r="E1282" t="str">
            <v>Дія зах на відключення турбіни, к.1</v>
          </cell>
        </row>
        <row r="1283">
          <cell r="B1283" t="str">
            <v>7CHL00EY001YK06B</v>
          </cell>
          <cell r="E1283" t="str">
            <v>Дія зах на відключення турбіни, к.2</v>
          </cell>
        </row>
        <row r="1284">
          <cell r="B1284" t="str">
            <v>7CHL00EY001YK07B</v>
          </cell>
          <cell r="E1284" t="str">
            <v>Дія зах на відключення турбіни, к.3</v>
          </cell>
        </row>
        <row r="1285">
          <cell r="B1285" t="str">
            <v>7CHL00EY002YK01B</v>
          </cell>
          <cell r="E1285" t="str">
            <v>Дія зах на розвант. 50%</v>
          </cell>
        </row>
        <row r="1286">
          <cell r="B1286" t="str">
            <v>7MAA01CG901YB02B</v>
          </cell>
          <cell r="E1286" t="str">
            <v>Ком на ЕМВ закр СК, к.2</v>
          </cell>
        </row>
        <row r="1287">
          <cell r="B1287" t="str">
            <v>7LBQ80CG901YB02B</v>
          </cell>
          <cell r="E1287" t="str">
            <v>Ком на КІСи закр КОС, к.2</v>
          </cell>
        </row>
        <row r="1288">
          <cell r="B1288" t="str">
            <v>7PAC12AP001YB01</v>
          </cell>
          <cell r="E1288" t="str">
            <v>НГО-7Б КВ</v>
          </cell>
        </row>
        <row r="1289">
          <cell r="B1289" t="str">
            <v>7PAC12AP001YB02</v>
          </cell>
          <cell r="E1289" t="str">
            <v>НГО-7Б КО</v>
          </cell>
        </row>
        <row r="1290">
          <cell r="B1290" t="str">
            <v>7PAC12AP001YB03</v>
          </cell>
          <cell r="E1290" t="str">
            <v>НГО-7Б МК</v>
          </cell>
        </row>
        <row r="1291">
          <cell r="B1291" t="str">
            <v>7MKW03AP001YB01</v>
          </cell>
          <cell r="E1291" t="str">
            <v>АЕМН АМП ТГ-7 КВ</v>
          </cell>
        </row>
        <row r="1292">
          <cell r="B1292" t="str">
            <v>7MKW03AP001YB02</v>
          </cell>
          <cell r="E1292" t="str">
            <v>АЕМН АМП ТГ-7 КО</v>
          </cell>
        </row>
        <row r="1293">
          <cell r="B1293" t="str">
            <v>7MKW03AP001YB03</v>
          </cell>
          <cell r="E1293" t="str">
            <v>АЕМН АМП ТГ-7 МК</v>
          </cell>
        </row>
        <row r="1294">
          <cell r="B1294" t="str">
            <v>7LAC12AP001YB01</v>
          </cell>
          <cell r="E1294" t="str">
            <v>ЖЕН-7Б КВ</v>
          </cell>
        </row>
        <row r="1295">
          <cell r="B1295" t="str">
            <v>7LAC12AP001YB02</v>
          </cell>
          <cell r="E1295" t="str">
            <v>ЖЕН-7Б КО</v>
          </cell>
        </row>
        <row r="1296">
          <cell r="B1296" t="str">
            <v>7MAV12AP001YB01</v>
          </cell>
          <cell r="E1296" t="str">
            <v>РЕМН КВ</v>
          </cell>
        </row>
        <row r="1297">
          <cell r="B1297" t="str">
            <v>7MAV12AP001YB02</v>
          </cell>
          <cell r="E1297" t="str">
            <v>РЕМН КО</v>
          </cell>
        </row>
        <row r="1298">
          <cell r="B1298" t="str">
            <v>7MAV12AP001YB03</v>
          </cell>
          <cell r="E1298" t="str">
            <v>РЕМН МК</v>
          </cell>
        </row>
        <row r="1299">
          <cell r="B1299" t="str">
            <v>7MKA12AP001YB01</v>
          </cell>
          <cell r="E1299" t="str">
            <v>НООС-7Б КВ</v>
          </cell>
        </row>
        <row r="1300">
          <cell r="B1300" t="str">
            <v>7MKA12AP001YB02</v>
          </cell>
          <cell r="E1300" t="str">
            <v>НООС-7Б КО</v>
          </cell>
        </row>
        <row r="1301">
          <cell r="B1301" t="str">
            <v>7MKA12AP001YB03</v>
          </cell>
          <cell r="E1301" t="str">
            <v>НООС-7Б МК</v>
          </cell>
        </row>
        <row r="1302">
          <cell r="B1302" t="str">
            <v>7MKW03AP001XB01</v>
          </cell>
          <cell r="E1302" t="str">
            <v>АЕМН АМП ТГ-7 ВКЛ</v>
          </cell>
        </row>
        <row r="1303">
          <cell r="B1303" t="str">
            <v>7MKW03AP001XB02</v>
          </cell>
          <cell r="E1303" t="str">
            <v>АЕМН АМП ТГ-7 ВІДКЛ</v>
          </cell>
        </row>
        <row r="1304">
          <cell r="B1304" t="str">
            <v>7MKW03AP001XB47</v>
          </cell>
          <cell r="E1304" t="str">
            <v>АЕМН АМП ТГ-7 ВІДКЛ АК</v>
          </cell>
        </row>
        <row r="1305">
          <cell r="B1305" t="str">
            <v>7MKW03AP001XB03</v>
          </cell>
          <cell r="E1305" t="str">
            <v>АЕМН АМП ТГ-7 НЕСПР КІЛ КЕРУВ</v>
          </cell>
        </row>
        <row r="1306">
          <cell r="B1306" t="str">
            <v>7PAC12AP001XB01</v>
          </cell>
          <cell r="E1306" t="str">
            <v>НГО-7Б ВКЛ</v>
          </cell>
        </row>
        <row r="1307">
          <cell r="B1307" t="str">
            <v>7PAC12AP001XB02</v>
          </cell>
          <cell r="E1307" t="str">
            <v>НГО-7Б ВІДКЛ</v>
          </cell>
        </row>
        <row r="1308">
          <cell r="B1308" t="str">
            <v>7PAC12AP001XB47</v>
          </cell>
          <cell r="E1308" t="str">
            <v>НГО-7Б ВІДКЛ АК</v>
          </cell>
        </row>
        <row r="1309">
          <cell r="B1309" t="str">
            <v>7PAC12AP001XB03</v>
          </cell>
          <cell r="E1309" t="str">
            <v>НГО-7Б НЕСПР КІЛ КЕРУВ</v>
          </cell>
        </row>
        <row r="1310">
          <cell r="B1310" t="str">
            <v>7MKW29AN001XB01</v>
          </cell>
          <cell r="E1310" t="str">
            <v>ВЕНТИЛЯТОР МБ ВКЛ</v>
          </cell>
        </row>
        <row r="1311">
          <cell r="B1311" t="str">
            <v>7MKW29AN001XB02</v>
          </cell>
          <cell r="E1311" t="str">
            <v>ВЕНТИЛЯТОР МБ ВІДКЛ</v>
          </cell>
        </row>
        <row r="1312">
          <cell r="B1312" t="str">
            <v>7MKF10CL001XG01</v>
          </cell>
          <cell r="E1312" t="str">
            <v>L в баці СООС низький</v>
          </cell>
        </row>
        <row r="1313">
          <cell r="B1313" t="str">
            <v>7MKF10CL001XG02</v>
          </cell>
          <cell r="E1313" t="str">
            <v>L в баці СООС високий</v>
          </cell>
        </row>
        <row r="1314">
          <cell r="B1314" t="str">
            <v>7MKF00CL001XG01</v>
          </cell>
          <cell r="E1314" t="str">
            <v>Рідина в корпусі генератора</v>
          </cell>
        </row>
        <row r="1315">
          <cell r="B1315" t="str">
            <v>7LAC12AP001XB01</v>
          </cell>
          <cell r="E1315" t="str">
            <v>ЖЕН-7Б ВКЛ</v>
          </cell>
        </row>
        <row r="1316">
          <cell r="B1316" t="str">
            <v>7LAC12AP001XB02</v>
          </cell>
          <cell r="E1316" t="str">
            <v>ЖЕН-7Б ВІДКЛ</v>
          </cell>
        </row>
        <row r="1317">
          <cell r="B1317" t="str">
            <v>7LAC12AP001XB11</v>
          </cell>
          <cell r="E1317" t="str">
            <v>ЖЕН-7Б ВІЗОК ВКОЧЕНИЙ</v>
          </cell>
        </row>
        <row r="1318">
          <cell r="B1318" t="str">
            <v>7LAC12AP001XB48</v>
          </cell>
          <cell r="E1318" t="str">
            <v>ЖЕН-7Б РОБОТА ЕЛ ЗАХ</v>
          </cell>
        </row>
        <row r="1319">
          <cell r="B1319" t="str">
            <v>7LAC12AP001XB50</v>
          </cell>
          <cell r="E1319" t="str">
            <v>ЖЕН-7Б ГОТОВН КІЛ КЕРУВ</v>
          </cell>
        </row>
        <row r="1320">
          <cell r="B1320" t="str">
            <v>7MAV12AP001XB01</v>
          </cell>
          <cell r="E1320" t="str">
            <v>РЕМН ВКЛ</v>
          </cell>
        </row>
        <row r="1321">
          <cell r="B1321" t="str">
            <v>7MAV12AP001XB02</v>
          </cell>
          <cell r="E1321" t="str">
            <v>РЕМН ВІДКЛ</v>
          </cell>
        </row>
        <row r="1322">
          <cell r="B1322" t="str">
            <v>7MAV12AP001XB47</v>
          </cell>
          <cell r="E1322" t="str">
            <v>РЕМН ВІДКЛ АК</v>
          </cell>
        </row>
        <row r="1323">
          <cell r="B1323" t="str">
            <v>7MAV12AP001XB03</v>
          </cell>
          <cell r="E1323" t="str">
            <v>РЕМН НЕСПР КІЛ КЕРУВ</v>
          </cell>
        </row>
        <row r="1324">
          <cell r="B1324" t="str">
            <v>7MKA12AP001XB01</v>
          </cell>
          <cell r="E1324" t="str">
            <v>НООС-7Б ВКЛ</v>
          </cell>
        </row>
        <row r="1325">
          <cell r="B1325" t="str">
            <v>7MKA12AP001XB02</v>
          </cell>
          <cell r="E1325" t="str">
            <v>НООС-7Б ВІДКЛ</v>
          </cell>
        </row>
        <row r="1326">
          <cell r="B1326" t="str">
            <v>7MKA12AP001XB47</v>
          </cell>
          <cell r="E1326" t="str">
            <v>НООС-7Б ВІДКЛ АК</v>
          </cell>
        </row>
        <row r="1327">
          <cell r="B1327" t="str">
            <v>7MKA12AP001XB03</v>
          </cell>
          <cell r="E1327" t="str">
            <v>НООС-7Б НЕСПР КІЛ КЕРУВ</v>
          </cell>
        </row>
        <row r="1328">
          <cell r="B1328" t="str">
            <v>7CHL00EY001XK05A</v>
          </cell>
          <cell r="E1328" t="str">
            <v>Дія зах на відключення турбіни</v>
          </cell>
        </row>
        <row r="1329">
          <cell r="B1329" t="str">
            <v>7MAV10CL001XG01</v>
          </cell>
          <cell r="E1329" t="str">
            <v>L в баці оливи високий</v>
          </cell>
        </row>
        <row r="1330">
          <cell r="B1330" t="str">
            <v>7MAV10CL001XG02</v>
          </cell>
          <cell r="E1330" t="str">
            <v>L в баці оливи низький</v>
          </cell>
        </row>
        <row r="1331">
          <cell r="B1331" t="str">
            <v>7LAV11CL001XG01</v>
          </cell>
          <cell r="E1331" t="str">
            <v>L в баці оливи ЖЕН-7А</v>
          </cell>
        </row>
        <row r="1332">
          <cell r="B1332" t="str">
            <v>7LAV12CL001XG01</v>
          </cell>
          <cell r="E1332" t="str">
            <v>L в баці оливи ЖЕН-7Б</v>
          </cell>
        </row>
        <row r="1333">
          <cell r="B1333" t="str">
            <v>7LAC11CL001XG01</v>
          </cell>
          <cell r="E1333" t="str">
            <v>Вода в корпусі ЖЕН-7А</v>
          </cell>
        </row>
        <row r="1334">
          <cell r="B1334" t="str">
            <v>7LAC12CL001XG01</v>
          </cell>
          <cell r="E1334" t="str">
            <v>Вода в корпусі ЖЕН-7Б</v>
          </cell>
        </row>
        <row r="1335">
          <cell r="B1335" t="str">
            <v>7LCH60AA001XB06</v>
          </cell>
          <cell r="E1335" t="str">
            <v>РК рівня ПВТ-6 НЖ</v>
          </cell>
        </row>
        <row r="1336">
          <cell r="B1336" t="str">
            <v>7LCH60AA001XB51</v>
          </cell>
          <cell r="E1336" t="str">
            <v>РК рівня ПВТ-6 НВ</v>
          </cell>
        </row>
        <row r="1337">
          <cell r="B1337" t="str">
            <v>7LCH60AA001XB52</v>
          </cell>
          <cell r="E1337" t="str">
            <v>РК рівня ПВТ-6 НЗ</v>
          </cell>
        </row>
        <row r="1338">
          <cell r="B1338" t="str">
            <v>7LCH70AA001XB06</v>
          </cell>
          <cell r="E1338" t="str">
            <v>РК рівня ПВТ-7 НЖ</v>
          </cell>
        </row>
        <row r="1339">
          <cell r="B1339" t="str">
            <v>7LCH70AA001XB51</v>
          </cell>
          <cell r="E1339" t="str">
            <v>РК рівня ПВТ-7 НВ</v>
          </cell>
        </row>
        <row r="1340">
          <cell r="B1340" t="str">
            <v>7LCH70AA001XB52</v>
          </cell>
          <cell r="E1340" t="str">
            <v>РК рівня ПВТ-7 НЗ</v>
          </cell>
        </row>
        <row r="1341">
          <cell r="B1341" t="str">
            <v>7LCH80AA001XB06</v>
          </cell>
          <cell r="E1341" t="str">
            <v>РК рівня ПВТ-8 НЖ</v>
          </cell>
        </row>
        <row r="1342">
          <cell r="B1342" t="str">
            <v>7LCH80AA001XB51</v>
          </cell>
          <cell r="E1342" t="str">
            <v>РК рівня ПВТ-8 НВ</v>
          </cell>
        </row>
        <row r="1343">
          <cell r="B1343" t="str">
            <v>7LCH80AA001XB52</v>
          </cell>
          <cell r="E1343" t="str">
            <v>РК рівня ПВТ-8 НЗ</v>
          </cell>
        </row>
        <row r="1344">
          <cell r="B1344" t="str">
            <v>7LAA10AA001XB06</v>
          </cell>
          <cell r="E1344" t="str">
            <v>РК тиску в ДВТ НЖ</v>
          </cell>
        </row>
        <row r="1345">
          <cell r="B1345" t="str">
            <v>7LAA10AA001XB07</v>
          </cell>
          <cell r="E1345" t="str">
            <v>РК тиску в ДВТ ТП</v>
          </cell>
        </row>
        <row r="1346">
          <cell r="B1346" t="str">
            <v>7LAA10AA001XB51</v>
          </cell>
          <cell r="E1346" t="str">
            <v>РК тиску в ДВТ НВ</v>
          </cell>
        </row>
        <row r="1347">
          <cell r="B1347" t="str">
            <v>7LAA10AA001XB52</v>
          </cell>
          <cell r="E1347" t="str">
            <v>РК тиску в ДВТ НЗ</v>
          </cell>
        </row>
        <row r="1348">
          <cell r="B1348" t="str">
            <v>7LAA10AA001XB53</v>
          </cell>
          <cell r="E1348" t="str">
            <v>РК тиску в ДВТ РММ</v>
          </cell>
        </row>
        <row r="1349">
          <cell r="B1349" t="str">
            <v>7LCP10AA001XB06</v>
          </cell>
          <cell r="E1349" t="str">
            <v>РК рівня в ДВТ НЖ</v>
          </cell>
        </row>
        <row r="1350">
          <cell r="B1350" t="str">
            <v>7LCP10AA001XB51</v>
          </cell>
          <cell r="E1350" t="str">
            <v>РК рівня в ДВТ НВ</v>
          </cell>
        </row>
        <row r="1351">
          <cell r="B1351" t="str">
            <v>7LCP10AA001XB52</v>
          </cell>
          <cell r="E1351" t="str">
            <v>РК рівня в ДВТ НЗ</v>
          </cell>
        </row>
        <row r="1352">
          <cell r="B1352" t="str">
            <v>7LBW10AA001XB06</v>
          </cell>
          <cell r="E1352" t="str">
            <v>РК P пари лаб ущ НЖ</v>
          </cell>
        </row>
        <row r="1353">
          <cell r="B1353" t="str">
            <v>7LBW10AA001XB51</v>
          </cell>
          <cell r="E1353" t="str">
            <v>РК P пари лаб ущ НВ</v>
          </cell>
        </row>
        <row r="1354">
          <cell r="B1354" t="str">
            <v>7LBW10AA001XB52</v>
          </cell>
          <cell r="E1354" t="str">
            <v>РК P пари лаб ущ НЗ</v>
          </cell>
        </row>
        <row r="1355">
          <cell r="B1355" t="str">
            <v>7NDB10AA001XB06</v>
          </cell>
          <cell r="E1355" t="str">
            <v>РК тиску мереж води НЖ</v>
          </cell>
        </row>
        <row r="1356">
          <cell r="B1356" t="str">
            <v>7NDB10AA001XB51</v>
          </cell>
          <cell r="E1356" t="str">
            <v>РК тиску мереж води НВ</v>
          </cell>
        </row>
        <row r="1357">
          <cell r="B1357" t="str">
            <v>7NDB10AA001XB52</v>
          </cell>
          <cell r="E1357" t="str">
            <v>РК тиску мереж води НЗ</v>
          </cell>
        </row>
        <row r="1358">
          <cell r="B1358" t="str">
            <v>7NAA10AA001XB06</v>
          </cell>
          <cell r="E1358" t="str">
            <v>РК темп ОБ НЖ</v>
          </cell>
        </row>
        <row r="1359">
          <cell r="B1359" t="str">
            <v>7NAA10AA001XB51</v>
          </cell>
          <cell r="E1359" t="str">
            <v>РК темп ОБ НВ</v>
          </cell>
        </row>
        <row r="1360">
          <cell r="B1360" t="str">
            <v>7NAA10AA001XB52</v>
          </cell>
          <cell r="E1360" t="str">
            <v>РК темп ОБ НЗ</v>
          </cell>
        </row>
        <row r="1361">
          <cell r="B1361" t="str">
            <v>7NAA20AA001XB06</v>
          </cell>
          <cell r="E1361" t="str">
            <v>РК темп ПБ НЖ</v>
          </cell>
        </row>
        <row r="1362">
          <cell r="B1362" t="str">
            <v>7NAA20AA001XB51</v>
          </cell>
          <cell r="E1362" t="str">
            <v>РК темп ПБ НВ</v>
          </cell>
        </row>
        <row r="1363">
          <cell r="B1363" t="str">
            <v>7NAA20AA001XB52</v>
          </cell>
          <cell r="E1363" t="str">
            <v>РК темп ПБ НЗ</v>
          </cell>
        </row>
        <row r="1364">
          <cell r="B1364" t="str">
            <v>7LCH60AA001YB01</v>
          </cell>
          <cell r="E1364" t="str">
            <v>РК рівня ПВТ-6 КВ</v>
          </cell>
        </row>
        <row r="1365">
          <cell r="B1365" t="str">
            <v>7LCH60AA001YB02</v>
          </cell>
          <cell r="E1365" t="str">
            <v>РК рівня ПВТ-6 КЗ</v>
          </cell>
        </row>
        <row r="1366">
          <cell r="B1366" t="str">
            <v>7LCH70AA001YB01</v>
          </cell>
          <cell r="E1366" t="str">
            <v>РК рівня ПВТ-7 КВ</v>
          </cell>
        </row>
        <row r="1367">
          <cell r="B1367" t="str">
            <v>7LCH70AA001YB02</v>
          </cell>
          <cell r="E1367" t="str">
            <v>РК рівня ПВТ-7 КЗ</v>
          </cell>
        </row>
        <row r="1368">
          <cell r="B1368" t="str">
            <v>7LCH80AA001YB01</v>
          </cell>
          <cell r="E1368" t="str">
            <v>РК рівня ПВТ-8 КВ</v>
          </cell>
        </row>
        <row r="1369">
          <cell r="B1369" t="str">
            <v>7LCH80AA001YB02</v>
          </cell>
          <cell r="E1369" t="str">
            <v>РК рівня ПВТ-8 КЗ</v>
          </cell>
        </row>
        <row r="1370">
          <cell r="B1370" t="str">
            <v>7LAA10AA001YB01</v>
          </cell>
          <cell r="E1370" t="str">
            <v>РК тиску в ДВТ КВ</v>
          </cell>
        </row>
        <row r="1371">
          <cell r="B1371" t="str">
            <v>7LAA10AA001YB02</v>
          </cell>
          <cell r="E1371" t="str">
            <v>РК тиску в ДВТ КЗ</v>
          </cell>
        </row>
        <row r="1372">
          <cell r="B1372" t="str">
            <v>7LCP10AA001YB01</v>
          </cell>
          <cell r="E1372" t="str">
            <v>РК рівня в ДВТ КВ</v>
          </cell>
        </row>
        <row r="1373">
          <cell r="B1373" t="str">
            <v>7LCP10AA001YB02</v>
          </cell>
          <cell r="E1373" t="str">
            <v>РК рівня в ДВТ КЗ</v>
          </cell>
        </row>
        <row r="1374">
          <cell r="B1374" t="str">
            <v>7LBW10AA001YB01</v>
          </cell>
          <cell r="E1374" t="str">
            <v>РК P пари лаб ущ КВ</v>
          </cell>
        </row>
        <row r="1375">
          <cell r="B1375" t="str">
            <v>7LBW10AA001YB02</v>
          </cell>
          <cell r="E1375" t="str">
            <v>РК P пари лаб ущ КЗ</v>
          </cell>
        </row>
        <row r="1376">
          <cell r="B1376" t="str">
            <v>7NDB10AA001YB01</v>
          </cell>
          <cell r="E1376" t="str">
            <v>РК тиску мереж води КВ</v>
          </cell>
        </row>
        <row r="1377">
          <cell r="B1377" t="str">
            <v>7NDB10AA001YB02</v>
          </cell>
          <cell r="E1377" t="str">
            <v>РК тиску мереж води КЗ</v>
          </cell>
        </row>
        <row r="1378">
          <cell r="B1378" t="str">
            <v>7NAA10AA001YB01</v>
          </cell>
          <cell r="E1378" t="str">
            <v>РК темп ОБ КВ</v>
          </cell>
        </row>
        <row r="1379">
          <cell r="B1379" t="str">
            <v>7NAA10AA001YB02</v>
          </cell>
          <cell r="E1379" t="str">
            <v>РК темп ОБ КЗ</v>
          </cell>
        </row>
        <row r="1380">
          <cell r="B1380" t="str">
            <v>7NAA20AA001YB01</v>
          </cell>
          <cell r="E1380" t="str">
            <v>РК темп ПБ КВ</v>
          </cell>
        </row>
        <row r="1381">
          <cell r="B1381" t="str">
            <v>7NAA20AA001YB02</v>
          </cell>
          <cell r="E1381" t="str">
            <v>РК темп ПБ КЗ</v>
          </cell>
        </row>
        <row r="1382">
          <cell r="B1382" t="str">
            <v>7PAH10AA001YB01</v>
          </cell>
          <cell r="E1382" t="str">
            <v>РК промивки ФКО кон-ра н.A КВ</v>
          </cell>
        </row>
        <row r="1383">
          <cell r="B1383" t="str">
            <v>7PAH10AA001YB02</v>
          </cell>
          <cell r="E1383" t="str">
            <v>РК промивки ФКО кон-ра н.A КЗ</v>
          </cell>
        </row>
        <row r="1384">
          <cell r="B1384" t="str">
            <v>7PAH20AA001YB01</v>
          </cell>
          <cell r="E1384" t="str">
            <v>РК промивки ФКО кон-ра н.Б КВ</v>
          </cell>
        </row>
        <row r="1385">
          <cell r="B1385" t="str">
            <v>7PAH20AA001YB02</v>
          </cell>
          <cell r="E1385" t="str">
            <v>РК промивки ФКО кон-ра н.Б КЗ</v>
          </cell>
        </row>
        <row r="1386">
          <cell r="B1386" t="str">
            <v>7NAB10AA001YB01</v>
          </cell>
          <cell r="E1386" t="str">
            <v>РК рівня ОБ КВ</v>
          </cell>
        </row>
        <row r="1387">
          <cell r="B1387" t="str">
            <v>7NAB10AA001YB02</v>
          </cell>
          <cell r="E1387" t="str">
            <v>РК рівня ОБ КЗ</v>
          </cell>
        </row>
        <row r="1388">
          <cell r="B1388" t="str">
            <v>7NAB20AA001YB01</v>
          </cell>
          <cell r="E1388" t="str">
            <v>РК рівня ПБ КВ</v>
          </cell>
        </row>
        <row r="1389">
          <cell r="B1389" t="str">
            <v>7NAB20AA001YB02</v>
          </cell>
          <cell r="E1389" t="str">
            <v>РК рівня ПБ КЗ</v>
          </cell>
        </row>
        <row r="1390">
          <cell r="B1390" t="str">
            <v>7LCJ10AA001YB01</v>
          </cell>
          <cell r="E1390" t="str">
            <v>РК рівня ПНТ-1 КВ</v>
          </cell>
        </row>
        <row r="1391">
          <cell r="B1391" t="str">
            <v>7LCJ10AA001YB02</v>
          </cell>
          <cell r="E1391" t="str">
            <v>РК рівня ПНТ-1 КЗ</v>
          </cell>
        </row>
        <row r="1392">
          <cell r="B1392" t="str">
            <v>7LCJ30AA001YB01</v>
          </cell>
          <cell r="E1392" t="str">
            <v>РК рівня ПНТ-3 КВ</v>
          </cell>
        </row>
        <row r="1393">
          <cell r="B1393" t="str">
            <v>7LCJ30AA001YB02</v>
          </cell>
          <cell r="E1393" t="str">
            <v>РК рівня ПНТ-3 КЗ</v>
          </cell>
        </row>
        <row r="1394">
          <cell r="B1394" t="str">
            <v>7LCJ40AA001YB01</v>
          </cell>
          <cell r="E1394" t="str">
            <v>РК рівня ПНТ-4 КВ</v>
          </cell>
        </row>
        <row r="1395">
          <cell r="B1395" t="str">
            <v>7LCJ40AA001YB02</v>
          </cell>
          <cell r="E1395" t="str">
            <v>РК рівня ПНТ-4 КЗ</v>
          </cell>
        </row>
        <row r="1396">
          <cell r="B1396" t="str">
            <v>7LCA10AA001YB01</v>
          </cell>
          <cell r="E1396" t="str">
            <v>РК рівня в конденсат КВ</v>
          </cell>
        </row>
        <row r="1397">
          <cell r="B1397" t="str">
            <v>7LCA10AA001YB02</v>
          </cell>
          <cell r="E1397" t="str">
            <v>РК рівня в конденсат КЗ</v>
          </cell>
        </row>
        <row r="1398">
          <cell r="B1398" t="str">
            <v>7NAB10AA001XB06</v>
          </cell>
          <cell r="E1398" t="str">
            <v>РК рівня ОБ НЖ</v>
          </cell>
        </row>
        <row r="1399">
          <cell r="B1399" t="str">
            <v>7NAB10AA001XB53</v>
          </cell>
          <cell r="E1399" t="str">
            <v>РК рівня ОБ РММ</v>
          </cell>
        </row>
        <row r="1400">
          <cell r="B1400" t="str">
            <v>7NAB10AA001XB51</v>
          </cell>
          <cell r="E1400" t="str">
            <v>РК рівня ОБ НВ</v>
          </cell>
        </row>
        <row r="1401">
          <cell r="B1401" t="str">
            <v>7NAB10AA001XB52</v>
          </cell>
          <cell r="E1401" t="str">
            <v>РК рівня ОБ НЗ</v>
          </cell>
        </row>
        <row r="1402">
          <cell r="B1402" t="str">
            <v>7NAB20AA001XB06</v>
          </cell>
          <cell r="E1402" t="str">
            <v>РК рівня ПБ НЖ</v>
          </cell>
        </row>
        <row r="1403">
          <cell r="B1403" t="str">
            <v>7NAB20AA001XB53</v>
          </cell>
          <cell r="E1403" t="str">
            <v>РК рівня ПБ РММ</v>
          </cell>
        </row>
        <row r="1404">
          <cell r="B1404" t="str">
            <v>7NAB20AA001XB51</v>
          </cell>
          <cell r="E1404" t="str">
            <v>РК рівня ПБ НВ</v>
          </cell>
        </row>
        <row r="1405">
          <cell r="B1405" t="str">
            <v>7NAB20AA001XB52</v>
          </cell>
          <cell r="E1405" t="str">
            <v>РК рівня ПБ НЗ</v>
          </cell>
        </row>
        <row r="1406">
          <cell r="B1406" t="str">
            <v>7LCA10AA001XB06</v>
          </cell>
          <cell r="E1406" t="str">
            <v>РК рівня в конденсат НЖ</v>
          </cell>
        </row>
        <row r="1407">
          <cell r="B1407" t="str">
            <v>7LCA10AA001XB51</v>
          </cell>
          <cell r="E1407" t="str">
            <v>РК рівня в конденсат НВ</v>
          </cell>
        </row>
        <row r="1408">
          <cell r="B1408" t="str">
            <v>7LCA10AA001XB52</v>
          </cell>
          <cell r="E1408" t="str">
            <v>РК рівня в конденсат НЗ</v>
          </cell>
        </row>
        <row r="1409">
          <cell r="B1409" t="str">
            <v>7PAH10AA001XB06</v>
          </cell>
          <cell r="E1409" t="str">
            <v>РК промивки ФКО кон-ра н.A НЖ</v>
          </cell>
        </row>
        <row r="1410">
          <cell r="B1410" t="str">
            <v>7PAH10AA001XB51</v>
          </cell>
          <cell r="E1410" t="str">
            <v>РК промивки ФКО кон-ра н.A НВ</v>
          </cell>
        </row>
        <row r="1411">
          <cell r="B1411" t="str">
            <v>7PAH10AA001XB52</v>
          </cell>
          <cell r="E1411" t="str">
            <v>РК промивки ФКО кон-ра н.A НЗ</v>
          </cell>
        </row>
        <row r="1412">
          <cell r="B1412" t="str">
            <v>7PAH20AA001XB06</v>
          </cell>
          <cell r="E1412" t="str">
            <v>РК промивки ФКО кон-ра н.Б НЖ</v>
          </cell>
        </row>
        <row r="1413">
          <cell r="B1413" t="str">
            <v>7PAH20AA001XB51</v>
          </cell>
          <cell r="E1413" t="str">
            <v>РК промивки ФКО кон-ра н.Б НВ</v>
          </cell>
        </row>
        <row r="1414">
          <cell r="B1414" t="str">
            <v>7PAH20AA001XB52</v>
          </cell>
          <cell r="E1414" t="str">
            <v>РК промивки ФКО кон-ра н.Б НЗ</v>
          </cell>
        </row>
        <row r="1415">
          <cell r="B1415" t="str">
            <v>7LCJ10AA001XB06</v>
          </cell>
          <cell r="E1415" t="str">
            <v>РК рівня ПНТ-1 НЖ</v>
          </cell>
        </row>
        <row r="1416">
          <cell r="B1416" t="str">
            <v>7LCJ10AA001XB51</v>
          </cell>
          <cell r="E1416" t="str">
            <v>РК рівня ПНТ-1 НВ</v>
          </cell>
        </row>
        <row r="1417">
          <cell r="B1417" t="str">
            <v>7LCJ10AA001XB52</v>
          </cell>
          <cell r="E1417" t="str">
            <v>РК рівня ПНТ-1 НЗ</v>
          </cell>
        </row>
        <row r="1418">
          <cell r="B1418" t="str">
            <v>7LCJ30AA001XB06</v>
          </cell>
          <cell r="E1418" t="str">
            <v>РК рівня ПНТ-3 НЖ</v>
          </cell>
        </row>
        <row r="1419">
          <cell r="B1419" t="str">
            <v>7LCJ30AA001XB51</v>
          </cell>
          <cell r="E1419" t="str">
            <v>РК рівня ПНТ-3 НВ</v>
          </cell>
        </row>
        <row r="1420">
          <cell r="B1420" t="str">
            <v>7LCJ30AA001XB52</v>
          </cell>
          <cell r="E1420" t="str">
            <v>РК рівня ПНТ-3 НЗ</v>
          </cell>
        </row>
        <row r="1421">
          <cell r="B1421" t="str">
            <v>7LCJ40AA001XB06</v>
          </cell>
          <cell r="E1421" t="str">
            <v>РК рівня ПНТ-4 НЖ</v>
          </cell>
        </row>
        <row r="1422">
          <cell r="B1422" t="str">
            <v>7LCJ40AA001XB51</v>
          </cell>
          <cell r="E1422" t="str">
            <v>РК рівня ПНТ-4 НВ</v>
          </cell>
        </row>
        <row r="1423">
          <cell r="B1423" t="str">
            <v>7LCJ40AA001XB52</v>
          </cell>
          <cell r="E1423" t="str">
            <v>РК рівня ПНТ-4 НЗ</v>
          </cell>
        </row>
        <row r="1424">
          <cell r="B1424" t="str">
            <v>7CHL00EY001XK05B</v>
          </cell>
          <cell r="E1424" t="str">
            <v>Дія зах на відключення турбіни</v>
          </cell>
        </row>
        <row r="1425">
          <cell r="B1425" t="str">
            <v>7LBQ80CG901XG02</v>
          </cell>
          <cell r="E1425" t="str">
            <v>Зворотн клапан ВТ №1 закр</v>
          </cell>
        </row>
        <row r="1426">
          <cell r="B1426" t="str">
            <v>7LBQ70CG901XG02</v>
          </cell>
          <cell r="E1426" t="str">
            <v>Зворотн клапан ВТ №2 закр</v>
          </cell>
        </row>
        <row r="1427">
          <cell r="B1427" t="str">
            <v>7LBQ60CG901XG02</v>
          </cell>
          <cell r="E1427" t="str">
            <v>Зворотн клапан ВТ №3 закр</v>
          </cell>
        </row>
        <row r="1428">
          <cell r="B1428" t="str">
            <v>7LBS40CG901XG02</v>
          </cell>
          <cell r="E1428" t="str">
            <v>Зворотн клапан №4 закр</v>
          </cell>
        </row>
        <row r="1429">
          <cell r="B1429" t="str">
            <v>7LBS30CG901XG02</v>
          </cell>
          <cell r="E1429" t="str">
            <v>Зворотн клапан №5 закр</v>
          </cell>
        </row>
        <row r="1430">
          <cell r="B1430" t="str">
            <v>7LBS20CG901XG02</v>
          </cell>
          <cell r="E1430" t="str">
            <v>Зворотн клапан №6 закр</v>
          </cell>
        </row>
        <row r="1431">
          <cell r="B1431" t="str">
            <v>7NAA20CG901XG02</v>
          </cell>
          <cell r="E1431" t="str">
            <v>Зворотн клапан №6 бойл закр</v>
          </cell>
        </row>
        <row r="1432">
          <cell r="B1432" t="str">
            <v>7NAA30CG901XG02</v>
          </cell>
          <cell r="E1432" t="str">
            <v>Зворотн клапан №5 бойл закр</v>
          </cell>
        </row>
        <row r="1433">
          <cell r="B1433" t="str">
            <v>7MAA01CG901XB06</v>
          </cell>
          <cell r="E1433" t="str">
            <v>СК ЦВТ</v>
          </cell>
        </row>
        <row r="1434">
          <cell r="B1434" t="str">
            <v>7MAA10CG001XG01</v>
          </cell>
          <cell r="E1434" t="str">
            <v>РК ЦВТ закриті</v>
          </cell>
        </row>
        <row r="1435">
          <cell r="B1435" t="str">
            <v>7LCB11AP001XB01</v>
          </cell>
          <cell r="E1435" t="str">
            <v>КН-7А ВКЛ</v>
          </cell>
        </row>
        <row r="1436">
          <cell r="B1436" t="str">
            <v>7LCB11AP001XB02</v>
          </cell>
          <cell r="E1436" t="str">
            <v>КН-7А ВІДКЛ</v>
          </cell>
        </row>
        <row r="1437">
          <cell r="B1437" t="str">
            <v>7LCB11AP001XB11</v>
          </cell>
          <cell r="E1437" t="str">
            <v>КН-7А ВІЗОК ВКОЧЕНИЙ</v>
          </cell>
        </row>
        <row r="1438">
          <cell r="B1438" t="str">
            <v>7LCB11AP001XB48</v>
          </cell>
          <cell r="E1438" t="str">
            <v>КН-7А РОБОТА ЕЛ ЗАХ</v>
          </cell>
        </row>
        <row r="1439">
          <cell r="B1439" t="str">
            <v>7LCB11AP001XB50</v>
          </cell>
          <cell r="E1439" t="str">
            <v>КН-7А ГОТОВН КІЛ КЕРУВ</v>
          </cell>
        </row>
        <row r="1440">
          <cell r="B1440" t="str">
            <v>7CRA50GS003XG01</v>
          </cell>
          <cell r="E1440" t="str">
            <v>ШАФА 7СRА50 НЕДОПУСТ.ТЕМПЕРАТ.</v>
          </cell>
        </row>
        <row r="1441">
          <cell r="B1441" t="str">
            <v>7CRA50GS001XG01</v>
          </cell>
          <cell r="E1441" t="str">
            <v>ШАФА 7CRA50 ВІДКРИТА</v>
          </cell>
        </row>
        <row r="1442">
          <cell r="B1442" t="str">
            <v>7LAV11AP001XB01</v>
          </cell>
          <cell r="E1442" t="str">
            <v>МН ЖЕН-7А1 ВКЛ</v>
          </cell>
        </row>
        <row r="1443">
          <cell r="B1443" t="str">
            <v>7LAV11AP001XB02</v>
          </cell>
          <cell r="E1443" t="str">
            <v>МН ЖЕН-7А1 ВІДКЛ</v>
          </cell>
        </row>
        <row r="1444">
          <cell r="B1444" t="str">
            <v>7LAV11AP001XB47</v>
          </cell>
          <cell r="E1444" t="str">
            <v>МН ЖЕН-7А1 ВІДКЛ АК</v>
          </cell>
        </row>
        <row r="1445">
          <cell r="B1445" t="str">
            <v>7LAV11AP001XB03</v>
          </cell>
          <cell r="E1445" t="str">
            <v>МН ЖЕН-7А1 НЕСПР КІЛ КЕРУВ</v>
          </cell>
        </row>
        <row r="1446">
          <cell r="B1446" t="str">
            <v>7LAV12AP001XB01</v>
          </cell>
          <cell r="E1446" t="str">
            <v>МН ЖЕН-7Б1 ВКЛ</v>
          </cell>
        </row>
        <row r="1447">
          <cell r="B1447" t="str">
            <v>7LAV12AP001XB02</v>
          </cell>
          <cell r="E1447" t="str">
            <v>МН ЖЕН-7Б1 ВІДКЛ</v>
          </cell>
        </row>
        <row r="1448">
          <cell r="B1448" t="str">
            <v>7LAV12AP001XB47</v>
          </cell>
          <cell r="E1448" t="str">
            <v>МН ЖЕН-7Б1 ВІДКЛ АК</v>
          </cell>
        </row>
        <row r="1449">
          <cell r="B1449" t="str">
            <v>7LAV12AP001XB03</v>
          </cell>
          <cell r="E1449" t="str">
            <v>МН ЖЕН-7Б1 НЕСПР КІЛ КЕРУВ</v>
          </cell>
        </row>
        <row r="1450">
          <cell r="B1450" t="str">
            <v>7LCP10AA102XB06</v>
          </cell>
          <cell r="E1450" t="str">
            <v>З-ка підж з ХОВ №1 НЖ</v>
          </cell>
        </row>
        <row r="1451">
          <cell r="B1451" t="str">
            <v>7LCP10AA102XB10</v>
          </cell>
          <cell r="E1451" t="str">
            <v>З-ка підж з ХОВ №1 ШТ</v>
          </cell>
        </row>
        <row r="1452">
          <cell r="B1452" t="str">
            <v>7LCP10AA102XB51</v>
          </cell>
          <cell r="E1452" t="str">
            <v>З-ка підж з ХОВ №1 НВ</v>
          </cell>
        </row>
        <row r="1453">
          <cell r="B1453" t="str">
            <v>7LCP10AA102XB52</v>
          </cell>
          <cell r="E1453" t="str">
            <v>З-ка підж з ХОВ №1 НЗ</v>
          </cell>
        </row>
        <row r="1454">
          <cell r="B1454" t="str">
            <v>7LCP20AA102XB06</v>
          </cell>
          <cell r="E1454" t="str">
            <v>З-ка підж з ХОВ №2 НЖ</v>
          </cell>
        </row>
        <row r="1455">
          <cell r="B1455" t="str">
            <v>7LCP20AA102XB10</v>
          </cell>
          <cell r="E1455" t="str">
            <v>З-ка підж з ХОВ №2 ШТ</v>
          </cell>
        </row>
        <row r="1456">
          <cell r="B1456" t="str">
            <v>7LCP20AA102XB51</v>
          </cell>
          <cell r="E1456" t="str">
            <v>З-ка підж з ХОВ №2 НВ</v>
          </cell>
        </row>
        <row r="1457">
          <cell r="B1457" t="str">
            <v>7LCP20AA102XB52</v>
          </cell>
          <cell r="E1457" t="str">
            <v>З-ка підж з ХОВ №2 НЗ</v>
          </cell>
        </row>
        <row r="1458">
          <cell r="B1458" t="str">
            <v>7LBS40AA101XB06</v>
          </cell>
          <cell r="E1458" t="str">
            <v>З-ка 5 відб на ПНТ-4 НЖ</v>
          </cell>
        </row>
        <row r="1459">
          <cell r="B1459" t="str">
            <v>7LBS40AA101XB10</v>
          </cell>
          <cell r="E1459" t="str">
            <v>З-ка 5 відб на ПНТ-4 ШТ</v>
          </cell>
        </row>
        <row r="1460">
          <cell r="B1460" t="str">
            <v>7LBS40AA101XB51</v>
          </cell>
          <cell r="E1460" t="str">
            <v>З-ка 5 відб на ПНТ-4 НВ</v>
          </cell>
        </row>
        <row r="1461">
          <cell r="B1461" t="str">
            <v>7LBS40AA101XB52</v>
          </cell>
          <cell r="E1461" t="str">
            <v>З-ка 5 відб на ПНТ-4 НЗ</v>
          </cell>
        </row>
        <row r="1462">
          <cell r="B1462" t="str">
            <v>7LBS30AA101XB06</v>
          </cell>
          <cell r="E1462" t="str">
            <v>З-ка 6 відб на ПНТ-3 НЖ</v>
          </cell>
        </row>
        <row r="1463">
          <cell r="B1463" t="str">
            <v>7LBS30AA101XB10</v>
          </cell>
          <cell r="E1463" t="str">
            <v>З-ка 6 відб на ПНТ-3 ШТ</v>
          </cell>
        </row>
        <row r="1464">
          <cell r="B1464" t="str">
            <v>7LBS30AA101XB51</v>
          </cell>
          <cell r="E1464" t="str">
            <v>З-ка 6 відб на ПНТ-3 НВ</v>
          </cell>
        </row>
        <row r="1465">
          <cell r="B1465" t="str">
            <v>7LBS30AA101XB52</v>
          </cell>
          <cell r="E1465" t="str">
            <v>З-ка 6 відб на ПНТ-3 НЗ</v>
          </cell>
        </row>
        <row r="1466">
          <cell r="B1466" t="str">
            <v>7LBA11AA101XB06</v>
          </cell>
          <cell r="E1466" t="str">
            <v>Шунт РОУ-А №1 НЖ</v>
          </cell>
        </row>
        <row r="1467">
          <cell r="B1467" t="str">
            <v>7LBA11AA101XB10</v>
          </cell>
          <cell r="E1467" t="str">
            <v>Шунт РОУ-А №1 ШТ</v>
          </cell>
        </row>
        <row r="1468">
          <cell r="B1468" t="str">
            <v>7LBA11AA101XB51</v>
          </cell>
          <cell r="E1468" t="str">
            <v>Шунт РОУ-А №1 НВ</v>
          </cell>
        </row>
        <row r="1469">
          <cell r="B1469" t="str">
            <v>7LBA11AA101XB52</v>
          </cell>
          <cell r="E1469" t="str">
            <v>Шунт РОУ-А №1 ШТ</v>
          </cell>
        </row>
        <row r="1470">
          <cell r="B1470" t="str">
            <v>7LBA11AA102XB06</v>
          </cell>
          <cell r="E1470" t="str">
            <v>Шунт РОУ-А №2 НЖ</v>
          </cell>
        </row>
        <row r="1471">
          <cell r="B1471" t="str">
            <v>7LBA11AA102XB10</v>
          </cell>
          <cell r="E1471" t="str">
            <v>Шунт РОУ-А №2 ШТ</v>
          </cell>
        </row>
        <row r="1472">
          <cell r="B1472" t="str">
            <v>7LBA11AA102XB51</v>
          </cell>
          <cell r="E1472" t="str">
            <v>Шунт РОУ-А №2 НВ</v>
          </cell>
        </row>
        <row r="1473">
          <cell r="B1473" t="str">
            <v>7LBA11AA102XB52</v>
          </cell>
          <cell r="E1473" t="str">
            <v>Шунт РОУ-А №2 НЗ</v>
          </cell>
        </row>
        <row r="1474">
          <cell r="B1474" t="str">
            <v>7LCA17AA101XB06</v>
          </cell>
          <cell r="E1474" t="str">
            <v>З-ка вприску в РОУ НЖ</v>
          </cell>
        </row>
        <row r="1475">
          <cell r="B1475" t="str">
            <v>7LCA17AA101XB10</v>
          </cell>
          <cell r="E1475" t="str">
            <v>З-ка вприску в РОУ ШТ</v>
          </cell>
        </row>
        <row r="1476">
          <cell r="B1476" t="str">
            <v>7LCA17AA101XB51</v>
          </cell>
          <cell r="E1476" t="str">
            <v>З-ка вприску в РОУ НВ</v>
          </cell>
        </row>
        <row r="1477">
          <cell r="B1477" t="str">
            <v>7LCA17AA101XB52</v>
          </cell>
          <cell r="E1477" t="str">
            <v>З-ка вприску в РОУ НЗ</v>
          </cell>
        </row>
        <row r="1478">
          <cell r="B1478" t="str">
            <v>7LCA11AA101XB06</v>
          </cell>
          <cell r="E1478" t="str">
            <v>З-ка вприску РОУ-А №1 НЖ</v>
          </cell>
        </row>
        <row r="1479">
          <cell r="B1479" t="str">
            <v>7LCA11AA101XB10</v>
          </cell>
          <cell r="E1479" t="str">
            <v>З-ка вприску РОУ-А №1 ШТ</v>
          </cell>
        </row>
        <row r="1480">
          <cell r="B1480" t="str">
            <v>7LCA11AA101XB51</v>
          </cell>
          <cell r="E1480" t="str">
            <v>З-ка вприску РОУ-А №1 НВ</v>
          </cell>
        </row>
        <row r="1481">
          <cell r="B1481" t="str">
            <v>7LCA11AA101XB52</v>
          </cell>
          <cell r="E1481" t="str">
            <v>З-ка вприску РОУ-А №1 НЗ</v>
          </cell>
        </row>
        <row r="1482">
          <cell r="B1482" t="str">
            <v>7LCA11AA102XB06</v>
          </cell>
          <cell r="E1482" t="str">
            <v>З-ка вприску РОУ-А №2 НЖ</v>
          </cell>
        </row>
        <row r="1483">
          <cell r="B1483" t="str">
            <v>7LCA11AA102XB10</v>
          </cell>
          <cell r="E1483" t="str">
            <v>З-ка вприску РОУ-А №2 ШТ</v>
          </cell>
        </row>
        <row r="1484">
          <cell r="B1484" t="str">
            <v>7LCA11AA102XB51</v>
          </cell>
          <cell r="E1484" t="str">
            <v>З-ка вприску РОУ-А №2 НВ</v>
          </cell>
        </row>
        <row r="1485">
          <cell r="B1485" t="str">
            <v>7LCA11AA102XB52</v>
          </cell>
          <cell r="E1485" t="str">
            <v>З-ка вприску РОУ-А №2 НЗ</v>
          </cell>
        </row>
        <row r="1486">
          <cell r="B1486" t="str">
            <v>7LCB11AP001YB01</v>
          </cell>
          <cell r="E1486" t="str">
            <v>КН-7А КВ</v>
          </cell>
        </row>
        <row r="1487">
          <cell r="B1487" t="str">
            <v>7LCB11AP001YB02</v>
          </cell>
          <cell r="E1487" t="str">
            <v>КН-7А КО</v>
          </cell>
        </row>
        <row r="1488">
          <cell r="B1488" t="str">
            <v>7LAV11AP001YB01</v>
          </cell>
          <cell r="E1488" t="str">
            <v>МН ЖЕН-7А1 КВ</v>
          </cell>
        </row>
        <row r="1489">
          <cell r="B1489" t="str">
            <v>7LAV11AP001YB02</v>
          </cell>
          <cell r="E1489" t="str">
            <v>МН ЖЕН-7А1 КО</v>
          </cell>
        </row>
        <row r="1490">
          <cell r="B1490" t="str">
            <v>7LAV12AP001YB01</v>
          </cell>
          <cell r="E1490" t="str">
            <v>МН ЖЕН-7Б1 КВ</v>
          </cell>
        </row>
        <row r="1491">
          <cell r="B1491" t="str">
            <v>7LAV12AP001YB02</v>
          </cell>
          <cell r="E1491" t="str">
            <v>МН ЖЕН-7Б1 КО</v>
          </cell>
        </row>
        <row r="1492">
          <cell r="B1492" t="str">
            <v>7LCA11AA101YB01</v>
          </cell>
          <cell r="E1492" t="str">
            <v>З-ка вприску РОУ-А №1 КВ</v>
          </cell>
        </row>
        <row r="1493">
          <cell r="B1493" t="str">
            <v>7LCA11AA101YB02</v>
          </cell>
          <cell r="E1493" t="str">
            <v>З-ка вприску РОУ-А №1 КЗ</v>
          </cell>
        </row>
        <row r="1494">
          <cell r="B1494" t="str">
            <v>7LCA11AA102YB01</v>
          </cell>
          <cell r="E1494" t="str">
            <v>З-ка вприску РОУ-А №2 КВ</v>
          </cell>
        </row>
        <row r="1495">
          <cell r="B1495" t="str">
            <v>7LCA11AA102YB02</v>
          </cell>
          <cell r="E1495" t="str">
            <v>З-ка вприску РОУ-А №2 КЗ</v>
          </cell>
        </row>
        <row r="1496">
          <cell r="B1496" t="str">
            <v>7LCP10AA102YB01</v>
          </cell>
          <cell r="E1496" t="str">
            <v>З-ка підж з ХОВ №1 КВ</v>
          </cell>
        </row>
        <row r="1497">
          <cell r="B1497" t="str">
            <v>7LCP10AA102YB02</v>
          </cell>
          <cell r="E1497" t="str">
            <v>З-ка підж з ХОВ №1 КЗ</v>
          </cell>
        </row>
        <row r="1498">
          <cell r="B1498" t="str">
            <v>7LCP20AA102YB01</v>
          </cell>
          <cell r="E1498" t="str">
            <v>З-ка підж з ХОВ №2 КВ</v>
          </cell>
        </row>
        <row r="1499">
          <cell r="B1499" t="str">
            <v>7LCP20AA102YB02</v>
          </cell>
          <cell r="E1499" t="str">
            <v>З-ка підж з ХОВ №2 КЗ</v>
          </cell>
        </row>
        <row r="1500">
          <cell r="B1500" t="str">
            <v>7LBS40AA101YB01</v>
          </cell>
          <cell r="E1500" t="str">
            <v>З-ка 5 відб на ПНТ-4 КВ</v>
          </cell>
        </row>
        <row r="1501">
          <cell r="B1501" t="str">
            <v>7LBS40AA101YB02</v>
          </cell>
          <cell r="E1501" t="str">
            <v>З-ка 5 відб на ПНТ-4 КЗ</v>
          </cell>
        </row>
        <row r="1502">
          <cell r="B1502" t="str">
            <v>7LBS30AA101YB01</v>
          </cell>
          <cell r="E1502" t="str">
            <v>З-ка 6 відб на ПНТ-3 КВ</v>
          </cell>
        </row>
        <row r="1503">
          <cell r="B1503" t="str">
            <v>7LBS30AA101YB02</v>
          </cell>
          <cell r="E1503" t="str">
            <v>З-ка 6 відб на ПНТ-3 КЗ</v>
          </cell>
        </row>
        <row r="1504">
          <cell r="B1504" t="str">
            <v>7LBA11AA101YB01</v>
          </cell>
          <cell r="E1504" t="str">
            <v>Шунт РОУ-А №1 КВ</v>
          </cell>
        </row>
        <row r="1505">
          <cell r="B1505" t="str">
            <v>7LBA11AA101YB02</v>
          </cell>
          <cell r="E1505" t="str">
            <v>Шунт РОУ-А №1 КЗ</v>
          </cell>
        </row>
        <row r="1506">
          <cell r="B1506" t="str">
            <v>7LBA11AA102YB01</v>
          </cell>
          <cell r="E1506" t="str">
            <v>Шунт РОУ-А №2 КВ</v>
          </cell>
        </row>
        <row r="1507">
          <cell r="B1507" t="str">
            <v>7LBA11AA102YB02</v>
          </cell>
          <cell r="E1507" t="str">
            <v>Шунт РОУ-А №2 КЗ</v>
          </cell>
        </row>
        <row r="1508">
          <cell r="B1508" t="str">
            <v>7LCA17AA101YB01</v>
          </cell>
          <cell r="E1508" t="str">
            <v>З-ка вприску в РОУ КВ</v>
          </cell>
        </row>
        <row r="1509">
          <cell r="B1509" t="str">
            <v>7LCA17AA101YB02</v>
          </cell>
          <cell r="E1509" t="str">
            <v>З-ка вприску в РОУ КЗ</v>
          </cell>
        </row>
        <row r="1510">
          <cell r="B1510" t="str">
            <v>7LCA13AA101YB01</v>
          </cell>
          <cell r="E1510" t="str">
            <v>З-ка кінцевий вприск КВ</v>
          </cell>
        </row>
        <row r="1511">
          <cell r="B1511" t="str">
            <v>7LCA13AA101YB02</v>
          </cell>
          <cell r="E1511" t="str">
            <v>З-ка кінцевий вприск КЗ</v>
          </cell>
        </row>
        <row r="1512">
          <cell r="B1512" t="str">
            <v>7LBQ50AA101YB02</v>
          </cell>
          <cell r="E1512" t="str">
            <v>З-ка 4 відб на ДВТ КВ</v>
          </cell>
        </row>
        <row r="1513">
          <cell r="B1513" t="str">
            <v>7LBQ50AA101YB01</v>
          </cell>
          <cell r="E1513" t="str">
            <v>З-ка 4 відб на ДВТ КЗ</v>
          </cell>
        </row>
        <row r="1514">
          <cell r="B1514" t="str">
            <v>7LCA14AA101YB01</v>
          </cell>
          <cell r="E1514" t="str">
            <v>З-ка скид в БЗК КВ</v>
          </cell>
        </row>
        <row r="1515">
          <cell r="B1515" t="str">
            <v>7LCA14AA101YB02</v>
          </cell>
          <cell r="E1515" t="str">
            <v>З-ка скид в БЗК КЗ</v>
          </cell>
        </row>
        <row r="1516">
          <cell r="B1516" t="str">
            <v>7LCH60AA101YB01</v>
          </cell>
          <cell r="E1516" t="str">
            <v>Дренаж КГП ПВТ в ДВТ КВ</v>
          </cell>
        </row>
        <row r="1517">
          <cell r="B1517" t="str">
            <v>7LCH60AA101YB02</v>
          </cell>
          <cell r="E1517" t="str">
            <v>Дренаж КГП ПВТ в ДВТ КЗ</v>
          </cell>
        </row>
        <row r="1518">
          <cell r="B1518" t="str">
            <v>7LBA12AA101YB01</v>
          </cell>
          <cell r="E1518" t="str">
            <v>Шунт РОУ-Б №1 КВ</v>
          </cell>
        </row>
        <row r="1519">
          <cell r="B1519" t="str">
            <v>7LBA12AA101YB02</v>
          </cell>
          <cell r="E1519" t="str">
            <v>Шунт РОУ-Б №1 КЗ</v>
          </cell>
        </row>
        <row r="1520">
          <cell r="B1520" t="str">
            <v>7LBA12AA102YB01</v>
          </cell>
          <cell r="E1520" t="str">
            <v>Шунт РОУ-Б №2 КВ</v>
          </cell>
        </row>
        <row r="1521">
          <cell r="B1521" t="str">
            <v>7LBA12AA102YB02</v>
          </cell>
          <cell r="E1521" t="str">
            <v>Шунт РОУ-Б №2 КЗ</v>
          </cell>
        </row>
        <row r="1522">
          <cell r="B1522" t="str">
            <v>7LCB12AP001YB01</v>
          </cell>
          <cell r="E1522" t="str">
            <v>КН-7Б КВ</v>
          </cell>
        </row>
        <row r="1523">
          <cell r="B1523" t="str">
            <v>7LCB12AP001YB02</v>
          </cell>
          <cell r="E1523" t="str">
            <v>КН-7Б КО</v>
          </cell>
        </row>
        <row r="1524">
          <cell r="B1524" t="str">
            <v>7LAV11AP002YB01</v>
          </cell>
          <cell r="E1524" t="str">
            <v>МН ЖЕН-7А2 КВ</v>
          </cell>
        </row>
        <row r="1525">
          <cell r="B1525" t="str">
            <v>7LAV11AP002YB02</v>
          </cell>
          <cell r="E1525" t="str">
            <v>МН ЖЕН-7А2 КО</v>
          </cell>
        </row>
        <row r="1526">
          <cell r="B1526" t="str">
            <v>7LAV12AP002YB01</v>
          </cell>
          <cell r="E1526" t="str">
            <v>МН ЖЕН-7Б2 КВ</v>
          </cell>
        </row>
        <row r="1527">
          <cell r="B1527" t="str">
            <v>7LAV12AP002YB02</v>
          </cell>
          <cell r="E1527" t="str">
            <v>МН ЖЕН-7Б2 КО</v>
          </cell>
        </row>
        <row r="1528">
          <cell r="B1528" t="str">
            <v>7LCA12AA101YB01</v>
          </cell>
          <cell r="E1528" t="str">
            <v>З-ка вприск РОУ-Б №1 КВ</v>
          </cell>
        </row>
        <row r="1529">
          <cell r="B1529" t="str">
            <v>7LCA12AA101YB02</v>
          </cell>
          <cell r="E1529" t="str">
            <v>З-ка вприск РОУ-Б №1 КЗ</v>
          </cell>
        </row>
        <row r="1530">
          <cell r="B1530" t="str">
            <v>7LCA12AA102YB01</v>
          </cell>
          <cell r="E1530" t="str">
            <v>З-ка вприск РОУ-Б №2 КВ</v>
          </cell>
        </row>
        <row r="1531">
          <cell r="B1531" t="str">
            <v>7LCA12AA102YB02</v>
          </cell>
          <cell r="E1531" t="str">
            <v>З-ка вприск РОУ-Б №2 КЗ</v>
          </cell>
        </row>
        <row r="1532">
          <cell r="B1532" t="str">
            <v>7LCA12AA101XB06</v>
          </cell>
          <cell r="E1532" t="str">
            <v>З-ка вприску РОУ-Б №1 НЖ</v>
          </cell>
        </row>
        <row r="1533">
          <cell r="B1533" t="str">
            <v>7LCA12AA101XB10</v>
          </cell>
          <cell r="E1533" t="str">
            <v>З-ка вприску РОУ-Б №1 ШТ</v>
          </cell>
        </row>
        <row r="1534">
          <cell r="B1534" t="str">
            <v>7LCA12AA101XB51</v>
          </cell>
          <cell r="E1534" t="str">
            <v>З-ка вприску РОУ-Б №1 НВ</v>
          </cell>
        </row>
        <row r="1535">
          <cell r="B1535" t="str">
            <v>7LCA12AA101XB52</v>
          </cell>
          <cell r="E1535" t="str">
            <v>З-ка вприску РОУ-Б №1 НЗ</v>
          </cell>
        </row>
        <row r="1536">
          <cell r="B1536" t="str">
            <v>7LCA12AA102XB06</v>
          </cell>
          <cell r="E1536" t="str">
            <v>З-ка вприску РОУ-Б №2 НЖ</v>
          </cell>
        </row>
        <row r="1537">
          <cell r="B1537" t="str">
            <v>7LCA12AA102XB10</v>
          </cell>
          <cell r="E1537" t="str">
            <v>З-ка вприску РОУ-Б №2 ШТ</v>
          </cell>
        </row>
        <row r="1538">
          <cell r="B1538" t="str">
            <v>7LCA12AA102XB51</v>
          </cell>
          <cell r="E1538" t="str">
            <v>З-ка вприску РОУ-Б №2 НВ</v>
          </cell>
        </row>
        <row r="1539">
          <cell r="B1539" t="str">
            <v>7LCA12AA102XB52</v>
          </cell>
          <cell r="E1539" t="str">
            <v>З-ка вприску РОУ-Б №2 НЗ</v>
          </cell>
        </row>
        <row r="1540">
          <cell r="B1540" t="str">
            <v>7LBA12AA101XB06</v>
          </cell>
          <cell r="E1540" t="str">
            <v>Шунт РОУ-Б №1 НЖ</v>
          </cell>
        </row>
        <row r="1541">
          <cell r="B1541" t="str">
            <v>7LBA12AA101XB10</v>
          </cell>
          <cell r="E1541" t="str">
            <v>Шунт РОУ-Б №1 ШТ</v>
          </cell>
        </row>
        <row r="1542">
          <cell r="B1542" t="str">
            <v>7LBA12AA101XB51</v>
          </cell>
          <cell r="E1542" t="str">
            <v>Шунт РОУ-Б №1 НВ</v>
          </cell>
        </row>
        <row r="1543">
          <cell r="B1543" t="str">
            <v>7LBA12AA101XB52</v>
          </cell>
          <cell r="E1543" t="str">
            <v>Шунт РОУ-Б №1 НЗ</v>
          </cell>
        </row>
        <row r="1544">
          <cell r="B1544" t="str">
            <v>7LBA12AA102XB06</v>
          </cell>
          <cell r="E1544" t="str">
            <v>Шунт РОУ-Б №2 НЖ</v>
          </cell>
        </row>
        <row r="1545">
          <cell r="B1545" t="str">
            <v>7LBA12AA102XB10</v>
          </cell>
          <cell r="E1545" t="str">
            <v>Шунт РОУ-Б №2 ШТ</v>
          </cell>
        </row>
        <row r="1546">
          <cell r="B1546" t="str">
            <v>7LBA12AA102XB51</v>
          </cell>
          <cell r="E1546" t="str">
            <v>Шунт РОУ-Б №2 НВ</v>
          </cell>
        </row>
        <row r="1547">
          <cell r="B1547" t="str">
            <v>7LBA12AA102XB52</v>
          </cell>
          <cell r="E1547" t="str">
            <v>Шунт РОУ-Б №2 НЗ</v>
          </cell>
        </row>
        <row r="1548">
          <cell r="B1548" t="str">
            <v>7LCA13AA101XB06</v>
          </cell>
          <cell r="E1548" t="str">
            <v>З-ка кінцевий вприск НЖ</v>
          </cell>
        </row>
        <row r="1549">
          <cell r="B1549" t="str">
            <v>7LCA13AA101XB10</v>
          </cell>
          <cell r="E1549" t="str">
            <v>З-ка кінцевий вприск ШТ</v>
          </cell>
        </row>
        <row r="1550">
          <cell r="B1550" t="str">
            <v>7LCA13AA101XB51</v>
          </cell>
          <cell r="E1550" t="str">
            <v>З-ка кінцевий вприск НВ</v>
          </cell>
        </row>
        <row r="1551">
          <cell r="B1551" t="str">
            <v>7LCA13AA101XB52</v>
          </cell>
          <cell r="E1551" t="str">
            <v>З-ка кінцевий вприск НЗ</v>
          </cell>
        </row>
        <row r="1552">
          <cell r="B1552" t="str">
            <v>7LBQ50AA101XB06</v>
          </cell>
          <cell r="E1552" t="str">
            <v>З-ка 4 відб на ДВТ НЖ</v>
          </cell>
        </row>
        <row r="1553">
          <cell r="B1553" t="str">
            <v>7LBQ50AA101XB10</v>
          </cell>
          <cell r="E1553" t="str">
            <v>З-ка 4 відб на ДВТ ШТ</v>
          </cell>
        </row>
        <row r="1554">
          <cell r="B1554" t="str">
            <v>7LBQ50AA101XB51</v>
          </cell>
          <cell r="E1554" t="str">
            <v>З-ка 4 відб на ДВТ НВ</v>
          </cell>
        </row>
        <row r="1555">
          <cell r="B1555" t="str">
            <v>7LBQ50AA101XB52</v>
          </cell>
          <cell r="E1555" t="str">
            <v>З-ка 4 відб на ДВТ НЗ</v>
          </cell>
        </row>
        <row r="1556">
          <cell r="B1556" t="str">
            <v>7LCA14AA101XB06</v>
          </cell>
          <cell r="E1556" t="str">
            <v>З-ка скид в БЗК НЖ</v>
          </cell>
        </row>
        <row r="1557">
          <cell r="B1557" t="str">
            <v>7LCA14AA101XB10</v>
          </cell>
          <cell r="E1557" t="str">
            <v>З-ка скид в БЗК ШТ</v>
          </cell>
        </row>
        <row r="1558">
          <cell r="B1558" t="str">
            <v>7LCA14AA101XB51</v>
          </cell>
          <cell r="E1558" t="str">
            <v>З-ка скид в БЗК НВ</v>
          </cell>
        </row>
        <row r="1559">
          <cell r="B1559" t="str">
            <v>7LCA14AA101XB52</v>
          </cell>
          <cell r="E1559" t="str">
            <v>З-ка скид в БЗК НЗ</v>
          </cell>
        </row>
        <row r="1560">
          <cell r="B1560" t="str">
            <v>7LCH60AA101XB06</v>
          </cell>
          <cell r="E1560" t="str">
            <v>Дренаж КГП ПВТ в ДВТ НЖ</v>
          </cell>
        </row>
        <row r="1561">
          <cell r="B1561" t="str">
            <v>7LCH60AA101XB10</v>
          </cell>
          <cell r="E1561" t="str">
            <v>Дренаж КГП ПВТ в ДВТ ШТ</v>
          </cell>
        </row>
        <row r="1562">
          <cell r="B1562" t="str">
            <v>7LCH60AA101XB51</v>
          </cell>
          <cell r="E1562" t="str">
            <v>Дренаж КГП ПВТ в ДВТ НВ</v>
          </cell>
        </row>
        <row r="1563">
          <cell r="B1563" t="str">
            <v>7LCH60AA101XB52</v>
          </cell>
          <cell r="E1563" t="str">
            <v>Дренаж КГП ПВТ в ДВТ НЗ</v>
          </cell>
        </row>
        <row r="1564">
          <cell r="B1564" t="str">
            <v>7LAV11AP002XB01</v>
          </cell>
          <cell r="E1564" t="str">
            <v>МН ЖЕН-7А2 ВКЛ</v>
          </cell>
        </row>
        <row r="1565">
          <cell r="B1565" t="str">
            <v>7LAV11AP002XB02</v>
          </cell>
          <cell r="E1565" t="str">
            <v>МН ЖЕН-7А2 ВІДКЛ</v>
          </cell>
        </row>
        <row r="1566">
          <cell r="B1566" t="str">
            <v>7LAV11AP002XB47</v>
          </cell>
          <cell r="E1566" t="str">
            <v>МН ЖЕН-7А2 ВІДКЛ АК</v>
          </cell>
        </row>
        <row r="1567">
          <cell r="B1567" t="str">
            <v>7LAV11AP002XB03</v>
          </cell>
          <cell r="E1567" t="str">
            <v>МН ЖЕН-7А2 НЕСПР КІЛ КЕРУВ</v>
          </cell>
        </row>
        <row r="1568">
          <cell r="B1568" t="str">
            <v>7LAV12AP002XB01</v>
          </cell>
          <cell r="E1568" t="str">
            <v>МН ЖЕН-7Б2 ВКЛ</v>
          </cell>
        </row>
        <row r="1569">
          <cell r="B1569" t="str">
            <v>7LAV12AP002XB02</v>
          </cell>
          <cell r="E1569" t="str">
            <v>МН ЖЕН-7Б2 ВІДКЛ</v>
          </cell>
        </row>
        <row r="1570">
          <cell r="B1570" t="str">
            <v>7LAV12AP002XB47</v>
          </cell>
          <cell r="E1570" t="str">
            <v>МН ЖЕН-7Б2 ВІДКЛ АК</v>
          </cell>
        </row>
        <row r="1571">
          <cell r="B1571" t="str">
            <v>7LAV12AP002XB03</v>
          </cell>
          <cell r="E1571" t="str">
            <v>МН ЖЕН-7Б2 НЕСПР КІЛ КЕРУВ</v>
          </cell>
        </row>
        <row r="1572">
          <cell r="B1572" t="str">
            <v>7LCB12AP001XB01</v>
          </cell>
          <cell r="E1572" t="str">
            <v>КН-7Б ВКЛ</v>
          </cell>
        </row>
        <row r="1573">
          <cell r="B1573" t="str">
            <v>7LCB12AP001XB02</v>
          </cell>
          <cell r="E1573" t="str">
            <v>КН-7Б ВІДКЛ АК</v>
          </cell>
        </row>
        <row r="1574">
          <cell r="B1574" t="str">
            <v>7LCB12AP001XB11</v>
          </cell>
          <cell r="E1574" t="str">
            <v>КН-7Б ВІЗОК ВКОЧЕНИЙ</v>
          </cell>
        </row>
        <row r="1575">
          <cell r="B1575" t="str">
            <v>7LCB12AP001XB48</v>
          </cell>
          <cell r="E1575" t="str">
            <v>КН-7Б РОБОТА ЕЛ ЗАХ</v>
          </cell>
        </row>
        <row r="1576">
          <cell r="B1576" t="str">
            <v>7LCB12AP001XB50</v>
          </cell>
          <cell r="E1576" t="str">
            <v>КН-7Б ГОТОВН КІЛ КЕРУВ</v>
          </cell>
        </row>
        <row r="1577">
          <cell r="B1577" t="str">
            <v>7LBC20AA102XB06</v>
          </cell>
          <cell r="E1577" t="str">
            <v>Пара ХПП-Б на ТГ-8 НЖ</v>
          </cell>
        </row>
        <row r="1578">
          <cell r="B1578" t="str">
            <v>7LBC20AA102XB10</v>
          </cell>
          <cell r="E1578" t="str">
            <v>Пара ХПП-Б на ТГ-8 ШТ</v>
          </cell>
        </row>
        <row r="1579">
          <cell r="B1579" t="str">
            <v>7LBC20AA102XB51</v>
          </cell>
          <cell r="E1579" t="str">
            <v>Пара ХПП-Б на ТГ-8 НВ</v>
          </cell>
        </row>
        <row r="1580">
          <cell r="B1580" t="str">
            <v>7LBC20AA102XB52</v>
          </cell>
          <cell r="E1580" t="str">
            <v>Пара ХПП-Б на ТГ-8 НЗ</v>
          </cell>
        </row>
        <row r="1581">
          <cell r="B1581" t="str">
            <v>7LBC15AA101XB06</v>
          </cell>
          <cell r="E1581" t="str">
            <v>Пара ХПП на ежектор НЖ</v>
          </cell>
        </row>
        <row r="1582">
          <cell r="B1582" t="str">
            <v>7LBC15AA101XB10</v>
          </cell>
          <cell r="E1582" t="str">
            <v>Пара ХПП на ежектор ШТ</v>
          </cell>
        </row>
        <row r="1583">
          <cell r="B1583" t="str">
            <v>7LBC15AA101XB51</v>
          </cell>
          <cell r="E1583" t="str">
            <v>Пара ХПП на ежектор НВ</v>
          </cell>
        </row>
        <row r="1584">
          <cell r="B1584" t="str">
            <v>7LBC15AA101XB52</v>
          </cell>
          <cell r="E1584" t="str">
            <v>Пара ХПП на ежектор НЗ</v>
          </cell>
        </row>
        <row r="1585">
          <cell r="B1585" t="str">
            <v>7LCA10AA102XB06</v>
          </cell>
          <cell r="E1585" t="str">
            <v>Вхід конд в ПНТ-1 НЖ</v>
          </cell>
        </row>
        <row r="1586">
          <cell r="B1586" t="str">
            <v>7LCA10AA102XB10</v>
          </cell>
          <cell r="E1586" t="str">
            <v>Вхід конд в ПНТ-1 ШТ</v>
          </cell>
        </row>
        <row r="1587">
          <cell r="B1587" t="str">
            <v>7LCA10AA102XB51</v>
          </cell>
          <cell r="E1587" t="str">
            <v>Вхід конд в ПНТ-1 НВ</v>
          </cell>
        </row>
        <row r="1588">
          <cell r="B1588" t="str">
            <v>7LCA10AA102XB52</v>
          </cell>
          <cell r="E1588" t="str">
            <v>Вхід конд в ПНТ-1 НЗ</v>
          </cell>
        </row>
        <row r="1589">
          <cell r="B1589" t="str">
            <v>7LCA50AA101XB06</v>
          </cell>
          <cell r="E1589" t="str">
            <v>Вихід конд з ПНТ-4 НЖ</v>
          </cell>
        </row>
        <row r="1590">
          <cell r="B1590" t="str">
            <v>7LCA50AA101XB10</v>
          </cell>
          <cell r="E1590" t="str">
            <v>Вихід конд з ПНТ-4 ШТ</v>
          </cell>
        </row>
        <row r="1591">
          <cell r="B1591" t="str">
            <v>7LCA50AA101XB51</v>
          </cell>
          <cell r="E1591" t="str">
            <v>Вихід конд з ПНТ-4 НВ</v>
          </cell>
        </row>
        <row r="1592">
          <cell r="B1592" t="str">
            <v>7LCA50AA101XB52</v>
          </cell>
          <cell r="E1592" t="str">
            <v>Вихід конд з ПНТ-4 НЗ</v>
          </cell>
        </row>
        <row r="1593">
          <cell r="B1593" t="str">
            <v>7LCM10AA101XB06</v>
          </cell>
          <cell r="E1593" t="str">
            <v>З-ка дренаж з БНТ НЖ</v>
          </cell>
        </row>
        <row r="1594">
          <cell r="B1594" t="str">
            <v>7LCM10AA101XB10</v>
          </cell>
          <cell r="E1594" t="str">
            <v>З-ка дренаж з БНТ ШТ</v>
          </cell>
        </row>
        <row r="1595">
          <cell r="B1595" t="str">
            <v>7LCM10AA101XB51</v>
          </cell>
          <cell r="E1595" t="str">
            <v>З-ка дренаж з БНТ НВ</v>
          </cell>
        </row>
        <row r="1596">
          <cell r="B1596" t="str">
            <v>7LCM10AA101XB52</v>
          </cell>
          <cell r="E1596" t="str">
            <v>З-ка дренаж з БНТ НЗ</v>
          </cell>
        </row>
        <row r="1597">
          <cell r="B1597" t="str">
            <v>7LCP20AA101XB06</v>
          </cell>
          <cell r="E1597" t="str">
            <v>З-ка підж з БЗК ДВТ НЖ</v>
          </cell>
        </row>
        <row r="1598">
          <cell r="B1598" t="str">
            <v>7LCP20AA101XB10</v>
          </cell>
          <cell r="E1598" t="str">
            <v>З-ка підж з БЗК ДВТ ШТ</v>
          </cell>
        </row>
        <row r="1599">
          <cell r="B1599" t="str">
            <v>7LCP20AA101XB51</v>
          </cell>
          <cell r="E1599" t="str">
            <v>З-ка підж з БЗК ДВТ НВ</v>
          </cell>
        </row>
        <row r="1600">
          <cell r="B1600" t="str">
            <v>7LCP20AA101XB52</v>
          </cell>
          <cell r="E1600" t="str">
            <v>З-ка підж з БЗК ДВТ НЗ</v>
          </cell>
        </row>
        <row r="1601">
          <cell r="B1601" t="str">
            <v>7PAB20AA101XB06</v>
          </cell>
          <cell r="E1601" t="str">
            <v>З-ка злив з МО НЖ</v>
          </cell>
        </row>
        <row r="1602">
          <cell r="B1602" t="str">
            <v>7PAB20AA101XB10</v>
          </cell>
          <cell r="E1602" t="str">
            <v>З-ка злив з МО ШТ</v>
          </cell>
        </row>
        <row r="1603">
          <cell r="B1603" t="str">
            <v>7PAB20AA101XB51</v>
          </cell>
          <cell r="E1603" t="str">
            <v>З-ка злив з МО НВ</v>
          </cell>
        </row>
        <row r="1604">
          <cell r="B1604" t="str">
            <v>7PAB20AA101XB52</v>
          </cell>
          <cell r="E1604" t="str">
            <v>З-ка злив з МО НЗ</v>
          </cell>
        </row>
        <row r="1605">
          <cell r="B1605" t="str">
            <v>7PCD10AA101XB06</v>
          </cell>
          <cell r="E1605" t="str">
            <v>З-ка фільтр-А НЖ</v>
          </cell>
        </row>
        <row r="1606">
          <cell r="B1606" t="str">
            <v>7PCD10AA101XB10</v>
          </cell>
          <cell r="E1606" t="str">
            <v>З-ка фільтр-А ШТ</v>
          </cell>
        </row>
        <row r="1607">
          <cell r="B1607" t="str">
            <v>7PCD10AA101XB51</v>
          </cell>
          <cell r="E1607" t="str">
            <v>З-ка фільтр-А НВ</v>
          </cell>
        </row>
        <row r="1608">
          <cell r="B1608" t="str">
            <v>7PCD10AA101XB52</v>
          </cell>
          <cell r="E1608" t="str">
            <v>З-ка фільтр-А НЗ</v>
          </cell>
        </row>
        <row r="1609">
          <cell r="B1609" t="str">
            <v>7PCD10AA102XB06</v>
          </cell>
          <cell r="E1609" t="str">
            <v>З-ка зливу брудн води-А НЖ</v>
          </cell>
        </row>
        <row r="1610">
          <cell r="B1610" t="str">
            <v>7PCD10AA102XB10</v>
          </cell>
          <cell r="E1610" t="str">
            <v>З-ка зливу брудн води-А ШТ</v>
          </cell>
        </row>
        <row r="1611">
          <cell r="B1611" t="str">
            <v>7PCD10AA102XB51</v>
          </cell>
          <cell r="E1611" t="str">
            <v>З-ка зливу брудн води-А НВ</v>
          </cell>
        </row>
        <row r="1612">
          <cell r="B1612" t="str">
            <v>7PCD10AA102XB52</v>
          </cell>
          <cell r="E1612" t="str">
            <v>З-ка зливу брудн води-А НЗ</v>
          </cell>
        </row>
        <row r="1613">
          <cell r="B1613" t="str">
            <v>7PCD20AA101XB06</v>
          </cell>
          <cell r="E1613" t="str">
            <v>З-ка фільтр-Б НЖ</v>
          </cell>
        </row>
        <row r="1614">
          <cell r="B1614" t="str">
            <v>7PCD20AA101XB10</v>
          </cell>
          <cell r="E1614" t="str">
            <v>З-ка фільтр-Б ШТ</v>
          </cell>
        </row>
        <row r="1615">
          <cell r="B1615" t="str">
            <v>7PCD20AA101XB51</v>
          </cell>
          <cell r="E1615" t="str">
            <v>З-ка фільтр-Б НВ</v>
          </cell>
        </row>
        <row r="1616">
          <cell r="B1616" t="str">
            <v>7PCD20AA101XB52</v>
          </cell>
          <cell r="E1616" t="str">
            <v>З-ка фільтр-Б НЗ</v>
          </cell>
        </row>
        <row r="1617">
          <cell r="B1617" t="str">
            <v>7PCD20AA102XB06</v>
          </cell>
          <cell r="E1617" t="str">
            <v>З-ка зливу брудн води-Б НЖ</v>
          </cell>
        </row>
        <row r="1618">
          <cell r="B1618" t="str">
            <v>7PCD20AA102XB10</v>
          </cell>
          <cell r="E1618" t="str">
            <v>З-ка зливу брудн води-Б ШТ</v>
          </cell>
        </row>
        <row r="1619">
          <cell r="B1619" t="str">
            <v>7PCD20AA102XB51</v>
          </cell>
          <cell r="E1619" t="str">
            <v>З-ка зливу брудн води-Б НВ</v>
          </cell>
        </row>
        <row r="1620">
          <cell r="B1620" t="str">
            <v>7PCD20AA102XB52</v>
          </cell>
          <cell r="E1620" t="str">
            <v>З-ка зливу брудн води-Б НЗ</v>
          </cell>
        </row>
        <row r="1621">
          <cell r="B1621" t="str">
            <v>7PAH10AA101XB06</v>
          </cell>
          <cell r="E1621" t="str">
            <v>З-ка вод фільтр №1 НЖ</v>
          </cell>
        </row>
        <row r="1622">
          <cell r="B1622" t="str">
            <v>7PAH10AA101XB10</v>
          </cell>
          <cell r="E1622" t="str">
            <v>З-ка вод фільтр №1 ШТ</v>
          </cell>
        </row>
        <row r="1623">
          <cell r="B1623" t="str">
            <v>7PAH10AA101XB51</v>
          </cell>
          <cell r="E1623" t="str">
            <v>З-ка вод фільтр №1 НВ</v>
          </cell>
        </row>
        <row r="1624">
          <cell r="B1624" t="str">
            <v>7PAH10AA101XB52</v>
          </cell>
          <cell r="E1624" t="str">
            <v>З-ка вод фільтр №1 НЗ</v>
          </cell>
        </row>
        <row r="1625">
          <cell r="B1625" t="str">
            <v>7PAH20AA101XB06</v>
          </cell>
          <cell r="E1625" t="str">
            <v>З-ка вод фільтр №2 НЖ</v>
          </cell>
        </row>
        <row r="1626">
          <cell r="B1626" t="str">
            <v>7PAH20AA101XB10</v>
          </cell>
          <cell r="E1626" t="str">
            <v>З-ка вод фільтр №2 ШТ</v>
          </cell>
        </row>
        <row r="1627">
          <cell r="B1627" t="str">
            <v>7PAH20AA101XB51</v>
          </cell>
          <cell r="E1627" t="str">
            <v>З-ка вод фільтр №2 НВ</v>
          </cell>
        </row>
        <row r="1628">
          <cell r="B1628" t="str">
            <v>7PAH20AA101XB52</v>
          </cell>
          <cell r="E1628" t="str">
            <v>З-ка вод фільтр №2 НЗ</v>
          </cell>
        </row>
        <row r="1629">
          <cell r="B1629" t="str">
            <v>7LCP30AA101XB06</v>
          </cell>
          <cell r="E1629" t="str">
            <v>Підж з БЗК в ДВТ 2 черги НЖ</v>
          </cell>
        </row>
        <row r="1630">
          <cell r="B1630" t="str">
            <v>7LCP30AA101XB10</v>
          </cell>
          <cell r="E1630" t="str">
            <v>Підж з БЗК в ДВТ 2 черги ШТ</v>
          </cell>
        </row>
        <row r="1631">
          <cell r="B1631" t="str">
            <v>7LCP30AA101XB51</v>
          </cell>
          <cell r="E1631" t="str">
            <v>Підж з БЗК в ДВТ 2 черги НВ</v>
          </cell>
        </row>
        <row r="1632">
          <cell r="B1632" t="str">
            <v>7LCP30AA101XB52</v>
          </cell>
          <cell r="E1632" t="str">
            <v>Підж з БЗК в ДВТ 2 черги НЗ</v>
          </cell>
        </row>
        <row r="1633">
          <cell r="B1633" t="str">
            <v>7SGA00AA101XB06</v>
          </cell>
          <cell r="E1633" t="str">
            <v>З-ка пож гас каб п.п.заг НЖ</v>
          </cell>
        </row>
        <row r="1634">
          <cell r="B1634" t="str">
            <v>7SGA00AA101XB10</v>
          </cell>
          <cell r="E1634" t="str">
            <v>З-ка пож гас каб п.п.заг ШТ</v>
          </cell>
        </row>
        <row r="1635">
          <cell r="B1635" t="str">
            <v>7SGA00AA101XB51</v>
          </cell>
          <cell r="E1635" t="str">
            <v>З-ка пож гас каб п.п.заг НВ</v>
          </cell>
        </row>
        <row r="1636">
          <cell r="B1636" t="str">
            <v>7SGA00AA101XB52</v>
          </cell>
          <cell r="E1636" t="str">
            <v>З-ка пож гас каб п.п.заг НЗ</v>
          </cell>
        </row>
        <row r="1637">
          <cell r="B1637" t="str">
            <v>7SGA07AA101XB06</v>
          </cell>
          <cell r="E1637" t="str">
            <v>З-ка пож гас каб п.п.бл.7 НЖ</v>
          </cell>
        </row>
        <row r="1638">
          <cell r="B1638" t="str">
            <v>7SGA07AA101XB10</v>
          </cell>
          <cell r="E1638" t="str">
            <v>З-ка пож гас каб п.п.бл.7 ШТ</v>
          </cell>
        </row>
        <row r="1639">
          <cell r="B1639" t="str">
            <v>7SGA07AA101XB51</v>
          </cell>
          <cell r="E1639" t="str">
            <v>З-ка пож гас каб п.п.бл.7 НВ</v>
          </cell>
        </row>
        <row r="1640">
          <cell r="B1640" t="str">
            <v>7SGA07AA101XB52</v>
          </cell>
          <cell r="E1640" t="str">
            <v>З-ка пож гас каб п.п.бл.7 НЗ</v>
          </cell>
        </row>
        <row r="1641">
          <cell r="B1641" t="str">
            <v>7SGA08AA101XB06</v>
          </cell>
          <cell r="E1641" t="str">
            <v>З-ка пож гас каб п.п.бл.8 НЖ</v>
          </cell>
        </row>
        <row r="1642">
          <cell r="B1642" t="str">
            <v>7SGA08AA101XB10</v>
          </cell>
          <cell r="E1642" t="str">
            <v>З-ка пож гас каб п.п.бл.8 ШТ</v>
          </cell>
        </row>
        <row r="1643">
          <cell r="B1643" t="str">
            <v>7SGA08AA101XB51</v>
          </cell>
          <cell r="E1643" t="str">
            <v>З-ка пож гас каб п.п.бл.8 НВ</v>
          </cell>
        </row>
        <row r="1644">
          <cell r="B1644" t="str">
            <v>7SGA08AA101XB52</v>
          </cell>
          <cell r="E1644" t="str">
            <v>З-ка пож гас каб п.п.бл.8 НЗ</v>
          </cell>
        </row>
        <row r="1645">
          <cell r="B1645" t="str">
            <v>7LBC20AA102YB01</v>
          </cell>
          <cell r="E1645" t="str">
            <v>Пара ХПП-Б на ТГ-8 КВ</v>
          </cell>
        </row>
        <row r="1646">
          <cell r="B1646" t="str">
            <v>7LBC20AA102YB02</v>
          </cell>
          <cell r="E1646" t="str">
            <v>Пара ХПП-Б на ТГ-8 КЗ</v>
          </cell>
        </row>
        <row r="1647">
          <cell r="B1647" t="str">
            <v>7LBC15AA101YB01</v>
          </cell>
          <cell r="E1647" t="str">
            <v>Пара ХПП на ежектор КВ</v>
          </cell>
        </row>
        <row r="1648">
          <cell r="B1648" t="str">
            <v>7LBC15AA101YB02</v>
          </cell>
          <cell r="E1648" t="str">
            <v>Пара ХПП на ежектор КЗ</v>
          </cell>
        </row>
        <row r="1649">
          <cell r="B1649" t="str">
            <v>7LCA10AA102YB01</v>
          </cell>
          <cell r="E1649" t="str">
            <v>Вхід конд в ПНТ-1 КВ</v>
          </cell>
        </row>
        <row r="1650">
          <cell r="B1650" t="str">
            <v>7LCA10AA102YB02</v>
          </cell>
          <cell r="E1650" t="str">
            <v>Вхід конд в ПНТ-1 КЗ</v>
          </cell>
        </row>
        <row r="1651">
          <cell r="B1651" t="str">
            <v>7LCA50AA101YB01</v>
          </cell>
          <cell r="E1651" t="str">
            <v>Вихід конд з ПНТ-4 КВ</v>
          </cell>
        </row>
        <row r="1652">
          <cell r="B1652" t="str">
            <v>7LCA50AA101YB02</v>
          </cell>
          <cell r="E1652" t="str">
            <v>Вихід конд з ПНТ-4 КЗ</v>
          </cell>
        </row>
        <row r="1653">
          <cell r="B1653" t="str">
            <v>7LCM10AA101YB01</v>
          </cell>
          <cell r="E1653" t="str">
            <v>З-ка дренаж з БНТ КВ</v>
          </cell>
        </row>
        <row r="1654">
          <cell r="B1654" t="str">
            <v>7LCM10AA101YB02</v>
          </cell>
          <cell r="E1654" t="str">
            <v>З-ка дренаж з БНТ КЗ</v>
          </cell>
        </row>
        <row r="1655">
          <cell r="B1655" t="str">
            <v>7LCP20AA101YB01</v>
          </cell>
          <cell r="E1655" t="str">
            <v>З-ка підж з БЗК ДВТ КВ</v>
          </cell>
        </row>
        <row r="1656">
          <cell r="B1656" t="str">
            <v>7LCP20AA101YB02</v>
          </cell>
          <cell r="E1656" t="str">
            <v>З-ка підж з БЗК ДВТ КЗ</v>
          </cell>
        </row>
        <row r="1657">
          <cell r="B1657" t="str">
            <v>7PAB20AA101YB01</v>
          </cell>
          <cell r="E1657" t="str">
            <v>З-ка злив з МО КВ</v>
          </cell>
        </row>
        <row r="1658">
          <cell r="B1658" t="str">
            <v>7PAB20AA101YB02</v>
          </cell>
          <cell r="E1658" t="str">
            <v>З-ка злив з МО КЗ</v>
          </cell>
        </row>
        <row r="1659">
          <cell r="B1659" t="str">
            <v>7PCD10AA101YB01</v>
          </cell>
          <cell r="E1659" t="str">
            <v>З-ка фільтр-А КВ</v>
          </cell>
        </row>
        <row r="1660">
          <cell r="B1660" t="str">
            <v>7PCD10AA101YB02</v>
          </cell>
          <cell r="E1660" t="str">
            <v>З-ка фільтр-А КЗ</v>
          </cell>
        </row>
        <row r="1661">
          <cell r="B1661" t="str">
            <v>7PCD10AA102YB01</v>
          </cell>
          <cell r="E1661" t="str">
            <v>З-ка злив брудн води-А КВ</v>
          </cell>
        </row>
        <row r="1662">
          <cell r="B1662" t="str">
            <v>7PCD10AA102YB02</v>
          </cell>
          <cell r="E1662" t="str">
            <v>З-ка злив брудн води-А КЗ</v>
          </cell>
        </row>
        <row r="1663">
          <cell r="B1663" t="str">
            <v>7PCD20AA101YB01</v>
          </cell>
          <cell r="E1663" t="str">
            <v>З-ка фільтр-Б КВ</v>
          </cell>
        </row>
        <row r="1664">
          <cell r="B1664" t="str">
            <v>7PCD20AA101YB02</v>
          </cell>
          <cell r="E1664" t="str">
            <v>З-ка фільтр-Б КЗ</v>
          </cell>
        </row>
        <row r="1665">
          <cell r="B1665" t="str">
            <v>7PCD20AA102YB01</v>
          </cell>
          <cell r="E1665" t="str">
            <v>З-ка злив брудн води-Б КВ</v>
          </cell>
        </row>
        <row r="1666">
          <cell r="B1666" t="str">
            <v>7PCD20AA102YB02</v>
          </cell>
          <cell r="E1666" t="str">
            <v>З-ка злив брудн води-Б КЗ</v>
          </cell>
        </row>
        <row r="1667">
          <cell r="B1667" t="str">
            <v>7PAH10AA101YB01</v>
          </cell>
          <cell r="E1667" t="str">
            <v>З-ка вод фільтр №1 КВ</v>
          </cell>
        </row>
        <row r="1668">
          <cell r="B1668" t="str">
            <v>7PAH10AA101YB02</v>
          </cell>
          <cell r="E1668" t="str">
            <v>З-ка вод фільтр №1 КЗ</v>
          </cell>
        </row>
        <row r="1669">
          <cell r="B1669" t="str">
            <v>7PAH10AA101YB03</v>
          </cell>
          <cell r="E1669" t="str">
            <v>З-ка вод фільтр №1 КМ</v>
          </cell>
        </row>
        <row r="1670">
          <cell r="B1670" t="str">
            <v>7PAH20AA101YB01</v>
          </cell>
          <cell r="E1670" t="str">
            <v>З-ка вод фільтр №2 КВ</v>
          </cell>
        </row>
        <row r="1671">
          <cell r="B1671" t="str">
            <v>7PAH20AA101YB02</v>
          </cell>
          <cell r="E1671" t="str">
            <v>З-ка вод фільтр №2 КЗ</v>
          </cell>
        </row>
        <row r="1672">
          <cell r="B1672" t="str">
            <v>7PAH20AA101YB03</v>
          </cell>
          <cell r="E1672" t="str">
            <v>З-ка вод фільтр №2 КМ</v>
          </cell>
        </row>
        <row r="1673">
          <cell r="B1673" t="str">
            <v>7LCP30AA101YB01</v>
          </cell>
          <cell r="E1673" t="str">
            <v>Підж з БЗК в ДВТ 2 черги КВ</v>
          </cell>
        </row>
        <row r="1674">
          <cell r="B1674" t="str">
            <v>7LCP30AA101YB02</v>
          </cell>
          <cell r="E1674" t="str">
            <v>Підж з БЗК в ДВТ 2 черги КЗ</v>
          </cell>
        </row>
        <row r="1675">
          <cell r="B1675" t="str">
            <v>7SGA00AA101YB01</v>
          </cell>
          <cell r="E1675" t="str">
            <v>З-ка пож гас каб п.п.заг КВ</v>
          </cell>
        </row>
        <row r="1676">
          <cell r="B1676" t="str">
            <v>7SGA00AA101YB02</v>
          </cell>
          <cell r="E1676" t="str">
            <v>З-ка пож гас каб п.п.заг КЗ</v>
          </cell>
        </row>
        <row r="1677">
          <cell r="B1677" t="str">
            <v>7SGA07AA101YB01</v>
          </cell>
          <cell r="E1677" t="str">
            <v>З-ка пож гас каб п.п.бл.7 КВ</v>
          </cell>
        </row>
        <row r="1678">
          <cell r="B1678" t="str">
            <v>7SGA07AA101YB02</v>
          </cell>
          <cell r="E1678" t="str">
            <v>З-ка пож гас каб п.п.бл.7 КЗ</v>
          </cell>
        </row>
        <row r="1679">
          <cell r="B1679" t="str">
            <v>7SGA08AA101YB01</v>
          </cell>
          <cell r="E1679" t="str">
            <v>З-ка пож гас каб п.п.бл.8 КВ</v>
          </cell>
        </row>
        <row r="1680">
          <cell r="B1680" t="str">
            <v>7SGA08AA101YB02</v>
          </cell>
          <cell r="E1680" t="str">
            <v>З-ка пож гас каб п.п.бл.8 КЗ</v>
          </cell>
        </row>
        <row r="1681">
          <cell r="B1681" t="str">
            <v>7PAC15AA101YB01</v>
          </cell>
          <cell r="E1681" t="str">
            <v>З-ка перем цирквод КВ</v>
          </cell>
        </row>
        <row r="1682">
          <cell r="B1682" t="str">
            <v>7PAC15AA101YB02</v>
          </cell>
          <cell r="E1682" t="str">
            <v>З-ка перем цирквод КЗ</v>
          </cell>
        </row>
        <row r="1683">
          <cell r="B1683" t="str">
            <v>7PAC15AA101YB03</v>
          </cell>
          <cell r="E1683" t="str">
            <v>З-ка перем цирквод КМ</v>
          </cell>
        </row>
        <row r="1684">
          <cell r="B1684" t="str">
            <v>7PAC20AA101YB01</v>
          </cell>
          <cell r="E1684" t="str">
            <v>З-ка злив цирквод КВ</v>
          </cell>
        </row>
        <row r="1685">
          <cell r="B1685" t="str">
            <v>7PAC20AA101YB02</v>
          </cell>
          <cell r="E1685" t="str">
            <v>З-ка злив цирквод КЗ</v>
          </cell>
        </row>
        <row r="1686">
          <cell r="B1686" t="str">
            <v>7PAC20AA101YB03</v>
          </cell>
          <cell r="E1686" t="str">
            <v>З-ка злив цирквод КМ</v>
          </cell>
        </row>
        <row r="1687">
          <cell r="B1687" t="str">
            <v>7PAC20AA102YB01</v>
          </cell>
          <cell r="E1687" t="str">
            <v>З-ка злив цирквод КВ</v>
          </cell>
        </row>
        <row r="1688">
          <cell r="B1688" t="str">
            <v>7PAC20AA102YB02</v>
          </cell>
          <cell r="E1688" t="str">
            <v>З-ка злив цирквод КЗ</v>
          </cell>
        </row>
        <row r="1689">
          <cell r="B1689" t="str">
            <v>7PAC20AA102YB03</v>
          </cell>
          <cell r="E1689" t="str">
            <v>З-ка злив цирквод КМ</v>
          </cell>
        </row>
        <row r="1690">
          <cell r="B1690" t="str">
            <v>7LCP11AP001YB01</v>
          </cell>
          <cell r="E1690" t="str">
            <v>НБЗК-7А КВ</v>
          </cell>
        </row>
        <row r="1691">
          <cell r="B1691" t="str">
            <v>7LCP11AP001YB02</v>
          </cell>
          <cell r="E1691" t="str">
            <v>НБЗК-7А КО</v>
          </cell>
        </row>
        <row r="1692">
          <cell r="B1692" t="str">
            <v>7LCP12AP001YB01</v>
          </cell>
          <cell r="E1692" t="str">
            <v>НБЗК-7Б КВ</v>
          </cell>
        </row>
        <row r="1693">
          <cell r="B1693" t="str">
            <v>7LCP12AP001YB02</v>
          </cell>
          <cell r="E1693" t="str">
            <v>НБЗК-7Б КО</v>
          </cell>
        </row>
        <row r="1694">
          <cell r="B1694" t="str">
            <v>7NDA20AA101YB01</v>
          </cell>
          <cell r="E1694" t="str">
            <v>З-ка вх мереж води ПБ КВ</v>
          </cell>
        </row>
        <row r="1695">
          <cell r="B1695" t="str">
            <v>7NDA20AA101YB02</v>
          </cell>
          <cell r="E1695" t="str">
            <v>З-ка вх мереж води ПБ КЗ</v>
          </cell>
        </row>
        <row r="1696">
          <cell r="B1696" t="str">
            <v>7NDA20AA102YB01</v>
          </cell>
          <cell r="E1696" t="str">
            <v>З-ка вих мереж води ПБ КВ</v>
          </cell>
        </row>
        <row r="1697">
          <cell r="B1697" t="str">
            <v>7NDA20AA102YB02</v>
          </cell>
          <cell r="E1697" t="str">
            <v>З-ка вих мереж води ПБ КЗ</v>
          </cell>
        </row>
        <row r="1698">
          <cell r="B1698" t="str">
            <v>7NDA20AA103YB01</v>
          </cell>
          <cell r="E1698" t="str">
            <v>З-ка байп ПБ КВ</v>
          </cell>
        </row>
        <row r="1699">
          <cell r="B1699" t="str">
            <v>7NDA20AA103YB02</v>
          </cell>
          <cell r="E1699" t="str">
            <v>З-ка байп ПБ КЗ</v>
          </cell>
        </row>
        <row r="1700">
          <cell r="B1700" t="str">
            <v>7NAA20AA101YB01</v>
          </cell>
          <cell r="E1700" t="str">
            <v>З-ка пара в ПБ КВ</v>
          </cell>
        </row>
        <row r="1701">
          <cell r="B1701" t="str">
            <v>7NAA20AA101YB02</v>
          </cell>
          <cell r="E1701" t="str">
            <v>З-ка пара в ПБ КЗ</v>
          </cell>
        </row>
        <row r="1702">
          <cell r="B1702" t="str">
            <v>7PAC10AA101YB01</v>
          </cell>
          <cell r="E1702" t="str">
            <v>З-ка напір цирквод КВ</v>
          </cell>
        </row>
        <row r="1703">
          <cell r="B1703" t="str">
            <v>7PAC10AA101YB02</v>
          </cell>
          <cell r="E1703" t="str">
            <v>З-ка напір цирквод КЗ</v>
          </cell>
        </row>
        <row r="1704">
          <cell r="B1704" t="str">
            <v>7PAC10AA101YB03</v>
          </cell>
          <cell r="E1704" t="str">
            <v>З-ка напір цирквод КМ</v>
          </cell>
        </row>
        <row r="1705">
          <cell r="B1705" t="str">
            <v>7PAC10AA102YB01</v>
          </cell>
          <cell r="E1705" t="str">
            <v>З-ка напір цирквод КВ</v>
          </cell>
        </row>
        <row r="1706">
          <cell r="B1706" t="str">
            <v>7PAC10AA102YB02</v>
          </cell>
          <cell r="E1706" t="str">
            <v>З-ка напір цирквод КЗ</v>
          </cell>
        </row>
        <row r="1707">
          <cell r="B1707" t="str">
            <v>7PAC10AA102YB03</v>
          </cell>
          <cell r="E1707" t="str">
            <v>З-ка напір цирквод КМ</v>
          </cell>
        </row>
        <row r="1708">
          <cell r="B1708" t="str">
            <v>7LCA10AA101YB01</v>
          </cell>
          <cell r="E1708" t="str">
            <v>Байп рег рівн в конд КВ</v>
          </cell>
        </row>
        <row r="1709">
          <cell r="B1709" t="str">
            <v>7LCA10AA101YB02</v>
          </cell>
          <cell r="E1709" t="str">
            <v>Байп рег рівн в конд КЗ</v>
          </cell>
        </row>
        <row r="1710">
          <cell r="B1710" t="str">
            <v>7LCA15AA101YB01</v>
          </cell>
          <cell r="E1710" t="str">
            <v>З-ка перем рецирк конд КВ</v>
          </cell>
        </row>
        <row r="1711">
          <cell r="B1711" t="str">
            <v>7LCA15AA101YB02</v>
          </cell>
          <cell r="E1711" t="str">
            <v>З-ка перем рецирк конд КЗ</v>
          </cell>
        </row>
        <row r="1712">
          <cell r="B1712" t="str">
            <v>7NDA10AA101YB01</v>
          </cell>
          <cell r="E1712" t="str">
            <v>З-ка вх мереж води ОБ КВ</v>
          </cell>
        </row>
        <row r="1713">
          <cell r="B1713" t="str">
            <v>7NDA10AA101YB02</v>
          </cell>
          <cell r="E1713" t="str">
            <v>З-ка вх мереж води ОБ КЗ</v>
          </cell>
        </row>
        <row r="1714">
          <cell r="B1714" t="str">
            <v>7NDA10AA102YB01</v>
          </cell>
          <cell r="E1714" t="str">
            <v>З-ка вих мереж води ОБ КВ</v>
          </cell>
        </row>
        <row r="1715">
          <cell r="B1715" t="str">
            <v>7NDA10AA102YB02</v>
          </cell>
          <cell r="E1715" t="str">
            <v>З-ка вих мереж води ОБ КЗ</v>
          </cell>
        </row>
        <row r="1716">
          <cell r="B1716" t="str">
            <v>7NDA10AA103YB01</v>
          </cell>
          <cell r="E1716" t="str">
            <v>З-ка байп ОБ КВ</v>
          </cell>
        </row>
        <row r="1717">
          <cell r="B1717" t="str">
            <v>7NDA10AA103YB02</v>
          </cell>
          <cell r="E1717" t="str">
            <v>З-ка байп ОБ КЗ</v>
          </cell>
        </row>
        <row r="1718">
          <cell r="B1718" t="str">
            <v>7NAA10AA101YB01</v>
          </cell>
          <cell r="E1718" t="str">
            <v>З-ка пара в ОБ КВ</v>
          </cell>
        </row>
        <row r="1719">
          <cell r="B1719" t="str">
            <v>7NAA10AA101YB02</v>
          </cell>
          <cell r="E1719" t="str">
            <v>З-ка пара в ОБ КЗ</v>
          </cell>
        </row>
        <row r="1720">
          <cell r="B1720" t="str">
            <v>7PAC20AA101XB06</v>
          </cell>
          <cell r="E1720" t="str">
            <v>З-ка злив цирквод НЖ</v>
          </cell>
        </row>
        <row r="1721">
          <cell r="B1721" t="str">
            <v>7PAC20AA101XB10</v>
          </cell>
          <cell r="E1721" t="str">
            <v>З-ка злив цирквод ШТ</v>
          </cell>
        </row>
        <row r="1722">
          <cell r="B1722" t="str">
            <v>7PAC20AA101XB51</v>
          </cell>
          <cell r="E1722" t="str">
            <v>З-ка злив цирквод НВ</v>
          </cell>
        </row>
        <row r="1723">
          <cell r="B1723" t="str">
            <v>7PAC20AA101XB52</v>
          </cell>
          <cell r="E1723" t="str">
            <v>З-ка злив цирквод НЗ</v>
          </cell>
        </row>
        <row r="1724">
          <cell r="B1724" t="str">
            <v>7PAC20AA102XB06</v>
          </cell>
          <cell r="E1724" t="str">
            <v>З-ка злив цирквод НЖ</v>
          </cell>
        </row>
        <row r="1725">
          <cell r="B1725" t="str">
            <v>7PAC20AA102XB10</v>
          </cell>
          <cell r="E1725" t="str">
            <v>З-ка злив цирквод ШТ</v>
          </cell>
        </row>
        <row r="1726">
          <cell r="B1726" t="str">
            <v>7PAC20AA102XB51</v>
          </cell>
          <cell r="E1726" t="str">
            <v>З-ка злив цирквод НВ</v>
          </cell>
        </row>
        <row r="1727">
          <cell r="B1727" t="str">
            <v>7PAC20AA102XB52</v>
          </cell>
          <cell r="E1727" t="str">
            <v>З-ка злив цирквод НЗ</v>
          </cell>
        </row>
        <row r="1728">
          <cell r="B1728" t="str">
            <v>7LCP11AP001XB01</v>
          </cell>
          <cell r="E1728" t="str">
            <v>НБЗК-7А ВКЛ</v>
          </cell>
        </row>
        <row r="1729">
          <cell r="B1729" t="str">
            <v>7LCP11AP001XB02</v>
          </cell>
          <cell r="E1729" t="str">
            <v>НБЗК-7А ВІДКЛ</v>
          </cell>
        </row>
        <row r="1730">
          <cell r="B1730" t="str">
            <v>7LCP11AP001XB47</v>
          </cell>
          <cell r="E1730" t="str">
            <v>НБЗК-7А ВІДКЛ АК</v>
          </cell>
        </row>
        <row r="1731">
          <cell r="B1731" t="str">
            <v>7LCP11AP001XB03</v>
          </cell>
          <cell r="E1731" t="str">
            <v>НБЗК-7А НЕСПР КІЛ КЕРУВ</v>
          </cell>
        </row>
        <row r="1732">
          <cell r="B1732" t="str">
            <v>7LCP12AP001XB01</v>
          </cell>
          <cell r="E1732" t="str">
            <v>НБЗК-7Б ВКЛ</v>
          </cell>
        </row>
        <row r="1733">
          <cell r="B1733" t="str">
            <v>7LCP12AP001XB02</v>
          </cell>
          <cell r="E1733" t="str">
            <v>НБЗК-7Б ВІДКЛ</v>
          </cell>
        </row>
        <row r="1734">
          <cell r="B1734" t="str">
            <v>7LCP12AP001XB47</v>
          </cell>
          <cell r="E1734" t="str">
            <v>НБЗК-7Б ВІДКЛ АК</v>
          </cell>
        </row>
        <row r="1735">
          <cell r="B1735" t="str">
            <v>7LCP12AP001XB03</v>
          </cell>
          <cell r="E1735" t="str">
            <v>НБЗК-7Б НЕСПР КІЛ КЕРУВ</v>
          </cell>
        </row>
        <row r="1736">
          <cell r="B1736" t="str">
            <v>7PAC10AA101XB06</v>
          </cell>
          <cell r="E1736" t="str">
            <v>З-ка напір цирквод НЖ</v>
          </cell>
        </row>
        <row r="1737">
          <cell r="B1737" t="str">
            <v>7PAC10AA101XB10</v>
          </cell>
          <cell r="E1737" t="str">
            <v>З-ка напір цирквод ШТ</v>
          </cell>
        </row>
        <row r="1738">
          <cell r="B1738" t="str">
            <v>7PAC10AA101XB51</v>
          </cell>
          <cell r="E1738" t="str">
            <v>З-ка напір цирквод НВ</v>
          </cell>
        </row>
        <row r="1739">
          <cell r="B1739" t="str">
            <v>7PAC10AA101XB52</v>
          </cell>
          <cell r="E1739" t="str">
            <v>З-ка напір цирквод НЗ</v>
          </cell>
        </row>
        <row r="1740">
          <cell r="B1740" t="str">
            <v>7PAC10AA102XB06</v>
          </cell>
          <cell r="E1740" t="str">
            <v>З-ка напір цирквод НЖ</v>
          </cell>
        </row>
        <row r="1741">
          <cell r="B1741" t="str">
            <v>7PAC10AA102XB10</v>
          </cell>
          <cell r="E1741" t="str">
            <v>З-ка напір цирквод ШТ</v>
          </cell>
        </row>
        <row r="1742">
          <cell r="B1742" t="str">
            <v>7PAC10AA102XB51</v>
          </cell>
          <cell r="E1742" t="str">
            <v>З-ка напір цирквод НВ</v>
          </cell>
        </row>
        <row r="1743">
          <cell r="B1743" t="str">
            <v>7PAC10AA102XB52</v>
          </cell>
          <cell r="E1743" t="str">
            <v>З-ка напір цирквод НЗ</v>
          </cell>
        </row>
        <row r="1744">
          <cell r="B1744" t="str">
            <v>7PAC15AA101XB06</v>
          </cell>
          <cell r="E1744" t="str">
            <v>З-ка перем цирквод НЖ</v>
          </cell>
        </row>
        <row r="1745">
          <cell r="B1745" t="str">
            <v>7PAC15AA101XB10</v>
          </cell>
          <cell r="E1745" t="str">
            <v>З-ка перем цирквод ШТ</v>
          </cell>
        </row>
        <row r="1746">
          <cell r="B1746" t="str">
            <v>7PAC15AA101XB51</v>
          </cell>
          <cell r="E1746" t="str">
            <v>З-ка перем цирквод НВ</v>
          </cell>
        </row>
        <row r="1747">
          <cell r="B1747" t="str">
            <v>7PAC15AA101XB52</v>
          </cell>
          <cell r="E1747" t="str">
            <v>З-ка перем цирквод НЗ</v>
          </cell>
        </row>
        <row r="1748">
          <cell r="B1748" t="str">
            <v>7NDA20AA101XB06</v>
          </cell>
          <cell r="E1748" t="str">
            <v>З-ка вх мереж води ПБ НЖ</v>
          </cell>
        </row>
        <row r="1749">
          <cell r="B1749" t="str">
            <v>7NDA20AA101XB10</v>
          </cell>
          <cell r="E1749" t="str">
            <v>З-ка вх мереж води ПБ ШТ</v>
          </cell>
        </row>
        <row r="1750">
          <cell r="B1750" t="str">
            <v>7NDA20AA101XB51</v>
          </cell>
          <cell r="E1750" t="str">
            <v>З-ка вх мереж води ПБ НВ</v>
          </cell>
        </row>
        <row r="1751">
          <cell r="B1751" t="str">
            <v>7NDA20AA101XB52</v>
          </cell>
          <cell r="E1751" t="str">
            <v>З-ка вх мереж води ПБ НЗ</v>
          </cell>
        </row>
        <row r="1752">
          <cell r="B1752" t="str">
            <v>7NDA20AA102XB06</v>
          </cell>
          <cell r="E1752" t="str">
            <v>З-ка вих мереж води ПБ НЖ</v>
          </cell>
        </row>
        <row r="1753">
          <cell r="B1753" t="str">
            <v>7NDA20AA102XB10</v>
          </cell>
          <cell r="E1753" t="str">
            <v>З-ка вих мереж води ПБ ШТ</v>
          </cell>
        </row>
        <row r="1754">
          <cell r="B1754" t="str">
            <v>7NDA20AA102XB51</v>
          </cell>
          <cell r="E1754" t="str">
            <v>З-ка вих мереж води ПБ НВ</v>
          </cell>
        </row>
        <row r="1755">
          <cell r="B1755" t="str">
            <v>7NDA20AA102XB52</v>
          </cell>
          <cell r="E1755" t="str">
            <v>З-ка вих мереж води ПБ НЗ</v>
          </cell>
        </row>
        <row r="1756">
          <cell r="B1756" t="str">
            <v>7NDA20AA103XB06</v>
          </cell>
          <cell r="E1756" t="str">
            <v>З-ка байп ПБ НЖ</v>
          </cell>
        </row>
        <row r="1757">
          <cell r="B1757" t="str">
            <v>7NDA20AA103XB10</v>
          </cell>
          <cell r="E1757" t="str">
            <v>З-ка байп ПБ ШТ</v>
          </cell>
        </row>
        <row r="1758">
          <cell r="B1758" t="str">
            <v>7NDA20AA103XB51</v>
          </cell>
          <cell r="E1758" t="str">
            <v>З-ка байп ПБ НВ</v>
          </cell>
        </row>
        <row r="1759">
          <cell r="B1759" t="str">
            <v>7NDA20AA103XB52</v>
          </cell>
          <cell r="E1759" t="str">
            <v>З-ка байп ПБ НЗ</v>
          </cell>
        </row>
        <row r="1760">
          <cell r="B1760" t="str">
            <v>7NAA20AA101XB06</v>
          </cell>
          <cell r="E1760" t="str">
            <v>З-ка пара в ПБ НЖ</v>
          </cell>
        </row>
        <row r="1761">
          <cell r="B1761" t="str">
            <v>7NAA20AA101XB10</v>
          </cell>
          <cell r="E1761" t="str">
            <v>З-ка пара в ПБ ШТ</v>
          </cell>
        </row>
        <row r="1762">
          <cell r="B1762" t="str">
            <v>7NAA20AA101XB51</v>
          </cell>
          <cell r="E1762" t="str">
            <v>З-ка пара в ПБ НВ</v>
          </cell>
        </row>
        <row r="1763">
          <cell r="B1763" t="str">
            <v>7NAA20AA101XB52</v>
          </cell>
          <cell r="E1763" t="str">
            <v>З-ка пара в ПБ НЗ</v>
          </cell>
        </row>
        <row r="1764">
          <cell r="B1764" t="str">
            <v>7NDA10AA101XB06</v>
          </cell>
          <cell r="E1764" t="str">
            <v>З-ка вх мереж води ОБ НЖ</v>
          </cell>
        </row>
        <row r="1765">
          <cell r="B1765" t="str">
            <v>7NDA10AA101XB10</v>
          </cell>
          <cell r="E1765" t="str">
            <v>З-ка вх мереж води ОБ ШТ</v>
          </cell>
        </row>
        <row r="1766">
          <cell r="B1766" t="str">
            <v>7NDA10AA101XB51</v>
          </cell>
          <cell r="E1766" t="str">
            <v>З-ка вх мереж води ОБ НВ</v>
          </cell>
        </row>
        <row r="1767">
          <cell r="B1767" t="str">
            <v>7NDA10AA101XB52</v>
          </cell>
          <cell r="E1767" t="str">
            <v>З-ка вх мереж води ОБ НЗ</v>
          </cell>
        </row>
        <row r="1768">
          <cell r="B1768" t="str">
            <v>7NDA10AA102XB06</v>
          </cell>
          <cell r="E1768" t="str">
            <v>З-ка вих мереж води ОБ НЖ</v>
          </cell>
        </row>
        <row r="1769">
          <cell r="B1769" t="str">
            <v>7NDA10AA102XB10</v>
          </cell>
          <cell r="E1769" t="str">
            <v>З-ка вих мереж води ОБ ШТ</v>
          </cell>
        </row>
        <row r="1770">
          <cell r="B1770" t="str">
            <v>7NDA10AA102XB51</v>
          </cell>
          <cell r="E1770" t="str">
            <v>З-ка вих мереж води ОБ НВ</v>
          </cell>
        </row>
        <row r="1771">
          <cell r="B1771" t="str">
            <v>7NDA10AA102XB52</v>
          </cell>
          <cell r="E1771" t="str">
            <v>З-ка вих мереж води ОБ НЗ</v>
          </cell>
        </row>
        <row r="1772">
          <cell r="B1772" t="str">
            <v>7NDA10AA103XB06</v>
          </cell>
          <cell r="E1772" t="str">
            <v>З-ка байп ОБ НЖ</v>
          </cell>
        </row>
        <row r="1773">
          <cell r="B1773" t="str">
            <v>7NDA10AA103XB10</v>
          </cell>
          <cell r="E1773" t="str">
            <v>З-ка байп ОБ ШТ</v>
          </cell>
        </row>
        <row r="1774">
          <cell r="B1774" t="str">
            <v>7NDA10AA103XB51</v>
          </cell>
          <cell r="E1774" t="str">
            <v>З-ка байп ОБ НВ</v>
          </cell>
        </row>
        <row r="1775">
          <cell r="B1775" t="str">
            <v>7NDA10AA103XB52</v>
          </cell>
          <cell r="E1775" t="str">
            <v>З-ка байп ОБ НЗ</v>
          </cell>
        </row>
        <row r="1776">
          <cell r="B1776" t="str">
            <v>7NAA10AA101XB06</v>
          </cell>
          <cell r="E1776" t="str">
            <v>З-ка пара в ОБ НЖ</v>
          </cell>
        </row>
        <row r="1777">
          <cell r="B1777" t="str">
            <v>7NAA10AA101XB10</v>
          </cell>
          <cell r="E1777" t="str">
            <v>З-ка пара в ОБ ШТ</v>
          </cell>
        </row>
        <row r="1778">
          <cell r="B1778" t="str">
            <v>7NAA10AA101XB51</v>
          </cell>
          <cell r="E1778" t="str">
            <v>З-ка пара в ОБ НВ</v>
          </cell>
        </row>
        <row r="1779">
          <cell r="B1779" t="str">
            <v>7NAA10AA101XB52</v>
          </cell>
          <cell r="E1779" t="str">
            <v>З-ка пара в ОБ НЗ</v>
          </cell>
        </row>
        <row r="1780">
          <cell r="B1780" t="str">
            <v>7LCA10AA101XB06</v>
          </cell>
          <cell r="E1780" t="str">
            <v>Байп рег рівн в конд НЖ</v>
          </cell>
        </row>
        <row r="1781">
          <cell r="B1781" t="str">
            <v>7LCA10AA101XB10</v>
          </cell>
          <cell r="E1781" t="str">
            <v>Байп рег рівн в конд ШТ</v>
          </cell>
        </row>
        <row r="1782">
          <cell r="B1782" t="str">
            <v>7LCA10AA101XB51</v>
          </cell>
          <cell r="E1782" t="str">
            <v>Байп рег рівн в конд НВ</v>
          </cell>
        </row>
        <row r="1783">
          <cell r="B1783" t="str">
            <v>7LCA10AA101XB52</v>
          </cell>
          <cell r="E1783" t="str">
            <v>Байп рег рівн в конд НЗ</v>
          </cell>
        </row>
        <row r="1784">
          <cell r="B1784" t="str">
            <v>7LCA15AA101XB06</v>
          </cell>
          <cell r="E1784" t="str">
            <v>З-ка перем рецирк конд НЖ</v>
          </cell>
        </row>
        <row r="1785">
          <cell r="B1785" t="str">
            <v>7LCA15AA101XB10</v>
          </cell>
          <cell r="E1785" t="str">
            <v>З-ка перем рецирк конд ШТ</v>
          </cell>
        </row>
        <row r="1786">
          <cell r="B1786" t="str">
            <v>7LCA15AA101XB51</v>
          </cell>
          <cell r="E1786" t="str">
            <v>З-ка перем рецирк конд НВ</v>
          </cell>
        </row>
        <row r="1787">
          <cell r="B1787" t="str">
            <v>7LCA15AA101XB52</v>
          </cell>
          <cell r="E1787" t="str">
            <v>З-ка перем рецирк конд НЗ</v>
          </cell>
        </row>
        <row r="1788">
          <cell r="B1788" t="str">
            <v>7CWR01CN014XK06</v>
          </cell>
          <cell r="E1788" t="str">
            <v>АПК ключ відкл бойлерів введ</v>
          </cell>
        </row>
        <row r="1789">
          <cell r="B1789" t="str">
            <v>7NDA10GS001XB06</v>
          </cell>
          <cell r="E1789" t="str">
            <v>Неспр бойлерної</v>
          </cell>
        </row>
        <row r="1790">
          <cell r="B1790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ID Analog (BL8)"/>
      <sheetName val="DBID Digital (BL8)"/>
      <sheetName val="DBID Analog"/>
      <sheetName val="DBID Digital"/>
      <sheetName val="DROPS"/>
      <sheetName val="DROP1"/>
      <sheetName val="DROP2"/>
      <sheetName val="DROP3"/>
      <sheetName val="DROP4"/>
      <sheetName val="DROP5"/>
      <sheetName val="DROP6"/>
      <sheetName val="DROP7"/>
      <sheetName val="DROP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2:X61">
  <autoFilter ref="A2:X61" xr:uid="{00000000-0009-0000-0100-000001000000}"/>
  <tableColumns count="24">
    <tableColumn id="1" xr3:uid="{00000000-0010-0000-0000-000001000000}" name="№ з/п" totalsRowLabel="Итог"/>
    <tableColumn id="2" xr3:uid="{00000000-0010-0000-0000-000002000000}" name="Найменування механізма"/>
    <tableColumn id="3" xr3:uid="{00000000-0010-0000-0000-000003000000}" name="Диспечерське найменування"/>
    <tableColumn id="4" xr3:uid="{00000000-0010-0000-0000-000004000000}" name="KKS"/>
    <tableColumn id="5" xr3:uid="{00000000-0010-0000-0000-000005000000}" name="Напруга, кВ" dataDxfId="137" totalsRowDxfId="136"/>
    <tableColumn id="7" xr3:uid="{00000000-0010-0000-0000-000007000000}" name="Шафа"/>
    <tableColumn id="6" xr3:uid="{00000000-0010-0000-0000-000006000000}" name="Тип збірки реле"/>
    <tableColumn id="8" xr3:uid="{00000000-0010-0000-0000-000008000000}" name="№ типу схеми"/>
    <tableColumn id="9" xr3:uid="{00000000-0010-0000-0000-000009000000}" name="До двигуна_x000a_(ТАК/НІ)" dataDxfId="135"/>
    <tableColumn id="15" xr3:uid="{00000000-0010-0000-0000-00000F000000}" name="Дата"/>
    <tableColumn id="16" xr3:uid="{00000000-0010-0000-0000-000010000000}" name="Підпис"/>
    <tableColumn id="10" xr3:uid="{00000000-0010-0000-0000-00000A000000}" name="До Комірки_x000a_(ТАК/НІ)"/>
    <tableColumn id="20" xr3:uid="{00000000-0010-0000-0000-000014000000}" name="Дата2"/>
    <tableColumn id="19" xr3:uid="{00000000-0010-0000-0000-000013000000}" name="Підпис2"/>
    <tableColumn id="11" xr3:uid="{00000000-0010-0000-0000-00000B000000}" name="До ПТК _x000a_(ТАК/НІ)" dataDxfId="134"/>
    <tableColumn id="22" xr3:uid="{00000000-0010-0000-0000-000016000000}" name="Дата3"/>
    <tableColumn id="21" xr3:uid="{00000000-0010-0000-0000-000015000000}" name="Підпис3"/>
    <tableColumn id="12" xr3:uid="{00000000-0010-0000-0000-00000C000000}" name="За місцем_x000a_(ТАК/НІ)" dataDxfId="133"/>
    <tableColumn id="24" xr3:uid="{00000000-0010-0000-0000-000018000000}" name="Дата4"/>
    <tableColumn id="23" xr3:uid="{00000000-0010-0000-0000-000017000000}" name="Підпис4"/>
    <tableColumn id="13" xr3:uid="{00000000-0010-0000-0000-00000D000000}" name="З ПТК_x000a_(ТАК/НІ)" dataDxfId="132"/>
    <tableColumn id="26" xr3:uid="{00000000-0010-0000-0000-00001A000000}" name="Дата5" dataDxfId="131"/>
    <tableColumn id="25" xr3:uid="{00000000-0010-0000-0000-000019000000}" name="Підпис5" dataDxfId="130"/>
    <tableColumn id="14" xr3:uid="{00000000-0010-0000-0000-00000E000000}" name="Примітки" totalsRowFunction="count" dataDxfId="12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Таблица112" displayName="Таблица112" ref="A1:E411" totalsRowShown="0" dataDxfId="128">
  <autoFilter ref="A1:E411" xr:uid="{00000000-0009-0000-0100-00000B000000}"/>
  <tableColumns count="5">
    <tableColumn id="1" xr3:uid="{00000000-0010-0000-0100-000001000000}" name="№ з/п" dataDxfId="127"/>
    <tableColumn id="2" xr3:uid="{00000000-0010-0000-0100-000002000000}" name="KKS" dataDxfId="126"/>
    <tableColumn id="3" xr3:uid="{00000000-0010-0000-0100-000003000000}" name="Найменування механізма" dataDxfId="125"/>
    <tableColumn id="4" xr3:uid="{00000000-0010-0000-0100-000004000000}" name="Найменування сигналу" dataDxfId="124"/>
    <tableColumn id="5" xr3:uid="{00000000-0010-0000-0100-000005000000}" name="Тип сигналу" dataDxfId="12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Таблица141011" displayName="Таблица141011" ref="A1:G103" totalsRowShown="0" headerRowDxfId="122">
  <autoFilter ref="A1:G103" xr:uid="{00000000-0009-0000-0100-00000A000000}"/>
  <tableColumns count="7">
    <tableColumn id="1" xr3:uid="{00000000-0010-0000-0200-000001000000}" name="№"/>
    <tableColumn id="2" xr3:uid="{00000000-0010-0000-0200-000002000000}" name="Закінчення KKS сигналу" dataDxfId="121"/>
    <tableColumn id="3" xr3:uid="{00000000-0010-0000-0200-000003000000}" name="Найменування" dataDxfId="120"/>
    <tableColumn id="15" xr3:uid="{00000000-0010-0000-0200-00000F000000}" name="Скорочене найменування" dataDxfId="119"/>
    <tableColumn id="14" xr3:uid="{00000000-0010-0000-0200-00000E000000}" name="Тип сигналу" dataDxfId="118"/>
    <tableColumn id="16" xr3:uid="{00000000-0010-0000-0200-000010000000}" name="Тип сигналу, рівні" dataDxfId="117"/>
    <tableColumn id="4" xr3:uid="{00000000-0010-0000-0200-000004000000}" name="Схема підключення" dataDxfId="116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Таблица1410" displayName="Таблица1410" ref="A1:E1501" totalsRowShown="0" headerRowDxfId="115">
  <autoFilter ref="A1:E1501" xr:uid="{00000000-0009-0000-0100-000009000000}"/>
  <tableColumns count="5">
    <tableColumn id="1" xr3:uid="{00000000-0010-0000-0300-000001000000}" name="№"/>
    <tableColumn id="2" xr3:uid="{00000000-0010-0000-0300-000002000000}" name="KKS" dataDxfId="114"/>
    <tableColumn id="3" xr3:uid="{00000000-0010-0000-0300-000003000000}" name="Найменування арматури" dataDxfId="113"/>
    <tableColumn id="15" xr3:uid="{00000000-0010-0000-0300-00000F000000}" name="Найменування сигналу" dataDxfId="112"/>
    <tableColumn id="14" xr3:uid="{00000000-0010-0000-0300-00000E000000}" name="Тип сигналу" dataDxfId="111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Таблица1479" displayName="Таблица1479" ref="A1:K64" totalsRowShown="0" headerRowDxfId="110">
  <autoFilter ref="A1:K64" xr:uid="{00000000-0009-0000-0100-000008000000}"/>
  <tableColumns count="11">
    <tableColumn id="1" xr3:uid="{00000000-0010-0000-0400-000001000000}" name="№"/>
    <tableColumn id="2" xr3:uid="{00000000-0010-0000-0400-000002000000}" name="KKS"/>
    <tableColumn id="9" xr3:uid="{00000000-0010-0000-0400-000009000000}" name="Найменування клапана"/>
    <tableColumn id="3" xr3:uid="{00000000-0010-0000-0400-000003000000}" name="Сигнали ПТК"/>
    <tableColumn id="4" xr3:uid="{00000000-0010-0000-0400-000004000000}" name="Тип сигналу"/>
    <tableColumn id="10" xr3:uid="{00000000-0010-0000-0400-00000A000000}" name="Тип сигналу, рівні"/>
    <tableColumn id="6" xr3:uid="{00000000-0010-0000-0400-000006000000}" name="Шафа"/>
    <tableColumn id="7" xr3:uid="{00000000-0010-0000-0400-000007000000}" name="Місце в шафі" dataDxfId="109"/>
    <tableColumn id="5" xr3:uid="{00000000-0010-0000-0400-000005000000}" name="Тип блоку" dataDxfId="108"/>
    <tableColumn id="8" xr3:uid="{00000000-0010-0000-0400-000008000000}" name="P, кВт" dataDxfId="107"/>
    <tableColumn id="11" xr3:uid="{00000000-0010-0000-0400-00000B000000}" name="БД Emerson" dataDxfId="106">
      <calculatedColumnFormula>VLOOKUP(Таблица1479[[#This Row],[KKS]],'[2]DBID Digital'!$B:$E,4,0)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Таблица4" displayName="Таблица4" ref="A2:O412" totalsRowCount="1" headerRowDxfId="105" headerRowBorderDxfId="104" tableBorderDxfId="103">
  <autoFilter ref="A2:O411" xr:uid="{00000000-000C-0000-FFFF-FFFF05000000}"/>
  <tableColumns count="15">
    <tableColumn id="37" xr3:uid="{E3E9DCE2-9EB5-4AEB-867A-75CD3A42068A}" name="Факт                        KKS бл.№8" dataDxfId="102" totalsRowDxfId="58"/>
    <tableColumn id="38" xr3:uid="{97D75233-8170-49D3-8BE9-2B3CAF35E6DB}" name="№ шкафа" dataDxfId="101" totalsRowDxfId="57" dataCellStyle="Normal 2"/>
    <tableColumn id="2" xr3:uid="{00000000-0010-0000-0500-000002000000}" name="Найменування параметра" dataDxfId="100" totalsRowDxfId="56"/>
    <tableColumn id="3" xr3:uid="{00000000-0010-0000-0500-000003000000}" name="НСХ" dataDxfId="99" totalsRowDxfId="55"/>
    <tableColumn id="6" xr3:uid="{00000000-0010-0000-0500-000006000000}" name="Відділення" dataDxfId="98" totalsRowDxfId="54"/>
    <tableColumn id="7" xr3:uid="{00000000-0010-0000-0500-000007000000}" name="Номінальне значення, °C" dataDxfId="97" totalsRowDxfId="53"/>
    <tableColumn id="9" xr3:uid="{00000000-0010-0000-0500-000009000000}" name="Місце встановлення" dataDxfId="96" totalsRowDxfId="52"/>
    <tableColumn id="44" xr3:uid="{DA7A1B4F-E114-49C4-932B-08D600FA1259}" name="Промшафа бл.№8" dataDxfId="95" totalsRowDxfId="51"/>
    <tableColumn id="14" xr3:uid="{00000000-0010-0000-0500-00000E000000}" name="Шафа ПТК" dataDxfId="94" totalsRowDxfId="50"/>
    <tableColumn id="55" xr3:uid="{3D197DD5-D253-4561-859A-90B4BFD956C8}" name="Модуль" dataDxfId="93" totalsRowDxfId="49"/>
    <tableColumn id="54" xr3:uid="{319E8A2D-DBF5-422D-8F80-867912294B97}" name="Канал" dataDxfId="92" totalsRowDxfId="48"/>
    <tableColumn id="49" xr3:uid="{BFCA9870-CE97-435B-9CC0-97EF33A7B9E3}" name="KKS кабелю" dataDxfId="61" totalsRowDxfId="47"/>
    <tableColumn id="57" xr3:uid="{0553FB2C-11C8-47AE-886F-B1129D21E08F}" name="Тип кабелю" dataDxfId="60" totalsRowDxfId="46"/>
    <tableColumn id="58" xr3:uid="{477C9930-4A59-4B1A-86A0-F6DFB537F220}" name="Кількість задіяних жил" dataDxfId="59" totalsRowDxfId="45"/>
    <tableColumn id="56" xr3:uid="{55706187-1516-4430-A7EC-12F4D8AE1880}" name="Столбец2" totalsRowDxfId="44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Таблица5" displayName="Таблица5" ref="A2:O483" totalsRowShown="0" headerRowDxfId="91" headerRowBorderDxfId="90" tableBorderDxfId="89" totalsRowBorderDxfId="88">
  <autoFilter ref="A2:O483" xr:uid="{00000000-0009-0000-0100-000005000000}"/>
  <tableColumns count="15">
    <tableColumn id="37" xr3:uid="{CB39BB15-A1DE-474D-9CAB-4817FEF65459}" name="KKS бл.№8  (факт)" dataDxfId="87" dataCellStyle="Обычный_DBID Analog"/>
    <tableColumn id="38" xr3:uid="{ED0B90AE-5CC7-4EB6-85D6-BDFEF19F6E0B}" name="Столбец1" dataDxfId="86" dataCellStyle="Обычный_DBID Analog"/>
    <tableColumn id="2" xr3:uid="{00000000-0010-0000-0600-000002000000}" name="Найменування параметра" dataDxfId="85"/>
    <tableColumn id="4" xr3:uid="{00000000-0010-0000-0600-000004000000}" name="НСХ  Бл.№7"/>
    <tableColumn id="7" xr3:uid="{00000000-0010-0000-0600-000007000000}" name="Відділення" dataDxfId="84"/>
    <tableColumn id="6" xr3:uid="{00000000-0010-0000-0600-000006000000}" name="Номінальне значення, °C" dataDxfId="83"/>
    <tableColumn id="5" xr3:uid="{00000000-0010-0000-0600-000005000000}" name="Місце встановлення"/>
    <tableColumn id="47" xr3:uid="{BC67F10F-367B-47E1-AA17-81B8E061A6A6}" name="Промшафа бл.№8" dataDxfId="82"/>
    <tableColumn id="13" xr3:uid="{00000000-0010-0000-0600-00000D000000}" name="Шафа ПТК" dataDxfId="81"/>
    <tableColumn id="55" xr3:uid="{CE7E8EEA-7D75-41E5-B869-374D412E244F}" name="Модуль" dataDxfId="80"/>
    <tableColumn id="54" xr3:uid="{697C11AB-BD5D-4FFE-80BC-713284AE094A}" name="Канал" dataDxfId="79"/>
    <tableColumn id="58" xr3:uid="{91A1BAA8-47B3-4C38-8A7D-29455689975A}" name="KKS кабелю" dataDxfId="78"/>
    <tableColumn id="57" xr3:uid="{91B7D960-ADBE-4492-B358-2F475F2E347A}" name="Тип кабелю" dataDxfId="77"/>
    <tableColumn id="53" xr3:uid="{9B1B7634-42A5-458B-9259-1DD2B927C6EF}" name="Кількість задіяних жил" dataDxfId="76"/>
    <tableColumn id="56" xr3:uid="{E3277E03-41C2-4B6A-9100-35CB8CA352CA}" name="Столбец4" dataDxfId="75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Таблица113" displayName="Таблица113" ref="A1:I56" totalsRowShown="0" headerRowDxfId="74" headerRowBorderDxfId="73" tableBorderDxfId="72" totalsRowBorderDxfId="71">
  <autoFilter ref="A1:I56" xr:uid="{00000000-0009-0000-0100-00000C000000}"/>
  <tableColumns count="9">
    <tableColumn id="1" xr3:uid="{00000000-0010-0000-0700-000001000000}" name="№" dataDxfId="70"/>
    <tableColumn id="2" xr3:uid="{00000000-0010-0000-0700-000002000000}" name="KKS" dataDxfId="69"/>
    <tableColumn id="3" xr3:uid="{00000000-0010-0000-0700-000003000000}" name="Найменування параметра (старе)" dataDxfId="68"/>
    <tableColumn id="9" xr3:uid="{00000000-0010-0000-0700-000009000000}" name="Найменування параметра (нове)" dataDxfId="67"/>
    <tableColumn id="4" xr3:uid="{00000000-0010-0000-0700-000004000000}" name="Дія" dataDxfId="66"/>
    <tableColumn id="5" xr3:uid="{00000000-0010-0000-0700-000005000000}" name="Діапазон, min" dataDxfId="65"/>
    <tableColumn id="7" xr3:uid="{00000000-0010-0000-0700-000007000000}" name="Діапазон, max" dataDxfId="64"/>
    <tableColumn id="6" xr3:uid="{00000000-0010-0000-0700-000006000000}" name="Од. вим." dataDxfId="63"/>
    <tableColumn id="8" xr3:uid="{00000000-0010-0000-0700-000008000000}" name="Примечания" dataDxfId="6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theme="5" tint="0.39997558519241921"/>
  </sheetPr>
  <dimension ref="A1:X61"/>
  <sheetViews>
    <sheetView view="pageBreakPreview" zoomScale="60" zoomScaleNormal="80" workbookViewId="0">
      <pane ySplit="2" topLeftCell="A3" activePane="bottomLeft" state="frozen"/>
      <selection pane="bottomLeft" activeCell="W11" sqref="W11"/>
    </sheetView>
  </sheetViews>
  <sheetFormatPr defaultRowHeight="14.4" x14ac:dyDescent="0.3"/>
  <cols>
    <col min="1" max="1" width="6.44140625" style="9" customWidth="1"/>
    <col min="2" max="2" width="45.77734375" style="10" customWidth="1"/>
    <col min="3" max="3" width="17.77734375" style="9" customWidth="1"/>
    <col min="4" max="4" width="15.77734375" style="9" customWidth="1"/>
    <col min="5" max="5" width="7.88671875" customWidth="1"/>
    <col min="7" max="7" width="0" hidden="1" customWidth="1"/>
    <col min="8" max="8" width="12.44140625" hidden="1" customWidth="1"/>
    <col min="9" max="9" width="17.88671875" style="104" customWidth="1"/>
    <col min="10" max="11" width="17.88671875" style="39" hidden="1" customWidth="1"/>
    <col min="12" max="12" width="16.33203125" style="39" customWidth="1"/>
    <col min="13" max="14" width="16.33203125" style="39" hidden="1" customWidth="1"/>
    <col min="15" max="15" width="14.6640625" style="105" customWidth="1"/>
    <col min="16" max="17" width="14.6640625" hidden="1" customWidth="1"/>
    <col min="18" max="18" width="11.88671875" style="104" customWidth="1"/>
    <col min="19" max="20" width="11.88671875" style="39" hidden="1" customWidth="1"/>
    <col min="21" max="21" width="13.109375" style="105" customWidth="1"/>
    <col min="22" max="22" width="13.109375" style="104" customWidth="1"/>
    <col min="23" max="23" width="13.109375" style="105" customWidth="1"/>
    <col min="24" max="24" width="45.5546875" style="107" customWidth="1"/>
  </cols>
  <sheetData>
    <row r="1" spans="1:24" x14ac:dyDescent="0.3">
      <c r="I1" s="203" t="s">
        <v>3255</v>
      </c>
      <c r="J1" s="204"/>
      <c r="K1" s="204"/>
      <c r="L1" s="204"/>
      <c r="M1" s="204"/>
      <c r="N1" s="204"/>
      <c r="O1" s="205"/>
      <c r="P1" s="103"/>
      <c r="Q1" s="103"/>
      <c r="R1" s="203" t="s">
        <v>3257</v>
      </c>
      <c r="S1" s="204"/>
      <c r="T1" s="204"/>
      <c r="U1" s="205"/>
      <c r="V1" s="203" t="s">
        <v>3271</v>
      </c>
      <c r="W1" s="205"/>
      <c r="X1" s="106"/>
    </row>
    <row r="2" spans="1:24" ht="28.8" x14ac:dyDescent="0.3">
      <c r="A2" t="s">
        <v>438</v>
      </c>
      <c r="B2" t="s">
        <v>2389</v>
      </c>
      <c r="C2" t="s">
        <v>439</v>
      </c>
      <c r="D2" t="s">
        <v>440</v>
      </c>
      <c r="E2" t="s">
        <v>2481</v>
      </c>
      <c r="F2" t="s">
        <v>513</v>
      </c>
      <c r="G2" t="s">
        <v>2593</v>
      </c>
      <c r="H2" t="s">
        <v>2645</v>
      </c>
      <c r="I2" s="108" t="s">
        <v>3272</v>
      </c>
      <c r="J2" s="109" t="s">
        <v>3261</v>
      </c>
      <c r="K2" s="109" t="s">
        <v>3262</v>
      </c>
      <c r="L2" s="109" t="s">
        <v>3258</v>
      </c>
      <c r="M2" s="110" t="s">
        <v>3263</v>
      </c>
      <c r="N2" s="109" t="s">
        <v>3265</v>
      </c>
      <c r="O2" s="111" t="s">
        <v>3256</v>
      </c>
      <c r="P2" s="102" t="s">
        <v>3266</v>
      </c>
      <c r="Q2" s="102" t="s">
        <v>3264</v>
      </c>
      <c r="R2" s="108" t="s">
        <v>3259</v>
      </c>
      <c r="S2" s="109" t="s">
        <v>3267</v>
      </c>
      <c r="T2" s="109" t="s">
        <v>3268</v>
      </c>
      <c r="U2" s="111" t="s">
        <v>3260</v>
      </c>
      <c r="V2" s="108" t="s">
        <v>3269</v>
      </c>
      <c r="W2" s="111" t="s">
        <v>3270</v>
      </c>
      <c r="X2" s="112" t="s">
        <v>511</v>
      </c>
    </row>
    <row r="3" spans="1:24" x14ac:dyDescent="0.3">
      <c r="A3">
        <v>1</v>
      </c>
      <c r="B3" t="s">
        <v>442</v>
      </c>
      <c r="C3" t="s">
        <v>714</v>
      </c>
      <c r="D3" t="s">
        <v>713</v>
      </c>
      <c r="E3" s="19">
        <v>6</v>
      </c>
      <c r="F3" t="s">
        <v>2591</v>
      </c>
      <c r="G3">
        <v>1</v>
      </c>
    </row>
    <row r="4" spans="1:24" x14ac:dyDescent="0.3">
      <c r="A4">
        <v>2</v>
      </c>
      <c r="B4" t="s">
        <v>442</v>
      </c>
      <c r="C4" t="s">
        <v>715</v>
      </c>
      <c r="D4" t="s">
        <v>2551</v>
      </c>
      <c r="E4" s="19">
        <v>6</v>
      </c>
      <c r="F4" t="s">
        <v>2591</v>
      </c>
      <c r="G4">
        <v>1</v>
      </c>
    </row>
    <row r="5" spans="1:24" x14ac:dyDescent="0.3">
      <c r="A5">
        <v>3</v>
      </c>
      <c r="B5" t="s">
        <v>442</v>
      </c>
      <c r="C5" t="s">
        <v>716</v>
      </c>
      <c r="D5" t="s">
        <v>718</v>
      </c>
      <c r="E5" s="19">
        <v>6</v>
      </c>
      <c r="F5" t="s">
        <v>2591</v>
      </c>
      <c r="G5">
        <v>1</v>
      </c>
    </row>
    <row r="6" spans="1:24" x14ac:dyDescent="0.3">
      <c r="A6">
        <v>4</v>
      </c>
      <c r="B6" t="s">
        <v>442</v>
      </c>
      <c r="C6" t="s">
        <v>717</v>
      </c>
      <c r="D6" t="s">
        <v>2552</v>
      </c>
      <c r="E6" s="19">
        <v>6</v>
      </c>
      <c r="F6" t="s">
        <v>2591</v>
      </c>
      <c r="G6">
        <v>1</v>
      </c>
    </row>
    <row r="7" spans="1:24" x14ac:dyDescent="0.3">
      <c r="A7">
        <v>5</v>
      </c>
      <c r="B7" t="s">
        <v>445</v>
      </c>
      <c r="C7" t="s">
        <v>719</v>
      </c>
      <c r="D7" t="s">
        <v>721</v>
      </c>
      <c r="E7" s="19">
        <v>6</v>
      </c>
      <c r="F7" t="s">
        <v>2591</v>
      </c>
      <c r="G7">
        <v>1</v>
      </c>
    </row>
    <row r="8" spans="1:24" x14ac:dyDescent="0.3">
      <c r="A8">
        <v>6</v>
      </c>
      <c r="B8" t="s">
        <v>445</v>
      </c>
      <c r="C8" t="s">
        <v>720</v>
      </c>
      <c r="D8" t="s">
        <v>2553</v>
      </c>
      <c r="E8" s="19">
        <v>6</v>
      </c>
      <c r="F8" t="s">
        <v>2591</v>
      </c>
      <c r="G8">
        <v>1</v>
      </c>
    </row>
    <row r="9" spans="1:24" x14ac:dyDescent="0.3">
      <c r="A9">
        <v>7</v>
      </c>
      <c r="B9" t="s">
        <v>445</v>
      </c>
      <c r="C9" t="s">
        <v>722</v>
      </c>
      <c r="D9" t="s">
        <v>723</v>
      </c>
      <c r="E9" s="19">
        <v>6</v>
      </c>
      <c r="F9" t="s">
        <v>2591</v>
      </c>
      <c r="G9">
        <v>1</v>
      </c>
    </row>
    <row r="10" spans="1:24" x14ac:dyDescent="0.3">
      <c r="A10">
        <v>8</v>
      </c>
      <c r="B10" t="s">
        <v>445</v>
      </c>
      <c r="C10" t="s">
        <v>724</v>
      </c>
      <c r="D10" t="s">
        <v>2554</v>
      </c>
      <c r="E10" s="19">
        <v>6</v>
      </c>
      <c r="F10" t="s">
        <v>2591</v>
      </c>
      <c r="G10">
        <v>1</v>
      </c>
    </row>
    <row r="11" spans="1:24" x14ac:dyDescent="0.3">
      <c r="A11">
        <v>9</v>
      </c>
      <c r="B11" t="s">
        <v>446</v>
      </c>
      <c r="C11" t="s">
        <v>447</v>
      </c>
      <c r="D11" t="s">
        <v>688</v>
      </c>
      <c r="E11" s="19">
        <v>6</v>
      </c>
      <c r="F11" t="s">
        <v>2591</v>
      </c>
      <c r="G11">
        <v>3</v>
      </c>
    </row>
    <row r="12" spans="1:24" x14ac:dyDescent="0.3">
      <c r="A12">
        <v>10</v>
      </c>
      <c r="B12" t="s">
        <v>446</v>
      </c>
      <c r="C12" t="s">
        <v>448</v>
      </c>
      <c r="D12" t="s">
        <v>689</v>
      </c>
      <c r="E12" s="19">
        <v>6</v>
      </c>
      <c r="F12" t="s">
        <v>2591</v>
      </c>
      <c r="G12">
        <v>3</v>
      </c>
    </row>
    <row r="13" spans="1:24" x14ac:dyDescent="0.3">
      <c r="A13">
        <v>11</v>
      </c>
      <c r="B13" t="s">
        <v>446</v>
      </c>
      <c r="C13" t="s">
        <v>449</v>
      </c>
      <c r="D13" t="s">
        <v>690</v>
      </c>
      <c r="E13" s="19">
        <v>6</v>
      </c>
      <c r="F13" t="s">
        <v>2591</v>
      </c>
      <c r="G13">
        <v>3</v>
      </c>
    </row>
    <row r="14" spans="1:24" x14ac:dyDescent="0.3">
      <c r="A14">
        <v>12</v>
      </c>
      <c r="B14" t="s">
        <v>446</v>
      </c>
      <c r="C14" t="s">
        <v>450</v>
      </c>
      <c r="D14" t="s">
        <v>691</v>
      </c>
      <c r="E14" s="19">
        <v>6</v>
      </c>
      <c r="F14" t="s">
        <v>2591</v>
      </c>
      <c r="G14">
        <v>3</v>
      </c>
    </row>
    <row r="15" spans="1:24" x14ac:dyDescent="0.3">
      <c r="A15">
        <v>13</v>
      </c>
      <c r="B15" t="s">
        <v>446</v>
      </c>
      <c r="C15" t="s">
        <v>451</v>
      </c>
      <c r="D15" t="s">
        <v>692</v>
      </c>
      <c r="E15" s="19">
        <v>6</v>
      </c>
      <c r="F15" t="s">
        <v>2591</v>
      </c>
      <c r="G15">
        <v>3</v>
      </c>
    </row>
    <row r="16" spans="1:24" x14ac:dyDescent="0.3">
      <c r="A16">
        <v>14</v>
      </c>
      <c r="B16" t="s">
        <v>446</v>
      </c>
      <c r="C16" t="s">
        <v>452</v>
      </c>
      <c r="D16" t="s">
        <v>693</v>
      </c>
      <c r="E16" s="19">
        <v>6</v>
      </c>
      <c r="F16" t="s">
        <v>2591</v>
      </c>
      <c r="G16">
        <v>3</v>
      </c>
    </row>
    <row r="17" spans="1:8" x14ac:dyDescent="0.3">
      <c r="A17">
        <v>15</v>
      </c>
      <c r="B17" t="s">
        <v>453</v>
      </c>
      <c r="C17" t="s">
        <v>454</v>
      </c>
      <c r="D17" t="s">
        <v>694</v>
      </c>
      <c r="E17" s="19">
        <v>6</v>
      </c>
      <c r="F17" t="s">
        <v>2591</v>
      </c>
      <c r="G17">
        <v>3</v>
      </c>
    </row>
    <row r="18" spans="1:8" x14ac:dyDescent="0.3">
      <c r="A18">
        <v>16</v>
      </c>
      <c r="B18" t="s">
        <v>453</v>
      </c>
      <c r="C18" t="s">
        <v>455</v>
      </c>
      <c r="D18" t="s">
        <v>695</v>
      </c>
      <c r="E18" s="19">
        <v>6</v>
      </c>
      <c r="F18" t="s">
        <v>2591</v>
      </c>
      <c r="G18">
        <v>3</v>
      </c>
    </row>
    <row r="19" spans="1:8" x14ac:dyDescent="0.3">
      <c r="A19">
        <v>17</v>
      </c>
      <c r="B19" t="s">
        <v>453</v>
      </c>
      <c r="C19" t="s">
        <v>456</v>
      </c>
      <c r="D19" t="s">
        <v>696</v>
      </c>
      <c r="E19" s="19">
        <v>6</v>
      </c>
      <c r="F19" t="s">
        <v>2591</v>
      </c>
      <c r="G19">
        <v>3</v>
      </c>
    </row>
    <row r="20" spans="1:8" x14ac:dyDescent="0.3">
      <c r="A20">
        <v>18</v>
      </c>
      <c r="B20" t="s">
        <v>453</v>
      </c>
      <c r="C20" t="s">
        <v>457</v>
      </c>
      <c r="D20" t="s">
        <v>697</v>
      </c>
      <c r="E20" s="19">
        <v>6</v>
      </c>
      <c r="F20" t="s">
        <v>2591</v>
      </c>
      <c r="G20">
        <v>3</v>
      </c>
    </row>
    <row r="21" spans="1:8" x14ac:dyDescent="0.3">
      <c r="A21">
        <v>19</v>
      </c>
      <c r="B21" t="s">
        <v>453</v>
      </c>
      <c r="C21" t="s">
        <v>458</v>
      </c>
      <c r="D21" t="s">
        <v>698</v>
      </c>
      <c r="E21" s="19">
        <v>6</v>
      </c>
      <c r="F21" t="s">
        <v>2591</v>
      </c>
      <c r="G21">
        <v>3</v>
      </c>
    </row>
    <row r="22" spans="1:8" x14ac:dyDescent="0.3">
      <c r="A22">
        <v>20</v>
      </c>
      <c r="B22" t="s">
        <v>453</v>
      </c>
      <c r="C22" t="s">
        <v>459</v>
      </c>
      <c r="D22" t="s">
        <v>699</v>
      </c>
      <c r="E22" s="19">
        <v>6</v>
      </c>
      <c r="F22" t="s">
        <v>2591</v>
      </c>
      <c r="G22">
        <v>3</v>
      </c>
    </row>
    <row r="23" spans="1:8" x14ac:dyDescent="0.3">
      <c r="A23">
        <v>21</v>
      </c>
      <c r="B23" t="s">
        <v>460</v>
      </c>
      <c r="C23" t="s">
        <v>461</v>
      </c>
      <c r="D23" t="s">
        <v>708</v>
      </c>
      <c r="E23" s="19">
        <v>6</v>
      </c>
      <c r="F23" t="s">
        <v>2591</v>
      </c>
      <c r="G23">
        <v>1</v>
      </c>
    </row>
    <row r="24" spans="1:8" x14ac:dyDescent="0.3">
      <c r="A24">
        <v>22</v>
      </c>
      <c r="B24" t="s">
        <v>460</v>
      </c>
      <c r="C24" t="s">
        <v>462</v>
      </c>
      <c r="D24" t="s">
        <v>709</v>
      </c>
      <c r="E24" s="19">
        <v>6</v>
      </c>
      <c r="F24" t="s">
        <v>2591</v>
      </c>
      <c r="G24">
        <v>1</v>
      </c>
    </row>
    <row r="25" spans="1:8" x14ac:dyDescent="0.3">
      <c r="A25">
        <v>23</v>
      </c>
      <c r="B25" t="s">
        <v>463</v>
      </c>
      <c r="C25" t="s">
        <v>464</v>
      </c>
      <c r="D25" t="s">
        <v>706</v>
      </c>
      <c r="E25" s="19">
        <v>6</v>
      </c>
      <c r="F25" t="s">
        <v>2591</v>
      </c>
      <c r="G25">
        <v>2</v>
      </c>
    </row>
    <row r="26" spans="1:8" x14ac:dyDescent="0.3">
      <c r="A26">
        <v>24</v>
      </c>
      <c r="B26" t="s">
        <v>463</v>
      </c>
      <c r="C26" t="s">
        <v>465</v>
      </c>
      <c r="D26" t="s">
        <v>707</v>
      </c>
      <c r="E26" s="19">
        <v>6</v>
      </c>
      <c r="F26" t="s">
        <v>2591</v>
      </c>
      <c r="G26">
        <v>2</v>
      </c>
    </row>
    <row r="27" spans="1:8" x14ac:dyDescent="0.3">
      <c r="A27">
        <v>25</v>
      </c>
      <c r="B27" t="s">
        <v>466</v>
      </c>
      <c r="C27" t="s">
        <v>467</v>
      </c>
      <c r="D27" t="s">
        <v>2451</v>
      </c>
      <c r="E27" s="19">
        <v>0.4</v>
      </c>
      <c r="F27" t="s">
        <v>2592</v>
      </c>
      <c r="G27">
        <v>1</v>
      </c>
      <c r="H27">
        <v>4</v>
      </c>
    </row>
    <row r="28" spans="1:8" x14ac:dyDescent="0.3">
      <c r="A28">
        <v>26</v>
      </c>
      <c r="B28" t="s">
        <v>466</v>
      </c>
      <c r="C28" t="s">
        <v>468</v>
      </c>
      <c r="D28" t="s">
        <v>2452</v>
      </c>
      <c r="E28" s="19">
        <v>0.4</v>
      </c>
      <c r="F28" t="s">
        <v>2592</v>
      </c>
      <c r="G28">
        <v>1</v>
      </c>
      <c r="H28">
        <v>4</v>
      </c>
    </row>
    <row r="29" spans="1:8" x14ac:dyDescent="0.3">
      <c r="A29">
        <v>27</v>
      </c>
      <c r="B29" s="24" t="s">
        <v>469</v>
      </c>
      <c r="C29" s="24" t="s">
        <v>470</v>
      </c>
      <c r="D29" s="24" t="s">
        <v>710</v>
      </c>
      <c r="E29" s="19">
        <v>0.4</v>
      </c>
      <c r="F29" t="s">
        <v>2592</v>
      </c>
      <c r="G29">
        <v>1</v>
      </c>
      <c r="H29">
        <v>6</v>
      </c>
    </row>
    <row r="30" spans="1:8" x14ac:dyDescent="0.3">
      <c r="A30">
        <v>28</v>
      </c>
      <c r="B30" t="s">
        <v>738</v>
      </c>
      <c r="C30" t="s">
        <v>739</v>
      </c>
      <c r="D30" t="s">
        <v>711</v>
      </c>
      <c r="E30" s="19">
        <v>0.4</v>
      </c>
      <c r="F30" t="s">
        <v>2592</v>
      </c>
      <c r="G30">
        <v>1</v>
      </c>
      <c r="H30">
        <v>5</v>
      </c>
    </row>
    <row r="31" spans="1:8" x14ac:dyDescent="0.3">
      <c r="A31">
        <v>29</v>
      </c>
      <c r="B31" t="s">
        <v>471</v>
      </c>
      <c r="C31" t="s">
        <v>472</v>
      </c>
      <c r="D31" t="s">
        <v>712</v>
      </c>
      <c r="E31" s="19">
        <v>0.4</v>
      </c>
      <c r="F31" t="s">
        <v>2592</v>
      </c>
      <c r="G31">
        <v>2</v>
      </c>
      <c r="H31">
        <v>8</v>
      </c>
    </row>
    <row r="32" spans="1:8" x14ac:dyDescent="0.3">
      <c r="A32">
        <v>30</v>
      </c>
      <c r="B32" s="24" t="s">
        <v>473</v>
      </c>
      <c r="C32" t="s">
        <v>474</v>
      </c>
      <c r="D32" t="s">
        <v>2583</v>
      </c>
      <c r="E32" s="19">
        <v>0.4</v>
      </c>
      <c r="F32" t="s">
        <v>2592</v>
      </c>
      <c r="G32">
        <v>3</v>
      </c>
      <c r="H32">
        <v>7</v>
      </c>
    </row>
    <row r="33" spans="1:8" x14ac:dyDescent="0.3">
      <c r="A33">
        <v>31</v>
      </c>
      <c r="B33" s="24" t="s">
        <v>473</v>
      </c>
      <c r="C33" t="s">
        <v>475</v>
      </c>
      <c r="D33" t="s">
        <v>2584</v>
      </c>
      <c r="E33" s="19">
        <v>0.4</v>
      </c>
      <c r="F33" t="s">
        <v>2592</v>
      </c>
      <c r="G33">
        <v>3</v>
      </c>
      <c r="H33">
        <v>7</v>
      </c>
    </row>
    <row r="34" spans="1:8" x14ac:dyDescent="0.3">
      <c r="A34">
        <v>32</v>
      </c>
      <c r="B34" s="24" t="s">
        <v>473</v>
      </c>
      <c r="C34" t="s">
        <v>476</v>
      </c>
      <c r="D34" t="s">
        <v>2585</v>
      </c>
      <c r="E34" s="19">
        <v>0.4</v>
      </c>
      <c r="F34" t="s">
        <v>2592</v>
      </c>
      <c r="G34">
        <v>3</v>
      </c>
      <c r="H34">
        <v>7</v>
      </c>
    </row>
    <row r="35" spans="1:8" x14ac:dyDescent="0.3">
      <c r="A35">
        <v>33</v>
      </c>
      <c r="B35" s="24" t="s">
        <v>473</v>
      </c>
      <c r="C35" t="s">
        <v>477</v>
      </c>
      <c r="D35" t="s">
        <v>2586</v>
      </c>
      <c r="E35" s="19">
        <v>0.4</v>
      </c>
      <c r="F35" t="s">
        <v>2592</v>
      </c>
      <c r="G35">
        <v>3</v>
      </c>
      <c r="H35">
        <v>7</v>
      </c>
    </row>
    <row r="36" spans="1:8" x14ac:dyDescent="0.3">
      <c r="A36">
        <v>34</v>
      </c>
      <c r="B36" t="s">
        <v>478</v>
      </c>
      <c r="C36" t="s">
        <v>479</v>
      </c>
      <c r="D36" t="s">
        <v>680</v>
      </c>
      <c r="E36" s="19">
        <v>0.4</v>
      </c>
      <c r="F36" t="s">
        <v>2592</v>
      </c>
      <c r="G36">
        <v>6</v>
      </c>
      <c r="H36">
        <v>2</v>
      </c>
    </row>
    <row r="37" spans="1:8" x14ac:dyDescent="0.3">
      <c r="A37">
        <v>35</v>
      </c>
      <c r="B37" t="s">
        <v>478</v>
      </c>
      <c r="C37" t="s">
        <v>480</v>
      </c>
      <c r="D37" t="s">
        <v>681</v>
      </c>
      <c r="E37" s="19">
        <v>0.4</v>
      </c>
      <c r="F37" t="s">
        <v>2592</v>
      </c>
      <c r="G37">
        <v>7</v>
      </c>
      <c r="H37">
        <v>2</v>
      </c>
    </row>
    <row r="38" spans="1:8" x14ac:dyDescent="0.3">
      <c r="A38">
        <v>36</v>
      </c>
      <c r="B38" t="s">
        <v>478</v>
      </c>
      <c r="C38" t="s">
        <v>481</v>
      </c>
      <c r="D38" t="s">
        <v>682</v>
      </c>
      <c r="E38" s="19">
        <v>0.4</v>
      </c>
      <c r="F38" t="s">
        <v>2592</v>
      </c>
      <c r="G38">
        <v>6</v>
      </c>
      <c r="H38">
        <v>2</v>
      </c>
    </row>
    <row r="39" spans="1:8" x14ac:dyDescent="0.3">
      <c r="A39">
        <v>37</v>
      </c>
      <c r="B39" t="s">
        <v>478</v>
      </c>
      <c r="C39" t="s">
        <v>482</v>
      </c>
      <c r="D39" t="s">
        <v>683</v>
      </c>
      <c r="E39" s="19">
        <v>0.4</v>
      </c>
      <c r="F39" t="s">
        <v>2592</v>
      </c>
      <c r="G39">
        <v>7</v>
      </c>
      <c r="H39">
        <v>2</v>
      </c>
    </row>
    <row r="40" spans="1:8" x14ac:dyDescent="0.3">
      <c r="A40">
        <v>38</v>
      </c>
      <c r="B40" t="s">
        <v>478</v>
      </c>
      <c r="C40" t="s">
        <v>483</v>
      </c>
      <c r="D40" t="s">
        <v>684</v>
      </c>
      <c r="E40" s="19">
        <v>0.4</v>
      </c>
      <c r="F40" t="s">
        <v>2592</v>
      </c>
      <c r="G40">
        <v>6</v>
      </c>
      <c r="H40">
        <v>2</v>
      </c>
    </row>
    <row r="41" spans="1:8" x14ac:dyDescent="0.3">
      <c r="A41">
        <v>39</v>
      </c>
      <c r="B41" t="s">
        <v>478</v>
      </c>
      <c r="C41" t="s">
        <v>484</v>
      </c>
      <c r="D41" t="s">
        <v>685</v>
      </c>
      <c r="E41" s="19">
        <v>0.4</v>
      </c>
      <c r="F41" t="s">
        <v>2592</v>
      </c>
      <c r="G41">
        <v>7</v>
      </c>
      <c r="H41">
        <v>2</v>
      </c>
    </row>
    <row r="42" spans="1:8" x14ac:dyDescent="0.3">
      <c r="A42">
        <v>40</v>
      </c>
      <c r="B42" s="24" t="s">
        <v>485</v>
      </c>
      <c r="C42" t="s">
        <v>486</v>
      </c>
      <c r="D42" t="s">
        <v>686</v>
      </c>
      <c r="E42" s="19">
        <v>0.4</v>
      </c>
      <c r="F42" t="s">
        <v>2592</v>
      </c>
      <c r="G42">
        <v>4</v>
      </c>
      <c r="H42">
        <v>1</v>
      </c>
    </row>
    <row r="43" spans="1:8" x14ac:dyDescent="0.3">
      <c r="A43">
        <v>41</v>
      </c>
      <c r="B43" s="24" t="s">
        <v>485</v>
      </c>
      <c r="C43" t="s">
        <v>487</v>
      </c>
      <c r="D43" t="s">
        <v>687</v>
      </c>
      <c r="E43" s="19">
        <v>0.4</v>
      </c>
      <c r="F43" t="s">
        <v>2592</v>
      </c>
      <c r="G43">
        <v>4</v>
      </c>
      <c r="H43">
        <v>1</v>
      </c>
    </row>
    <row r="44" spans="1:8" x14ac:dyDescent="0.3">
      <c r="A44">
        <v>42</v>
      </c>
      <c r="B44" s="24" t="s">
        <v>725</v>
      </c>
      <c r="C44" t="s">
        <v>488</v>
      </c>
      <c r="D44" t="s">
        <v>700</v>
      </c>
      <c r="E44" s="19">
        <v>0.4</v>
      </c>
      <c r="F44" t="s">
        <v>2592</v>
      </c>
      <c r="G44">
        <v>4</v>
      </c>
      <c r="H44">
        <v>3</v>
      </c>
    </row>
    <row r="45" spans="1:8" x14ac:dyDescent="0.3">
      <c r="A45">
        <v>43</v>
      </c>
      <c r="B45" s="24" t="s">
        <v>725</v>
      </c>
      <c r="C45" t="s">
        <v>489</v>
      </c>
      <c r="D45" t="s">
        <v>701</v>
      </c>
      <c r="E45" s="19">
        <v>0.4</v>
      </c>
      <c r="F45" t="s">
        <v>2592</v>
      </c>
      <c r="G45">
        <v>4</v>
      </c>
      <c r="H45">
        <v>3</v>
      </c>
    </row>
    <row r="46" spans="1:8" x14ac:dyDescent="0.3">
      <c r="A46">
        <v>44</v>
      </c>
      <c r="B46" s="24" t="s">
        <v>725</v>
      </c>
      <c r="C46" t="s">
        <v>490</v>
      </c>
      <c r="D46" t="s">
        <v>702</v>
      </c>
      <c r="E46" s="19">
        <v>0.4</v>
      </c>
      <c r="F46" t="s">
        <v>2592</v>
      </c>
      <c r="G46">
        <v>4</v>
      </c>
      <c r="H46">
        <v>3</v>
      </c>
    </row>
    <row r="47" spans="1:8" x14ac:dyDescent="0.3">
      <c r="A47">
        <v>45</v>
      </c>
      <c r="B47" s="24" t="s">
        <v>725</v>
      </c>
      <c r="C47" t="s">
        <v>491</v>
      </c>
      <c r="D47" t="s">
        <v>703</v>
      </c>
      <c r="E47" s="19">
        <v>0.4</v>
      </c>
      <c r="F47" t="s">
        <v>2592</v>
      </c>
      <c r="G47">
        <v>4</v>
      </c>
      <c r="H47">
        <v>3</v>
      </c>
    </row>
    <row r="48" spans="1:8" x14ac:dyDescent="0.3">
      <c r="A48">
        <v>46</v>
      </c>
      <c r="B48" s="24" t="s">
        <v>725</v>
      </c>
      <c r="C48" t="s">
        <v>492</v>
      </c>
      <c r="D48" t="s">
        <v>704</v>
      </c>
      <c r="E48" s="19">
        <v>0.4</v>
      </c>
      <c r="F48" t="s">
        <v>2592</v>
      </c>
      <c r="G48">
        <v>4</v>
      </c>
      <c r="H48">
        <v>3</v>
      </c>
    </row>
    <row r="49" spans="1:8" x14ac:dyDescent="0.3">
      <c r="A49">
        <v>47</v>
      </c>
      <c r="B49" s="24" t="s">
        <v>725</v>
      </c>
      <c r="C49" t="s">
        <v>493</v>
      </c>
      <c r="D49" t="s">
        <v>705</v>
      </c>
      <c r="E49" s="19">
        <v>0.4</v>
      </c>
      <c r="F49" t="s">
        <v>2592</v>
      </c>
      <c r="G49">
        <v>4</v>
      </c>
      <c r="H49">
        <v>3</v>
      </c>
    </row>
    <row r="50" spans="1:8" x14ac:dyDescent="0.3">
      <c r="A50">
        <v>48</v>
      </c>
      <c r="B50" s="82" t="s">
        <v>2458</v>
      </c>
      <c r="C50" t="s">
        <v>2441</v>
      </c>
      <c r="D50" t="s">
        <v>2445</v>
      </c>
      <c r="E50" s="19">
        <v>0.4</v>
      </c>
      <c r="F50" t="s">
        <v>2592</v>
      </c>
      <c r="G50">
        <v>1</v>
      </c>
      <c r="H50">
        <v>9</v>
      </c>
    </row>
    <row r="51" spans="1:8" x14ac:dyDescent="0.3">
      <c r="A51">
        <v>49</v>
      </c>
      <c r="B51" s="82" t="s">
        <v>2459</v>
      </c>
      <c r="C51" t="s">
        <v>2442</v>
      </c>
      <c r="D51" t="s">
        <v>2446</v>
      </c>
      <c r="E51" s="19">
        <v>0.4</v>
      </c>
      <c r="F51" t="s">
        <v>2592</v>
      </c>
      <c r="G51">
        <v>1</v>
      </c>
      <c r="H51">
        <v>9</v>
      </c>
    </row>
    <row r="52" spans="1:8" x14ac:dyDescent="0.3">
      <c r="A52">
        <v>50</v>
      </c>
      <c r="B52" s="82" t="s">
        <v>2460</v>
      </c>
      <c r="C52" t="s">
        <v>2443</v>
      </c>
      <c r="D52" t="s">
        <v>2447</v>
      </c>
      <c r="E52" s="19">
        <v>0.4</v>
      </c>
      <c r="F52" t="s">
        <v>2592</v>
      </c>
      <c r="G52">
        <v>1</v>
      </c>
      <c r="H52">
        <v>9</v>
      </c>
    </row>
    <row r="53" spans="1:8" x14ac:dyDescent="0.3">
      <c r="A53">
        <v>51</v>
      </c>
      <c r="B53" s="82" t="s">
        <v>2461</v>
      </c>
      <c r="C53" t="s">
        <v>2444</v>
      </c>
      <c r="D53" t="s">
        <v>2448</v>
      </c>
      <c r="E53" s="19">
        <v>0.4</v>
      </c>
      <c r="F53" t="s">
        <v>2592</v>
      </c>
      <c r="G53">
        <v>1</v>
      </c>
      <c r="H53">
        <v>9</v>
      </c>
    </row>
    <row r="54" spans="1:8" x14ac:dyDescent="0.3">
      <c r="A54">
        <v>52</v>
      </c>
      <c r="B54" s="82" t="s">
        <v>2463</v>
      </c>
      <c r="C54" t="s">
        <v>2453</v>
      </c>
      <c r="D54" t="s">
        <v>2449</v>
      </c>
      <c r="E54" s="19">
        <v>0.4</v>
      </c>
      <c r="F54" t="s">
        <v>2592</v>
      </c>
      <c r="G54">
        <v>1</v>
      </c>
      <c r="H54">
        <v>12</v>
      </c>
    </row>
    <row r="55" spans="1:8" x14ac:dyDescent="0.3">
      <c r="A55">
        <v>53</v>
      </c>
      <c r="B55" s="82" t="s">
        <v>2464</v>
      </c>
      <c r="C55" t="s">
        <v>2454</v>
      </c>
      <c r="D55" t="s">
        <v>2450</v>
      </c>
      <c r="E55" s="19">
        <v>0.4</v>
      </c>
      <c r="F55" t="s">
        <v>2592</v>
      </c>
      <c r="G55">
        <v>1</v>
      </c>
      <c r="H55">
        <v>13</v>
      </c>
    </row>
    <row r="56" spans="1:8" x14ac:dyDescent="0.3">
      <c r="A56">
        <v>54</v>
      </c>
      <c r="B56" s="82" t="s">
        <v>2462</v>
      </c>
      <c r="C56" t="s">
        <v>2455</v>
      </c>
      <c r="D56" t="s">
        <v>2456</v>
      </c>
      <c r="E56" s="19">
        <v>0.4</v>
      </c>
      <c r="F56" t="s">
        <v>2592</v>
      </c>
      <c r="G56">
        <v>5</v>
      </c>
      <c r="H56">
        <v>14</v>
      </c>
    </row>
    <row r="57" spans="1:8" x14ac:dyDescent="0.3">
      <c r="A57">
        <v>55</v>
      </c>
      <c r="B57" t="s">
        <v>2457</v>
      </c>
      <c r="C57" s="24" t="s">
        <v>2595</v>
      </c>
      <c r="D57" s="24" t="s">
        <v>2594</v>
      </c>
      <c r="E57" s="19">
        <v>0.4</v>
      </c>
      <c r="F57" t="s">
        <v>2592</v>
      </c>
      <c r="G57">
        <v>5</v>
      </c>
      <c r="H57">
        <v>11</v>
      </c>
    </row>
    <row r="58" spans="1:8" x14ac:dyDescent="0.3">
      <c r="A58">
        <v>56</v>
      </c>
      <c r="B58"/>
      <c r="C58"/>
      <c r="D58"/>
      <c r="E58" s="19"/>
    </row>
    <row r="59" spans="1:8" x14ac:dyDescent="0.3">
      <c r="A59">
        <v>57</v>
      </c>
      <c r="B59"/>
      <c r="C59"/>
      <c r="D59"/>
      <c r="E59" s="19"/>
    </row>
    <row r="60" spans="1:8" x14ac:dyDescent="0.3">
      <c r="A60">
        <v>58</v>
      </c>
      <c r="B60"/>
      <c r="C60"/>
      <c r="D60"/>
      <c r="E60" s="19"/>
    </row>
    <row r="61" spans="1:8" x14ac:dyDescent="0.3">
      <c r="A61">
        <v>59</v>
      </c>
      <c r="B61"/>
      <c r="C61"/>
      <c r="D61"/>
      <c r="E61" s="19"/>
    </row>
  </sheetData>
  <mergeCells count="3">
    <mergeCell ref="I1:O1"/>
    <mergeCell ref="R1:U1"/>
    <mergeCell ref="V1:W1"/>
  </mergeCells>
  <phoneticPr fontId="14" type="noConversion"/>
  <conditionalFormatting sqref="D1:D1048576">
    <cfRule type="duplicateValues" dxfId="43" priority="1"/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theme="5" tint="0.39997558519241921"/>
  </sheetPr>
  <dimension ref="A1:X411"/>
  <sheetViews>
    <sheetView topLeftCell="G97" zoomScale="80" zoomScaleNormal="80" workbookViewId="0">
      <selection activeCell="T90" sqref="T90"/>
    </sheetView>
  </sheetViews>
  <sheetFormatPr defaultRowHeight="14.4" x14ac:dyDescent="0.3"/>
  <cols>
    <col min="1" max="1" width="6.44140625" style="9" customWidth="1"/>
    <col min="2" max="2" width="25.77734375" style="10" customWidth="1"/>
    <col min="3" max="3" width="27.21875" style="9" customWidth="1"/>
    <col min="4" max="4" width="31.77734375" style="9" customWidth="1"/>
    <col min="5" max="6" width="13.109375" customWidth="1"/>
    <col min="7" max="7" width="27.5546875" customWidth="1"/>
    <col min="8" max="10" width="8.77734375" customWidth="1"/>
    <col min="11" max="11" width="15" customWidth="1"/>
    <col min="12" max="12" width="34.77734375" customWidth="1"/>
    <col min="13" max="13" width="20.21875" hidden="1" customWidth="1"/>
    <col min="14" max="17" width="8.77734375" customWidth="1"/>
  </cols>
  <sheetData>
    <row r="1" spans="1:15" x14ac:dyDescent="0.3">
      <c r="A1" s="27" t="s">
        <v>438</v>
      </c>
      <c r="B1" s="26" t="s">
        <v>440</v>
      </c>
      <c r="C1" s="26" t="s">
        <v>2389</v>
      </c>
      <c r="D1" s="26" t="s">
        <v>2388</v>
      </c>
      <c r="E1" s="26" t="s">
        <v>441</v>
      </c>
      <c r="F1" s="26"/>
      <c r="G1" s="88" t="s">
        <v>953</v>
      </c>
      <c r="L1" s="86" t="s">
        <v>2502</v>
      </c>
    </row>
    <row r="2" spans="1:15" x14ac:dyDescent="0.3">
      <c r="A2" s="83">
        <v>1</v>
      </c>
      <c r="B2" s="24" t="s">
        <v>2646</v>
      </c>
      <c r="C2" s="24" t="s">
        <v>714</v>
      </c>
      <c r="D2" s="24" t="s">
        <v>2494</v>
      </c>
      <c r="E2" s="24" t="s">
        <v>443</v>
      </c>
      <c r="F2" s="24"/>
      <c r="G2" t="str">
        <f>_xlfn.IFNA(VLOOKUP(Таблица112[[#This Row],[KKS]],'[1]DBID Analog'!$B:$D,3,FALSE),VLOOKUP(Таблица112[[#This Row],[KKS]],'[1]DBID Digital'!$B:$E,4,FALSE))</f>
        <v>Д-11А І шв ВКЛ</v>
      </c>
      <c r="J2" s="81" t="s">
        <v>507</v>
      </c>
      <c r="K2" s="81" t="s">
        <v>1014</v>
      </c>
      <c r="L2" s="81" t="s">
        <v>2482</v>
      </c>
      <c r="M2" s="81" t="s">
        <v>2493</v>
      </c>
      <c r="N2" s="81" t="s">
        <v>510</v>
      </c>
      <c r="O2" s="81" t="s">
        <v>2604</v>
      </c>
    </row>
    <row r="3" spans="1:15" x14ac:dyDescent="0.3">
      <c r="A3" s="83">
        <v>2</v>
      </c>
      <c r="B3" s="24" t="s">
        <v>2647</v>
      </c>
      <c r="C3" s="24" t="s">
        <v>714</v>
      </c>
      <c r="D3" s="24" t="s">
        <v>2495</v>
      </c>
      <c r="E3" s="24" t="s">
        <v>443</v>
      </c>
      <c r="F3" s="24"/>
      <c r="G3" t="str">
        <f>_xlfn.IFNA(VLOOKUP(Таблица112[[#This Row],[KKS]],'[1]DBID Analog'!$B:$D,3,FALSE),VLOOKUP(Таблица112[[#This Row],[KKS]],'[1]DBID Digital'!$B:$E,4,FALSE))</f>
        <v>Д-11А І шв ВІДКЛ</v>
      </c>
      <c r="J3" s="14">
        <v>1</v>
      </c>
      <c r="K3" s="79" t="s">
        <v>986</v>
      </c>
      <c r="L3" s="80" t="s">
        <v>2494</v>
      </c>
      <c r="M3" s="80" t="s">
        <v>2486</v>
      </c>
      <c r="N3" s="14" t="s">
        <v>443</v>
      </c>
      <c r="O3" s="14" t="s">
        <v>2610</v>
      </c>
    </row>
    <row r="4" spans="1:15" x14ac:dyDescent="0.3">
      <c r="A4" s="83">
        <v>3</v>
      </c>
      <c r="B4" s="24" t="s">
        <v>2648</v>
      </c>
      <c r="C4" s="24" t="s">
        <v>714</v>
      </c>
      <c r="D4" s="24" t="s">
        <v>2496</v>
      </c>
      <c r="E4" s="24" t="s">
        <v>443</v>
      </c>
      <c r="F4" s="24"/>
      <c r="G4" t="str">
        <f>_xlfn.IFNA(VLOOKUP(Таблица112[[#This Row],[KKS]],'[1]DBID Analog'!$B:$D,3,FALSE),VLOOKUP(Таблица112[[#This Row],[KKS]],'[1]DBID Digital'!$B:$E,4,FALSE))</f>
        <v>Д-11А І шв ВІЗОК ВКОЧЕНИЙ</v>
      </c>
      <c r="J4" s="14">
        <v>2</v>
      </c>
      <c r="K4" s="79" t="s">
        <v>987</v>
      </c>
      <c r="L4" s="80" t="s">
        <v>2495</v>
      </c>
      <c r="M4" s="80" t="s">
        <v>2487</v>
      </c>
      <c r="N4" s="14" t="s">
        <v>443</v>
      </c>
      <c r="O4" s="14" t="s">
        <v>2611</v>
      </c>
    </row>
    <row r="5" spans="1:15" x14ac:dyDescent="0.3">
      <c r="A5" s="83">
        <v>4</v>
      </c>
      <c r="B5" s="24" t="s">
        <v>2649</v>
      </c>
      <c r="C5" s="24" t="s">
        <v>714</v>
      </c>
      <c r="D5" s="24" t="s">
        <v>2497</v>
      </c>
      <c r="E5" s="24" t="s">
        <v>443</v>
      </c>
      <c r="F5" s="24"/>
      <c r="G5" t="str">
        <f>_xlfn.IFNA(VLOOKUP(Таблица112[[#This Row],[KKS]],'[1]DBID Analog'!$B:$D,3,FALSE),VLOOKUP(Таблица112[[#This Row],[KKS]],'[1]DBID Digital'!$B:$E,4,FALSE))</f>
        <v>Д-11А І шв РОБОТА ЕЛ ЗАХ</v>
      </c>
      <c r="J5" s="14">
        <v>3</v>
      </c>
      <c r="K5" s="79" t="s">
        <v>2483</v>
      </c>
      <c r="L5" s="80" t="s">
        <v>2496</v>
      </c>
      <c r="M5" s="80" t="s">
        <v>2488</v>
      </c>
      <c r="N5" s="14" t="s">
        <v>443</v>
      </c>
      <c r="O5" s="14" t="s">
        <v>2609</v>
      </c>
    </row>
    <row r="6" spans="1:15" x14ac:dyDescent="0.3">
      <c r="A6" s="83">
        <v>5</v>
      </c>
      <c r="B6" s="24" t="s">
        <v>2650</v>
      </c>
      <c r="C6" s="24" t="s">
        <v>714</v>
      </c>
      <c r="D6" s="24" t="s">
        <v>2498</v>
      </c>
      <c r="E6" s="24" t="s">
        <v>443</v>
      </c>
      <c r="F6" s="24"/>
      <c r="G6" t="str">
        <f>_xlfn.IFNA(VLOOKUP(Таблица112[[#This Row],[KKS]],'[1]DBID Analog'!$B:$D,3,FALSE),VLOOKUP(Таблица112[[#This Row],[KKS]],'[1]DBID Digital'!$B:$E,4,FALSE))</f>
        <v>Д-11А І шв ГОТОВН КІЛ КЕРУВ</v>
      </c>
      <c r="J6" s="14">
        <v>4</v>
      </c>
      <c r="K6" s="79" t="s">
        <v>2484</v>
      </c>
      <c r="L6" s="80" t="s">
        <v>2497</v>
      </c>
      <c r="M6" s="80" t="s">
        <v>2489</v>
      </c>
      <c r="N6" s="14" t="s">
        <v>443</v>
      </c>
      <c r="O6" s="14" t="s">
        <v>2608</v>
      </c>
    </row>
    <row r="7" spans="1:15" x14ac:dyDescent="0.3">
      <c r="A7" s="83">
        <v>6</v>
      </c>
      <c r="B7" s="24" t="s">
        <v>2651</v>
      </c>
      <c r="C7" s="24" t="s">
        <v>714</v>
      </c>
      <c r="D7" s="24" t="s">
        <v>2499</v>
      </c>
      <c r="E7" s="24" t="s">
        <v>444</v>
      </c>
      <c r="F7" s="24"/>
      <c r="G7" t="str">
        <f>_xlfn.IFNA(VLOOKUP(Таблица112[[#This Row],[KKS]],'[1]DBID Analog'!$B:$D,3,FALSE),VLOOKUP(Таблица112[[#This Row],[KKS]],'[1]DBID Digital'!$B:$E,4,FALSE))</f>
        <v>Д-11А І шв КВ</v>
      </c>
      <c r="J7" s="14">
        <v>5</v>
      </c>
      <c r="K7" s="79" t="s">
        <v>2485</v>
      </c>
      <c r="L7" s="80" t="s">
        <v>2498</v>
      </c>
      <c r="M7" s="80" t="s">
        <v>2490</v>
      </c>
      <c r="N7" s="14" t="s">
        <v>443</v>
      </c>
      <c r="O7" s="14" t="s">
        <v>2607</v>
      </c>
    </row>
    <row r="8" spans="1:15" x14ac:dyDescent="0.3">
      <c r="A8" s="83">
        <v>7</v>
      </c>
      <c r="B8" s="24" t="s">
        <v>2652</v>
      </c>
      <c r="C8" s="24" t="s">
        <v>714</v>
      </c>
      <c r="D8" s="24" t="s">
        <v>2500</v>
      </c>
      <c r="E8" s="24" t="s">
        <v>444</v>
      </c>
      <c r="F8" s="24"/>
      <c r="G8" t="str">
        <f>_xlfn.IFNA(VLOOKUP(Таблица112[[#This Row],[KKS]],'[1]DBID Analog'!$B:$D,3,FALSE),VLOOKUP(Таблица112[[#This Row],[KKS]],'[1]DBID Digital'!$B:$E,4,FALSE))</f>
        <v>Д-11А І шв КО</v>
      </c>
      <c r="J8" s="14">
        <v>6</v>
      </c>
      <c r="K8" s="79" t="s">
        <v>985</v>
      </c>
      <c r="L8" s="80" t="s">
        <v>2499</v>
      </c>
      <c r="M8" s="80" t="s">
        <v>2491</v>
      </c>
      <c r="N8" s="14" t="s">
        <v>444</v>
      </c>
      <c r="O8" s="14" t="s">
        <v>2605</v>
      </c>
    </row>
    <row r="9" spans="1:15" x14ac:dyDescent="0.3">
      <c r="A9" s="83">
        <v>8</v>
      </c>
      <c r="B9" s="24" t="s">
        <v>2511</v>
      </c>
      <c r="C9" s="24" t="s">
        <v>714</v>
      </c>
      <c r="D9" s="24" t="s">
        <v>2501</v>
      </c>
      <c r="E9" s="24" t="s">
        <v>497</v>
      </c>
      <c r="F9" s="24"/>
      <c r="G9" t="str">
        <f>_xlfn.IFNA(VLOOKUP(Таблица112[[#This Row],[KKS]],'[1]DBID Analog'!$B:$D,3,FALSE),VLOOKUP(Таблица112[[#This Row],[KKS]],'[1]DBID Digital'!$B:$E,4,FALSE))</f>
        <v>Струм ел/дв Д-11А I швидк</v>
      </c>
      <c r="J9" s="14">
        <v>7</v>
      </c>
      <c r="K9" s="79" t="s">
        <v>983</v>
      </c>
      <c r="L9" s="80" t="s">
        <v>2500</v>
      </c>
      <c r="M9" s="80" t="s">
        <v>2492</v>
      </c>
      <c r="N9" s="14" t="s">
        <v>444</v>
      </c>
      <c r="O9" s="14" t="s">
        <v>2606</v>
      </c>
    </row>
    <row r="10" spans="1:15" x14ac:dyDescent="0.3">
      <c r="A10" s="83">
        <v>9</v>
      </c>
      <c r="B10" s="24" t="s">
        <v>2653</v>
      </c>
      <c r="C10" s="24" t="s">
        <v>715</v>
      </c>
      <c r="D10" s="24" t="s">
        <v>2494</v>
      </c>
      <c r="E10" s="24" t="s">
        <v>443</v>
      </c>
      <c r="F10" s="24"/>
      <c r="G10" t="str">
        <f>_xlfn.IFNA(VLOOKUP(Таблица112[[#This Row],[KKS]],'[1]DBID Analog'!$B:$D,3,FALSE),VLOOKUP(Таблица112[[#This Row],[KKS]],'[1]DBID Digital'!$B:$E,4,FALSE))</f>
        <v>Д-11А ІІ шв ВКЛ</v>
      </c>
      <c r="J10" s="14">
        <v>8</v>
      </c>
      <c r="K10" s="14" t="s">
        <v>1021</v>
      </c>
      <c r="L10" s="79" t="s">
        <v>2501</v>
      </c>
      <c r="M10" s="14"/>
      <c r="N10" s="14" t="s">
        <v>497</v>
      </c>
      <c r="O10" s="14"/>
    </row>
    <row r="11" spans="1:15" x14ac:dyDescent="0.3">
      <c r="A11" s="83">
        <v>10</v>
      </c>
      <c r="B11" s="24" t="s">
        <v>2654</v>
      </c>
      <c r="C11" s="24" t="s">
        <v>715</v>
      </c>
      <c r="D11" s="24" t="s">
        <v>2495</v>
      </c>
      <c r="E11" s="24" t="s">
        <v>443</v>
      </c>
      <c r="F11" s="24"/>
      <c r="G11" t="str">
        <f>_xlfn.IFNA(VLOOKUP(Таблица112[[#This Row],[KKS]],'[1]DBID Analog'!$B:$D,3,FALSE),VLOOKUP(Таблица112[[#This Row],[KKS]],'[1]DBID Digital'!$B:$E,4,FALSE))</f>
        <v>Д-11А ІІ шв ВІДКЛ</v>
      </c>
    </row>
    <row r="12" spans="1:15" x14ac:dyDescent="0.3">
      <c r="A12" s="83">
        <v>11</v>
      </c>
      <c r="B12" s="24" t="s">
        <v>2655</v>
      </c>
      <c r="C12" s="24" t="s">
        <v>715</v>
      </c>
      <c r="D12" s="24" t="s">
        <v>2496</v>
      </c>
      <c r="E12" s="24" t="s">
        <v>443</v>
      </c>
      <c r="F12" s="24"/>
      <c r="G12" t="str">
        <f>_xlfn.IFNA(VLOOKUP(Таблица112[[#This Row],[KKS]],'[1]DBID Analog'!$B:$D,3,FALSE),VLOOKUP(Таблица112[[#This Row],[KKS]],'[1]DBID Digital'!$B:$E,4,FALSE))</f>
        <v>Д-11А ІІ шв ВІЗОК ВКОЧЕНИЙ</v>
      </c>
      <c r="J12" s="39"/>
      <c r="K12" s="39"/>
      <c r="L12" s="87" t="s">
        <v>2598</v>
      </c>
      <c r="M12" s="39"/>
      <c r="N12" s="39"/>
    </row>
    <row r="13" spans="1:15" x14ac:dyDescent="0.3">
      <c r="A13" s="83">
        <v>12</v>
      </c>
      <c r="B13" s="24" t="s">
        <v>2656</v>
      </c>
      <c r="C13" s="24" t="s">
        <v>715</v>
      </c>
      <c r="D13" s="24" t="s">
        <v>2497</v>
      </c>
      <c r="E13" s="24" t="s">
        <v>443</v>
      </c>
      <c r="F13" s="24"/>
      <c r="G13" t="str">
        <f>_xlfn.IFNA(VLOOKUP(Таблица112[[#This Row],[KKS]],'[1]DBID Analog'!$B:$D,3,FALSE),VLOOKUP(Таблица112[[#This Row],[KKS]],'[1]DBID Digital'!$B:$E,4,FALSE))</f>
        <v>Д-11А ІІ шв РОБОТА ЕЛ ЗАХ</v>
      </c>
      <c r="J13" s="81" t="s">
        <v>507</v>
      </c>
      <c r="K13" s="81" t="s">
        <v>1014</v>
      </c>
      <c r="L13" s="81" t="s">
        <v>2482</v>
      </c>
      <c r="M13" s="81" t="s">
        <v>2493</v>
      </c>
      <c r="N13" s="81" t="s">
        <v>510</v>
      </c>
      <c r="O13" s="81" t="s">
        <v>2604</v>
      </c>
    </row>
    <row r="14" spans="1:15" x14ac:dyDescent="0.3">
      <c r="A14" s="83">
        <v>13</v>
      </c>
      <c r="B14" s="24" t="s">
        <v>2657</v>
      </c>
      <c r="C14" s="24" t="s">
        <v>715</v>
      </c>
      <c r="D14" s="24" t="s">
        <v>2498</v>
      </c>
      <c r="E14" s="24" t="s">
        <v>443</v>
      </c>
      <c r="F14" s="24"/>
      <c r="G14" t="str">
        <f>_xlfn.IFNA(VLOOKUP(Таблица112[[#This Row],[KKS]],'[1]DBID Analog'!$B:$D,3,FALSE),VLOOKUP(Таблица112[[#This Row],[KKS]],'[1]DBID Digital'!$B:$E,4,FALSE))</f>
        <v>Д-11А ІІ шв ГОТОВН КІЛ КЕРУВ</v>
      </c>
      <c r="J14" s="14">
        <v>1</v>
      </c>
      <c r="K14" s="79" t="s">
        <v>986</v>
      </c>
      <c r="L14" s="80" t="s">
        <v>2494</v>
      </c>
      <c r="M14" s="80" t="s">
        <v>2486</v>
      </c>
      <c r="N14" s="14" t="s">
        <v>443</v>
      </c>
      <c r="O14" s="14" t="s">
        <v>2612</v>
      </c>
    </row>
    <row r="15" spans="1:15" x14ac:dyDescent="0.3">
      <c r="A15" s="83">
        <v>14</v>
      </c>
      <c r="B15" s="24" t="s">
        <v>2658</v>
      </c>
      <c r="C15" s="24" t="s">
        <v>715</v>
      </c>
      <c r="D15" s="24" t="s">
        <v>2499</v>
      </c>
      <c r="E15" s="24" t="s">
        <v>444</v>
      </c>
      <c r="F15" s="24"/>
      <c r="G15" t="str">
        <f>_xlfn.IFNA(VLOOKUP(Таблица112[[#This Row],[KKS]],'[1]DBID Analog'!$B:$D,3,FALSE),VLOOKUP(Таблица112[[#This Row],[KKS]],'[1]DBID Digital'!$B:$E,4,FALSE))</f>
        <v>Д-11А ІІ шв КВ</v>
      </c>
      <c r="J15" s="14">
        <v>2</v>
      </c>
      <c r="K15" s="79" t="s">
        <v>987</v>
      </c>
      <c r="L15" s="80" t="s">
        <v>2495</v>
      </c>
      <c r="M15" s="80" t="s">
        <v>2487</v>
      </c>
      <c r="N15" s="14" t="s">
        <v>443</v>
      </c>
      <c r="O15" s="14" t="s">
        <v>2613</v>
      </c>
    </row>
    <row r="16" spans="1:15" x14ac:dyDescent="0.3">
      <c r="A16" s="83">
        <v>15</v>
      </c>
      <c r="B16" s="24" t="s">
        <v>2659</v>
      </c>
      <c r="C16" s="24" t="s">
        <v>715</v>
      </c>
      <c r="D16" s="24" t="s">
        <v>2500</v>
      </c>
      <c r="E16" s="24" t="s">
        <v>444</v>
      </c>
      <c r="F16" s="24"/>
      <c r="G16" t="str">
        <f>_xlfn.IFNA(VLOOKUP(Таблица112[[#This Row],[KKS]],'[1]DBID Analog'!$B:$D,3,FALSE),VLOOKUP(Таблица112[[#This Row],[KKS]],'[1]DBID Digital'!$B:$E,4,FALSE))</f>
        <v>Д-11А ІІ шв КО</v>
      </c>
      <c r="J16" s="14">
        <v>3</v>
      </c>
      <c r="K16" s="79" t="s">
        <v>2559</v>
      </c>
      <c r="L16" s="14" t="s">
        <v>2562</v>
      </c>
      <c r="M16" s="14" t="s">
        <v>2563</v>
      </c>
      <c r="N16" s="14" t="s">
        <v>443</v>
      </c>
      <c r="O16" s="14" t="s">
        <v>2609</v>
      </c>
    </row>
    <row r="17" spans="1:15" x14ac:dyDescent="0.3">
      <c r="A17" s="83">
        <v>16</v>
      </c>
      <c r="B17" s="24" t="s">
        <v>2555</v>
      </c>
      <c r="C17" s="24" t="s">
        <v>715</v>
      </c>
      <c r="D17" s="24" t="s">
        <v>2501</v>
      </c>
      <c r="E17" s="24" t="s">
        <v>497</v>
      </c>
      <c r="F17" s="24"/>
      <c r="G17" t="str">
        <f>_xlfn.IFNA(VLOOKUP(Таблица112[[#This Row],[KKS]],'[1]DBID Analog'!$B:$D,3,FALSE),VLOOKUP(Таблица112[[#This Row],[KKS]],'[1]DBID Digital'!$B:$E,4,FALSE))</f>
        <v>Струм ел/дв Д-11А II швидк</v>
      </c>
      <c r="J17" s="14">
        <v>4</v>
      </c>
      <c r="K17" s="79" t="s">
        <v>2550</v>
      </c>
      <c r="L17" s="80" t="s">
        <v>2503</v>
      </c>
      <c r="M17" s="80" t="s">
        <v>2506</v>
      </c>
      <c r="N17" s="14" t="s">
        <v>443</v>
      </c>
      <c r="O17" s="14" t="s">
        <v>2608</v>
      </c>
    </row>
    <row r="18" spans="1:15" x14ac:dyDescent="0.3">
      <c r="A18" s="83">
        <v>17</v>
      </c>
      <c r="B18" s="24" t="s">
        <v>2660</v>
      </c>
      <c r="C18" s="24" t="s">
        <v>716</v>
      </c>
      <c r="D18" s="24" t="s">
        <v>2494</v>
      </c>
      <c r="E18" s="24" t="s">
        <v>443</v>
      </c>
      <c r="F18" s="24"/>
      <c r="G18" t="str">
        <f>_xlfn.IFNA(VLOOKUP(Таблица112[[#This Row],[KKS]],'[1]DBID Analog'!$B:$D,3,FALSE),VLOOKUP(Таблица112[[#This Row],[KKS]],'[1]DBID Digital'!$B:$E,4,FALSE))</f>
        <v>Д-11Б І шв ВКЛ</v>
      </c>
      <c r="J18" s="14">
        <v>5</v>
      </c>
      <c r="K18" s="79" t="s">
        <v>1028</v>
      </c>
      <c r="L18" s="79" t="s">
        <v>2560</v>
      </c>
      <c r="M18" s="14" t="s">
        <v>2561</v>
      </c>
      <c r="N18" s="14" t="s">
        <v>443</v>
      </c>
      <c r="O18" s="14" t="s">
        <v>2610</v>
      </c>
    </row>
    <row r="19" spans="1:15" x14ac:dyDescent="0.3">
      <c r="A19" s="83">
        <v>18</v>
      </c>
      <c r="B19" s="24" t="s">
        <v>2661</v>
      </c>
      <c r="C19" s="24" t="s">
        <v>716</v>
      </c>
      <c r="D19" s="24" t="s">
        <v>2495</v>
      </c>
      <c r="E19" s="24" t="s">
        <v>443</v>
      </c>
      <c r="F19" s="24"/>
      <c r="G19" t="str">
        <f>_xlfn.IFNA(VLOOKUP(Таблица112[[#This Row],[KKS]],'[1]DBID Analog'!$B:$D,3,FALSE),VLOOKUP(Таблица112[[#This Row],[KKS]],'[1]DBID Digital'!$B:$E,4,FALSE))</f>
        <v>Д-11Б І шв ВІДКЛ</v>
      </c>
      <c r="J19" s="14">
        <v>6</v>
      </c>
      <c r="K19" s="79" t="s">
        <v>985</v>
      </c>
      <c r="L19" s="80" t="s">
        <v>2499</v>
      </c>
      <c r="M19" s="80" t="s">
        <v>2491</v>
      </c>
      <c r="N19" s="14" t="s">
        <v>444</v>
      </c>
      <c r="O19" s="14" t="s">
        <v>2605</v>
      </c>
    </row>
    <row r="20" spans="1:15" x14ac:dyDescent="0.3">
      <c r="A20" s="83">
        <v>19</v>
      </c>
      <c r="B20" s="24" t="s">
        <v>2662</v>
      </c>
      <c r="C20" s="24" t="s">
        <v>716</v>
      </c>
      <c r="D20" s="24" t="s">
        <v>2496</v>
      </c>
      <c r="E20" s="24" t="s">
        <v>443</v>
      </c>
      <c r="F20" s="24"/>
      <c r="G20" t="str">
        <f>_xlfn.IFNA(VLOOKUP(Таблица112[[#This Row],[KKS]],'[1]DBID Analog'!$B:$D,3,FALSE),VLOOKUP(Таблица112[[#This Row],[KKS]],'[1]DBID Digital'!$B:$E,4,FALSE))</f>
        <v>Д-11Б І шв ВІЗОК ВКОЧЕНИЙ</v>
      </c>
      <c r="J20" s="14">
        <v>7</v>
      </c>
      <c r="K20" s="79" t="s">
        <v>983</v>
      </c>
      <c r="L20" s="80" t="s">
        <v>2500</v>
      </c>
      <c r="M20" s="80" t="s">
        <v>2492</v>
      </c>
      <c r="N20" s="14" t="s">
        <v>444</v>
      </c>
      <c r="O20" s="14" t="s">
        <v>2606</v>
      </c>
    </row>
    <row r="21" spans="1:15" x14ac:dyDescent="0.3">
      <c r="A21" s="83">
        <v>20</v>
      </c>
      <c r="B21" s="24" t="s">
        <v>2663</v>
      </c>
      <c r="C21" s="24" t="s">
        <v>716</v>
      </c>
      <c r="D21" s="24" t="s">
        <v>2497</v>
      </c>
      <c r="E21" s="24" t="s">
        <v>443</v>
      </c>
      <c r="F21" s="24"/>
      <c r="G21" t="str">
        <f>_xlfn.IFNA(VLOOKUP(Таблица112[[#This Row],[KKS]],'[1]DBID Analog'!$B:$D,3,FALSE),VLOOKUP(Таблица112[[#This Row],[KKS]],'[1]DBID Digital'!$B:$E,4,FALSE))</f>
        <v>Д-11Б І шв РОБОТА ЕЛ ЗАХ</v>
      </c>
      <c r="J21" s="14">
        <v>8</v>
      </c>
      <c r="K21" s="75" t="s">
        <v>1021</v>
      </c>
      <c r="L21" s="79" t="s">
        <v>2501</v>
      </c>
      <c r="M21" s="14"/>
      <c r="N21" s="14" t="s">
        <v>497</v>
      </c>
      <c r="O21" s="14" t="s">
        <v>2630</v>
      </c>
    </row>
    <row r="22" spans="1:15" x14ac:dyDescent="0.3">
      <c r="A22" s="83">
        <v>21</v>
      </c>
      <c r="B22" s="24" t="s">
        <v>2664</v>
      </c>
      <c r="C22" s="24" t="s">
        <v>716</v>
      </c>
      <c r="D22" s="24" t="s">
        <v>2498</v>
      </c>
      <c r="E22" s="24" t="s">
        <v>443</v>
      </c>
      <c r="F22" s="24"/>
      <c r="G22" t="str">
        <f>_xlfn.IFNA(VLOOKUP(Таблица112[[#This Row],[KKS]],'[1]DBID Analog'!$B:$D,3,FALSE),VLOOKUP(Таблица112[[#This Row],[KKS]],'[1]DBID Digital'!$B:$E,4,FALSE))</f>
        <v>Д-11Б І шв ГОТОВН КІЛ КЕРУВ</v>
      </c>
    </row>
    <row r="23" spans="1:15" x14ac:dyDescent="0.3">
      <c r="A23" s="83">
        <v>22</v>
      </c>
      <c r="B23" s="24" t="s">
        <v>2665</v>
      </c>
      <c r="C23" s="24" t="s">
        <v>716</v>
      </c>
      <c r="D23" s="24" t="s">
        <v>2499</v>
      </c>
      <c r="E23" s="24" t="s">
        <v>444</v>
      </c>
      <c r="F23" s="24"/>
      <c r="G23" t="str">
        <f>_xlfn.IFNA(VLOOKUP(Таблица112[[#This Row],[KKS]],'[1]DBID Analog'!$B:$D,3,FALSE),VLOOKUP(Таблица112[[#This Row],[KKS]],'[1]DBID Digital'!$B:$E,4,FALSE))</f>
        <v>Д-11Б І шв КВ</v>
      </c>
      <c r="J23" s="39"/>
      <c r="K23" s="39"/>
      <c r="L23" s="87" t="s">
        <v>2599</v>
      </c>
      <c r="M23" s="39"/>
      <c r="N23" s="39"/>
    </row>
    <row r="24" spans="1:15" x14ac:dyDescent="0.3">
      <c r="A24" s="83">
        <v>23</v>
      </c>
      <c r="B24" s="24" t="s">
        <v>2666</v>
      </c>
      <c r="C24" s="24" t="s">
        <v>716</v>
      </c>
      <c r="D24" s="24" t="s">
        <v>2500</v>
      </c>
      <c r="E24" s="24" t="s">
        <v>444</v>
      </c>
      <c r="F24" s="24"/>
      <c r="G24" t="str">
        <f>_xlfn.IFNA(VLOOKUP(Таблица112[[#This Row],[KKS]],'[1]DBID Analog'!$B:$D,3,FALSE),VLOOKUP(Таблица112[[#This Row],[KKS]],'[1]DBID Digital'!$B:$E,4,FALSE))</f>
        <v>Д-11Б І шв КО</v>
      </c>
      <c r="J24" s="81" t="s">
        <v>507</v>
      </c>
      <c r="K24" s="81" t="s">
        <v>1014</v>
      </c>
      <c r="L24" s="81" t="s">
        <v>2482</v>
      </c>
      <c r="M24" s="81" t="s">
        <v>2493</v>
      </c>
      <c r="N24" s="81" t="s">
        <v>510</v>
      </c>
      <c r="O24" s="81" t="s">
        <v>2604</v>
      </c>
    </row>
    <row r="25" spans="1:15" x14ac:dyDescent="0.3">
      <c r="A25" s="83">
        <v>24</v>
      </c>
      <c r="B25" s="24" t="s">
        <v>2512</v>
      </c>
      <c r="C25" s="24" t="s">
        <v>716</v>
      </c>
      <c r="D25" s="24" t="s">
        <v>2501</v>
      </c>
      <c r="E25" s="24" t="s">
        <v>497</v>
      </c>
      <c r="F25" s="24"/>
      <c r="G25" t="str">
        <f>_xlfn.IFNA(VLOOKUP(Таблица112[[#This Row],[KKS]],'[1]DBID Analog'!$B:$D,3,FALSE),VLOOKUP(Таблица112[[#This Row],[KKS]],'[1]DBID Digital'!$B:$E,4,FALSE))</f>
        <v>Струм ел/дв Д-11Б I швидк</v>
      </c>
      <c r="J25" s="14">
        <v>1</v>
      </c>
      <c r="K25" s="79" t="s">
        <v>986</v>
      </c>
      <c r="L25" s="80" t="s">
        <v>2494</v>
      </c>
      <c r="M25" s="80" t="s">
        <v>2486</v>
      </c>
      <c r="N25" s="14" t="s">
        <v>443</v>
      </c>
      <c r="O25" s="14" t="s">
        <v>2612</v>
      </c>
    </row>
    <row r="26" spans="1:15" x14ac:dyDescent="0.3">
      <c r="A26" s="83">
        <v>25</v>
      </c>
      <c r="B26" s="24" t="s">
        <v>2667</v>
      </c>
      <c r="C26" s="24" t="s">
        <v>717</v>
      </c>
      <c r="D26" s="24" t="s">
        <v>2494</v>
      </c>
      <c r="E26" s="24" t="s">
        <v>443</v>
      </c>
      <c r="F26" s="24"/>
      <c r="G26" t="str">
        <f>_xlfn.IFNA(VLOOKUP(Таблица112[[#This Row],[KKS]],'[1]DBID Analog'!$B:$D,3,FALSE),VLOOKUP(Таблица112[[#This Row],[KKS]],'[1]DBID Digital'!$B:$E,4,FALSE))</f>
        <v>Д-11Б ІІ шв ВКЛ</v>
      </c>
      <c r="J26" s="14">
        <v>2</v>
      </c>
      <c r="K26" s="79" t="s">
        <v>987</v>
      </c>
      <c r="L26" s="80" t="s">
        <v>2495</v>
      </c>
      <c r="M26" s="80" t="s">
        <v>2487</v>
      </c>
      <c r="N26" s="14" t="s">
        <v>443</v>
      </c>
      <c r="O26" s="14" t="s">
        <v>2613</v>
      </c>
    </row>
    <row r="27" spans="1:15" x14ac:dyDescent="0.3">
      <c r="A27" s="83">
        <v>26</v>
      </c>
      <c r="B27" s="24" t="s">
        <v>2668</v>
      </c>
      <c r="C27" s="24" t="s">
        <v>717</v>
      </c>
      <c r="D27" s="24" t="s">
        <v>2495</v>
      </c>
      <c r="E27" s="24" t="s">
        <v>443</v>
      </c>
      <c r="F27" s="24"/>
      <c r="G27" t="str">
        <f>_xlfn.IFNA(VLOOKUP(Таблица112[[#This Row],[KKS]],'[1]DBID Analog'!$B:$D,3,FALSE),VLOOKUP(Таблица112[[#This Row],[KKS]],'[1]DBID Digital'!$B:$E,4,FALSE))</f>
        <v>Д-11Б ІІ шв ВІДКЛ</v>
      </c>
      <c r="J27" s="14">
        <v>3</v>
      </c>
      <c r="K27" s="79" t="s">
        <v>2559</v>
      </c>
      <c r="L27" s="14" t="s">
        <v>2562</v>
      </c>
      <c r="M27" s="14" t="s">
        <v>2563</v>
      </c>
      <c r="N27" s="14" t="s">
        <v>443</v>
      </c>
      <c r="O27" s="14" t="s">
        <v>2609</v>
      </c>
    </row>
    <row r="28" spans="1:15" x14ac:dyDescent="0.3">
      <c r="A28" s="83">
        <v>27</v>
      </c>
      <c r="B28" s="24" t="s">
        <v>2669</v>
      </c>
      <c r="C28" s="24" t="s">
        <v>717</v>
      </c>
      <c r="D28" s="24" t="s">
        <v>2496</v>
      </c>
      <c r="E28" s="24" t="s">
        <v>443</v>
      </c>
      <c r="F28" s="24"/>
      <c r="G28" t="str">
        <f>_xlfn.IFNA(VLOOKUP(Таблица112[[#This Row],[KKS]],'[1]DBID Analog'!$B:$D,3,FALSE),VLOOKUP(Таблица112[[#This Row],[KKS]],'[1]DBID Digital'!$B:$E,4,FALSE))</f>
        <v>Д-11Б ІІ шв ВІЗОК ВКОЧЕНИЙ</v>
      </c>
      <c r="J28" s="14">
        <v>4</v>
      </c>
      <c r="K28" s="79" t="s">
        <v>2550</v>
      </c>
      <c r="L28" s="80" t="s">
        <v>2503</v>
      </c>
      <c r="M28" s="80" t="s">
        <v>2506</v>
      </c>
      <c r="N28" s="14" t="s">
        <v>443</v>
      </c>
      <c r="O28" s="14" t="s">
        <v>2608</v>
      </c>
    </row>
    <row r="29" spans="1:15" x14ac:dyDescent="0.3">
      <c r="A29" s="83">
        <v>28</v>
      </c>
      <c r="B29" s="24" t="s">
        <v>2670</v>
      </c>
      <c r="C29" s="24" t="s">
        <v>717</v>
      </c>
      <c r="D29" s="24" t="s">
        <v>2497</v>
      </c>
      <c r="E29" s="24" t="s">
        <v>443</v>
      </c>
      <c r="F29" s="24"/>
      <c r="G29" t="str">
        <f>_xlfn.IFNA(VLOOKUP(Таблица112[[#This Row],[KKS]],'[1]DBID Analog'!$B:$D,3,FALSE),VLOOKUP(Таблица112[[#This Row],[KKS]],'[1]DBID Digital'!$B:$E,4,FALSE))</f>
        <v>Д-11Б ІІ шв РОБОТА ЕЛ ЗАХ</v>
      </c>
      <c r="J29" s="14">
        <v>5</v>
      </c>
      <c r="K29" s="79" t="s">
        <v>985</v>
      </c>
      <c r="L29" s="80" t="s">
        <v>2499</v>
      </c>
      <c r="M29" s="80" t="s">
        <v>2491</v>
      </c>
      <c r="N29" s="14" t="s">
        <v>444</v>
      </c>
      <c r="O29" s="14" t="s">
        <v>2605</v>
      </c>
    </row>
    <row r="30" spans="1:15" x14ac:dyDescent="0.3">
      <c r="A30" s="83">
        <v>29</v>
      </c>
      <c r="B30" s="24" t="s">
        <v>2671</v>
      </c>
      <c r="C30" s="24" t="s">
        <v>717</v>
      </c>
      <c r="D30" s="24" t="s">
        <v>2498</v>
      </c>
      <c r="E30" s="24" t="s">
        <v>443</v>
      </c>
      <c r="F30" s="24"/>
      <c r="G30" t="str">
        <f>_xlfn.IFNA(VLOOKUP(Таблица112[[#This Row],[KKS]],'[1]DBID Analog'!$B:$D,3,FALSE),VLOOKUP(Таблица112[[#This Row],[KKS]],'[1]DBID Digital'!$B:$E,4,FALSE))</f>
        <v>Д-11Б ІІ шв ГОТОВН КІЛ КЕРУВ</v>
      </c>
      <c r="J30" s="14">
        <v>6</v>
      </c>
      <c r="K30" s="79" t="s">
        <v>983</v>
      </c>
      <c r="L30" s="80" t="s">
        <v>2500</v>
      </c>
      <c r="M30" s="80" t="s">
        <v>2492</v>
      </c>
      <c r="N30" s="14" t="s">
        <v>444</v>
      </c>
      <c r="O30" s="14" t="s">
        <v>2606</v>
      </c>
    </row>
    <row r="31" spans="1:15" x14ac:dyDescent="0.3">
      <c r="A31" s="83">
        <v>30</v>
      </c>
      <c r="B31" s="24" t="s">
        <v>2672</v>
      </c>
      <c r="C31" s="24" t="s">
        <v>717</v>
      </c>
      <c r="D31" s="24" t="s">
        <v>2499</v>
      </c>
      <c r="E31" s="24" t="s">
        <v>444</v>
      </c>
      <c r="F31" s="24"/>
      <c r="G31" t="str">
        <f>_xlfn.IFNA(VLOOKUP(Таблица112[[#This Row],[KKS]],'[1]DBID Analog'!$B:$D,3,FALSE),VLOOKUP(Таблица112[[#This Row],[KKS]],'[1]DBID Digital'!$B:$E,4,FALSE))</f>
        <v>Д-11Б ІІ шв КВ</v>
      </c>
      <c r="J31" s="14">
        <v>7</v>
      </c>
      <c r="K31" s="75" t="s">
        <v>1021</v>
      </c>
      <c r="L31" s="79" t="s">
        <v>2501</v>
      </c>
      <c r="M31" s="14"/>
      <c r="N31" s="14" t="s">
        <v>497</v>
      </c>
      <c r="O31" s="14" t="s">
        <v>2630</v>
      </c>
    </row>
    <row r="32" spans="1:15" x14ac:dyDescent="0.3">
      <c r="A32" s="83">
        <v>31</v>
      </c>
      <c r="B32" s="24" t="s">
        <v>2673</v>
      </c>
      <c r="C32" s="24" t="s">
        <v>717</v>
      </c>
      <c r="D32" s="24" t="s">
        <v>2500</v>
      </c>
      <c r="E32" s="24" t="s">
        <v>444</v>
      </c>
      <c r="F32" s="24"/>
      <c r="G32" t="str">
        <f>_xlfn.IFNA(VLOOKUP(Таблица112[[#This Row],[KKS]],'[1]DBID Analog'!$B:$D,3,FALSE),VLOOKUP(Таблица112[[#This Row],[KKS]],'[1]DBID Digital'!$B:$E,4,FALSE))</f>
        <v>Д-11Б ІІ шв КО</v>
      </c>
    </row>
    <row r="33" spans="1:15" x14ac:dyDescent="0.3">
      <c r="A33" s="83">
        <v>32</v>
      </c>
      <c r="B33" s="24" t="s">
        <v>2556</v>
      </c>
      <c r="C33" s="24" t="s">
        <v>717</v>
      </c>
      <c r="D33" s="24" t="s">
        <v>2501</v>
      </c>
      <c r="E33" s="24" t="s">
        <v>497</v>
      </c>
      <c r="F33" s="24"/>
      <c r="G33" t="str">
        <f>_xlfn.IFNA(VLOOKUP(Таблица112[[#This Row],[KKS]],'[1]DBID Analog'!$B:$D,3,FALSE),VLOOKUP(Таблица112[[#This Row],[KKS]],'[1]DBID Digital'!$B:$E,4,FALSE))</f>
        <v>Струм ел/дв Д-11Б II швидк</v>
      </c>
      <c r="J33" s="39"/>
      <c r="K33" s="39"/>
      <c r="L33" s="87" t="s">
        <v>2600</v>
      </c>
      <c r="M33" s="39"/>
      <c r="N33" s="39"/>
    </row>
    <row r="34" spans="1:15" x14ac:dyDescent="0.3">
      <c r="A34" s="83">
        <v>33</v>
      </c>
      <c r="B34" s="24" t="s">
        <v>2674</v>
      </c>
      <c r="C34" s="24" t="s">
        <v>719</v>
      </c>
      <c r="D34" s="24" t="s">
        <v>2494</v>
      </c>
      <c r="E34" s="24" t="s">
        <v>443</v>
      </c>
      <c r="F34" s="24"/>
      <c r="G34" t="str">
        <f>_xlfn.IFNA(VLOOKUP(Таблица112[[#This Row],[KKS]],'[1]DBID Analog'!$B:$D,3,FALSE),VLOOKUP(Таблица112[[#This Row],[KKS]],'[1]DBID Digital'!$B:$E,4,FALSE))</f>
        <v>ДВ-11А І шв ВКЛ</v>
      </c>
      <c r="J34" s="81" t="s">
        <v>507</v>
      </c>
      <c r="K34" s="81" t="s">
        <v>1014</v>
      </c>
      <c r="L34" s="81" t="s">
        <v>2482</v>
      </c>
      <c r="M34" s="81" t="s">
        <v>2493</v>
      </c>
      <c r="N34" s="81" t="s">
        <v>510</v>
      </c>
      <c r="O34" s="81" t="s">
        <v>2604</v>
      </c>
    </row>
    <row r="35" spans="1:15" x14ac:dyDescent="0.3">
      <c r="A35" s="83">
        <v>34</v>
      </c>
      <c r="B35" s="24" t="s">
        <v>2675</v>
      </c>
      <c r="C35" s="24" t="s">
        <v>719</v>
      </c>
      <c r="D35" s="24" t="s">
        <v>2495</v>
      </c>
      <c r="E35" s="24" t="s">
        <v>443</v>
      </c>
      <c r="F35" s="24"/>
      <c r="G35" t="str">
        <f>_xlfn.IFNA(VLOOKUP(Таблица112[[#This Row],[KKS]],'[1]DBID Analog'!$B:$D,3,FALSE),VLOOKUP(Таблица112[[#This Row],[KKS]],'[1]DBID Digital'!$B:$E,4,FALSE))</f>
        <v>ДВ-11А І шв ВІДКЛ</v>
      </c>
      <c r="J35" s="14">
        <v>1</v>
      </c>
      <c r="K35" s="79" t="s">
        <v>986</v>
      </c>
      <c r="L35" s="80" t="s">
        <v>2494</v>
      </c>
      <c r="M35" s="80" t="s">
        <v>2486</v>
      </c>
      <c r="N35" s="14" t="s">
        <v>443</v>
      </c>
      <c r="O35" s="14" t="s">
        <v>2612</v>
      </c>
    </row>
    <row r="36" spans="1:15" x14ac:dyDescent="0.3">
      <c r="A36" s="83">
        <v>35</v>
      </c>
      <c r="B36" s="24" t="s">
        <v>2676</v>
      </c>
      <c r="C36" s="24" t="s">
        <v>719</v>
      </c>
      <c r="D36" s="24" t="s">
        <v>2496</v>
      </c>
      <c r="E36" s="24" t="s">
        <v>443</v>
      </c>
      <c r="F36" s="24"/>
      <c r="G36" t="str">
        <f>_xlfn.IFNA(VLOOKUP(Таблица112[[#This Row],[KKS]],'[1]DBID Analog'!$B:$D,3,FALSE),VLOOKUP(Таблица112[[#This Row],[KKS]],'[1]DBID Digital'!$B:$E,4,FALSE))</f>
        <v>ДВ-11А І шв ВІЗОК ВКОЧЕНИЙ</v>
      </c>
      <c r="J36" s="14">
        <v>2</v>
      </c>
      <c r="K36" s="79" t="s">
        <v>987</v>
      </c>
      <c r="L36" s="80" t="s">
        <v>2495</v>
      </c>
      <c r="M36" s="80" t="s">
        <v>2487</v>
      </c>
      <c r="N36" s="14" t="s">
        <v>443</v>
      </c>
      <c r="O36" s="14" t="s">
        <v>2613</v>
      </c>
    </row>
    <row r="37" spans="1:15" x14ac:dyDescent="0.3">
      <c r="A37" s="83">
        <v>36</v>
      </c>
      <c r="B37" s="24" t="s">
        <v>2677</v>
      </c>
      <c r="C37" s="24" t="s">
        <v>719</v>
      </c>
      <c r="D37" s="24" t="s">
        <v>2497</v>
      </c>
      <c r="E37" s="24" t="s">
        <v>443</v>
      </c>
      <c r="F37" s="24"/>
      <c r="G37" t="str">
        <f>_xlfn.IFNA(VLOOKUP(Таблица112[[#This Row],[KKS]],'[1]DBID Analog'!$B:$D,3,FALSE),VLOOKUP(Таблица112[[#This Row],[KKS]],'[1]DBID Digital'!$B:$E,4,FALSE))</f>
        <v>ДВ-11А І шв РОБОТА ЕЛ ЗАХ</v>
      </c>
      <c r="J37" s="14">
        <v>3</v>
      </c>
      <c r="K37" s="79" t="s">
        <v>2559</v>
      </c>
      <c r="L37" s="14" t="s">
        <v>2562</v>
      </c>
      <c r="M37" s="14" t="s">
        <v>2563</v>
      </c>
      <c r="N37" s="14" t="s">
        <v>443</v>
      </c>
      <c r="O37" s="14" t="s">
        <v>2609</v>
      </c>
    </row>
    <row r="38" spans="1:15" x14ac:dyDescent="0.3">
      <c r="A38" s="83">
        <v>37</v>
      </c>
      <c r="B38" s="24" t="s">
        <v>2678</v>
      </c>
      <c r="C38" s="24" t="s">
        <v>719</v>
      </c>
      <c r="D38" s="24" t="s">
        <v>2498</v>
      </c>
      <c r="E38" s="24" t="s">
        <v>443</v>
      </c>
      <c r="F38" s="24"/>
      <c r="G38" t="str">
        <f>_xlfn.IFNA(VLOOKUP(Таблица112[[#This Row],[KKS]],'[1]DBID Analog'!$B:$D,3,FALSE),VLOOKUP(Таблица112[[#This Row],[KKS]],'[1]DBID Digital'!$B:$E,4,FALSE))</f>
        <v>ДВ-11А І шв ГОТОВН КІЛ КЕРУВ</v>
      </c>
      <c r="J38" s="14">
        <v>4</v>
      </c>
      <c r="K38" s="79" t="s">
        <v>2550</v>
      </c>
      <c r="L38" s="80" t="s">
        <v>2503</v>
      </c>
      <c r="M38" s="80" t="s">
        <v>2506</v>
      </c>
      <c r="N38" s="14" t="s">
        <v>443</v>
      </c>
      <c r="O38" s="14" t="s">
        <v>2608</v>
      </c>
    </row>
    <row r="39" spans="1:15" x14ac:dyDescent="0.3">
      <c r="A39" s="83">
        <v>38</v>
      </c>
      <c r="B39" s="24" t="s">
        <v>2679</v>
      </c>
      <c r="C39" s="24" t="s">
        <v>719</v>
      </c>
      <c r="D39" s="24" t="s">
        <v>2499</v>
      </c>
      <c r="E39" s="24" t="s">
        <v>444</v>
      </c>
      <c r="F39" s="24"/>
      <c r="G39" t="str">
        <f>_xlfn.IFNA(VLOOKUP(Таблица112[[#This Row],[KKS]],'[1]DBID Analog'!$B:$D,3,FALSE),VLOOKUP(Таблица112[[#This Row],[KKS]],'[1]DBID Digital'!$B:$E,4,FALSE))</f>
        <v>ДВ-11А І шв КВ</v>
      </c>
      <c r="J39" s="14">
        <v>5</v>
      </c>
      <c r="K39" s="79" t="s">
        <v>1028</v>
      </c>
      <c r="L39" s="79" t="s">
        <v>2560</v>
      </c>
      <c r="M39" s="14" t="s">
        <v>2561</v>
      </c>
      <c r="N39" s="14" t="s">
        <v>443</v>
      </c>
      <c r="O39" s="14" t="s">
        <v>2610</v>
      </c>
    </row>
    <row r="40" spans="1:15" x14ac:dyDescent="0.3">
      <c r="A40" s="83">
        <v>39</v>
      </c>
      <c r="B40" s="24" t="s">
        <v>2680</v>
      </c>
      <c r="C40" s="24" t="s">
        <v>719</v>
      </c>
      <c r="D40" s="24" t="s">
        <v>2500</v>
      </c>
      <c r="E40" s="24" t="s">
        <v>444</v>
      </c>
      <c r="F40" s="24"/>
      <c r="G40" t="str">
        <f>_xlfn.IFNA(VLOOKUP(Таблица112[[#This Row],[KKS]],'[1]DBID Analog'!$B:$D,3,FALSE),VLOOKUP(Таблица112[[#This Row],[KKS]],'[1]DBID Digital'!$B:$E,4,FALSE))</f>
        <v>ДВ-11А І шв КО</v>
      </c>
      <c r="J40" s="14">
        <v>6</v>
      </c>
      <c r="K40" s="79" t="s">
        <v>985</v>
      </c>
      <c r="L40" s="80" t="s">
        <v>2499</v>
      </c>
      <c r="M40" s="80" t="s">
        <v>2491</v>
      </c>
      <c r="N40" s="14" t="s">
        <v>444</v>
      </c>
      <c r="O40" s="14" t="s">
        <v>2605</v>
      </c>
    </row>
    <row r="41" spans="1:15" x14ac:dyDescent="0.3">
      <c r="A41" s="83">
        <v>40</v>
      </c>
      <c r="B41" s="24" t="s">
        <v>2513</v>
      </c>
      <c r="C41" s="24" t="s">
        <v>719</v>
      </c>
      <c r="D41" s="24" t="s">
        <v>2501</v>
      </c>
      <c r="E41" s="24" t="s">
        <v>497</v>
      </c>
      <c r="F41" s="24"/>
      <c r="G41" t="str">
        <f>_xlfn.IFNA(VLOOKUP(Таблица112[[#This Row],[KKS]],'[1]DBID Analog'!$B:$D,3,FALSE),VLOOKUP(Таблица112[[#This Row],[KKS]],'[1]DBID Digital'!$B:$E,4,FALSE))</f>
        <v>Струм ел/дв ДВ-11А I швидк</v>
      </c>
      <c r="J41" s="14">
        <v>7</v>
      </c>
      <c r="K41" s="79" t="s">
        <v>983</v>
      </c>
      <c r="L41" s="80" t="s">
        <v>2500</v>
      </c>
      <c r="M41" s="80" t="s">
        <v>2492</v>
      </c>
      <c r="N41" s="14" t="s">
        <v>444</v>
      </c>
      <c r="O41" s="14" t="s">
        <v>2606</v>
      </c>
    </row>
    <row r="42" spans="1:15" x14ac:dyDescent="0.3">
      <c r="A42" s="83">
        <v>41</v>
      </c>
      <c r="B42" s="24" t="s">
        <v>2681</v>
      </c>
      <c r="C42" s="24" t="s">
        <v>720</v>
      </c>
      <c r="D42" s="24" t="s">
        <v>2494</v>
      </c>
      <c r="E42" s="24" t="s">
        <v>443</v>
      </c>
      <c r="F42" s="24"/>
      <c r="G42" t="str">
        <f>_xlfn.IFNA(VLOOKUP(Таблица112[[#This Row],[KKS]],'[1]DBID Analog'!$B:$D,3,FALSE),VLOOKUP(Таблица112[[#This Row],[KKS]],'[1]DBID Digital'!$B:$E,4,FALSE))</f>
        <v>ДВ-11А ІІ шв ВКЛ</v>
      </c>
      <c r="J42" s="14">
        <v>8</v>
      </c>
      <c r="K42" s="79" t="s">
        <v>1027</v>
      </c>
      <c r="L42" s="79" t="s">
        <v>2596</v>
      </c>
      <c r="M42" s="79" t="s">
        <v>2597</v>
      </c>
      <c r="N42" s="14" t="s">
        <v>444</v>
      </c>
      <c r="O42" s="14" t="s">
        <v>2614</v>
      </c>
    </row>
    <row r="43" spans="1:15" x14ac:dyDescent="0.3">
      <c r="A43" s="83">
        <v>42</v>
      </c>
      <c r="B43" s="24" t="s">
        <v>2682</v>
      </c>
      <c r="C43" s="24" t="s">
        <v>720</v>
      </c>
      <c r="D43" s="24" t="s">
        <v>2495</v>
      </c>
      <c r="E43" s="24" t="s">
        <v>443</v>
      </c>
      <c r="F43" s="24"/>
      <c r="G43" t="str">
        <f>_xlfn.IFNA(VLOOKUP(Таблица112[[#This Row],[KKS]],'[1]DBID Analog'!$B:$D,3,FALSE),VLOOKUP(Таблица112[[#This Row],[KKS]],'[1]DBID Digital'!$B:$E,4,FALSE))</f>
        <v>ДВ-11А ІІ шв ВІДКЛ</v>
      </c>
      <c r="J43" s="14">
        <v>9</v>
      </c>
      <c r="K43" s="75" t="s">
        <v>1021</v>
      </c>
      <c r="L43" s="79" t="s">
        <v>2501</v>
      </c>
      <c r="M43" s="14"/>
      <c r="N43" s="14" t="s">
        <v>497</v>
      </c>
      <c r="O43" s="14" t="s">
        <v>2630</v>
      </c>
    </row>
    <row r="44" spans="1:15" x14ac:dyDescent="0.3">
      <c r="A44" s="83">
        <v>43</v>
      </c>
      <c r="B44" s="24" t="s">
        <v>2683</v>
      </c>
      <c r="C44" s="24" t="s">
        <v>720</v>
      </c>
      <c r="D44" s="24" t="s">
        <v>2496</v>
      </c>
      <c r="E44" s="24" t="s">
        <v>443</v>
      </c>
      <c r="F44" s="24"/>
      <c r="G44" t="str">
        <f>_xlfn.IFNA(VLOOKUP(Таблица112[[#This Row],[KKS]],'[1]DBID Analog'!$B:$D,3,FALSE),VLOOKUP(Таблица112[[#This Row],[KKS]],'[1]DBID Digital'!$B:$E,4,FALSE))</f>
        <v>ДВ-11А ІІ шв ВІЗОК ВКОЧЕНИЙ</v>
      </c>
    </row>
    <row r="45" spans="1:15" x14ac:dyDescent="0.3">
      <c r="A45" s="83">
        <v>44</v>
      </c>
      <c r="B45" s="24" t="s">
        <v>2684</v>
      </c>
      <c r="C45" s="24" t="s">
        <v>720</v>
      </c>
      <c r="D45" s="24" t="s">
        <v>2497</v>
      </c>
      <c r="E45" s="24" t="s">
        <v>443</v>
      </c>
      <c r="F45" s="24"/>
      <c r="G45" t="str">
        <f>_xlfn.IFNA(VLOOKUP(Таблица112[[#This Row],[KKS]],'[1]DBID Analog'!$B:$D,3,FALSE),VLOOKUP(Таблица112[[#This Row],[KKS]],'[1]DBID Digital'!$B:$E,4,FALSE))</f>
        <v>ДВ-11А ІІ шв РОБОТА ЕЛ ЗАХ</v>
      </c>
      <c r="J45" s="39"/>
      <c r="K45" s="39"/>
      <c r="L45" s="87" t="s">
        <v>2601</v>
      </c>
      <c r="M45" s="39"/>
      <c r="N45" s="39"/>
    </row>
    <row r="46" spans="1:15" x14ac:dyDescent="0.3">
      <c r="A46" s="83">
        <v>45</v>
      </c>
      <c r="B46" s="24" t="s">
        <v>2685</v>
      </c>
      <c r="C46" s="24" t="s">
        <v>720</v>
      </c>
      <c r="D46" s="24" t="s">
        <v>2498</v>
      </c>
      <c r="E46" s="24" t="s">
        <v>443</v>
      </c>
      <c r="F46" s="24"/>
      <c r="G46" t="str">
        <f>_xlfn.IFNA(VLOOKUP(Таблица112[[#This Row],[KKS]],'[1]DBID Analog'!$B:$D,3,FALSE),VLOOKUP(Таблица112[[#This Row],[KKS]],'[1]DBID Digital'!$B:$E,4,FALSE))</f>
        <v>ДВ-11А ІІ шв ГОТОВН КІЛ КЕРУВ</v>
      </c>
      <c r="J46" s="81" t="s">
        <v>507</v>
      </c>
      <c r="K46" s="81" t="s">
        <v>1014</v>
      </c>
      <c r="L46" s="81" t="s">
        <v>2482</v>
      </c>
      <c r="M46" s="81" t="s">
        <v>2493</v>
      </c>
      <c r="N46" s="81" t="s">
        <v>510</v>
      </c>
      <c r="O46" s="81" t="s">
        <v>2604</v>
      </c>
    </row>
    <row r="47" spans="1:15" x14ac:dyDescent="0.3">
      <c r="A47" s="83">
        <v>46</v>
      </c>
      <c r="B47" s="24" t="s">
        <v>2686</v>
      </c>
      <c r="C47" s="24" t="s">
        <v>720</v>
      </c>
      <c r="D47" s="24" t="s">
        <v>2499</v>
      </c>
      <c r="E47" s="24" t="s">
        <v>444</v>
      </c>
      <c r="F47" s="24"/>
      <c r="G47" t="str">
        <f>_xlfn.IFNA(VLOOKUP(Таблица112[[#This Row],[KKS]],'[1]DBID Analog'!$B:$D,3,FALSE),VLOOKUP(Таблица112[[#This Row],[KKS]],'[1]DBID Digital'!$B:$E,4,FALSE))</f>
        <v>ДВ-11А ІІ шв КВ</v>
      </c>
      <c r="J47" s="14">
        <v>1</v>
      </c>
      <c r="K47" s="79" t="s">
        <v>986</v>
      </c>
      <c r="L47" s="80" t="s">
        <v>2494</v>
      </c>
      <c r="M47" s="80" t="s">
        <v>2486</v>
      </c>
      <c r="N47" s="14" t="s">
        <v>443</v>
      </c>
      <c r="O47" s="14" t="s">
        <v>2612</v>
      </c>
    </row>
    <row r="48" spans="1:15" x14ac:dyDescent="0.3">
      <c r="A48" s="83">
        <v>47</v>
      </c>
      <c r="B48" s="24" t="s">
        <v>2687</v>
      </c>
      <c r="C48" s="24" t="s">
        <v>720</v>
      </c>
      <c r="D48" s="24" t="s">
        <v>2500</v>
      </c>
      <c r="E48" s="24" t="s">
        <v>444</v>
      </c>
      <c r="F48" s="24"/>
      <c r="G48" t="str">
        <f>_xlfn.IFNA(VLOOKUP(Таблица112[[#This Row],[KKS]],'[1]DBID Analog'!$B:$D,3,FALSE),VLOOKUP(Таблица112[[#This Row],[KKS]],'[1]DBID Digital'!$B:$E,4,FALSE))</f>
        <v>ДВ-11А ІІ шв КО</v>
      </c>
      <c r="J48" s="14">
        <v>2</v>
      </c>
      <c r="K48" s="79" t="s">
        <v>987</v>
      </c>
      <c r="L48" s="80" t="s">
        <v>2495</v>
      </c>
      <c r="M48" s="80" t="s">
        <v>2487</v>
      </c>
      <c r="N48" s="14" t="s">
        <v>443</v>
      </c>
      <c r="O48" s="14" t="s">
        <v>2613</v>
      </c>
    </row>
    <row r="49" spans="1:15" x14ac:dyDescent="0.3">
      <c r="A49" s="83">
        <v>48</v>
      </c>
      <c r="B49" s="82" t="s">
        <v>2557</v>
      </c>
      <c r="C49" s="24" t="s">
        <v>720</v>
      </c>
      <c r="D49" s="24" t="s">
        <v>2501</v>
      </c>
      <c r="E49" s="24" t="s">
        <v>497</v>
      </c>
      <c r="F49" s="24"/>
      <c r="G49" t="str">
        <f>_xlfn.IFNA(VLOOKUP(Таблица112[[#This Row],[KKS]],'[1]DBID Analog'!$B:$D,3,FALSE),VLOOKUP(Таблица112[[#This Row],[KKS]],'[1]DBID Digital'!$B:$E,4,FALSE))</f>
        <v>Струм ел/дв ДВ-11А II швидк</v>
      </c>
      <c r="J49" s="14">
        <v>3</v>
      </c>
      <c r="K49" s="79" t="s">
        <v>2559</v>
      </c>
      <c r="L49" s="14" t="s">
        <v>2562</v>
      </c>
      <c r="M49" s="14" t="s">
        <v>2563</v>
      </c>
      <c r="N49" s="14" t="s">
        <v>443</v>
      </c>
      <c r="O49" s="14" t="s">
        <v>2609</v>
      </c>
    </row>
    <row r="50" spans="1:15" x14ac:dyDescent="0.3">
      <c r="A50" s="83">
        <v>49</v>
      </c>
      <c r="B50" s="82" t="s">
        <v>2688</v>
      </c>
      <c r="C50" s="24" t="s">
        <v>722</v>
      </c>
      <c r="D50" s="24" t="s">
        <v>2494</v>
      </c>
      <c r="E50" s="24" t="s">
        <v>443</v>
      </c>
      <c r="F50" s="24"/>
      <c r="G50" t="str">
        <f>_xlfn.IFNA(VLOOKUP(Таблица112[[#This Row],[KKS]],'[1]DBID Analog'!$B:$D,3,FALSE),VLOOKUP(Таблица112[[#This Row],[KKS]],'[1]DBID Digital'!$B:$E,4,FALSE))</f>
        <v>ДВ-11Б І шв ВКЛ</v>
      </c>
      <c r="J50" s="14">
        <v>4</v>
      </c>
      <c r="K50" s="79" t="s">
        <v>2550</v>
      </c>
      <c r="L50" s="80" t="s">
        <v>2503</v>
      </c>
      <c r="M50" s="80" t="s">
        <v>2506</v>
      </c>
      <c r="N50" s="14" t="s">
        <v>443</v>
      </c>
      <c r="O50" s="14" t="s">
        <v>2608</v>
      </c>
    </row>
    <row r="51" spans="1:15" x14ac:dyDescent="0.3">
      <c r="A51" s="83">
        <v>50</v>
      </c>
      <c r="B51" s="82" t="s">
        <v>2689</v>
      </c>
      <c r="C51" s="24" t="s">
        <v>722</v>
      </c>
      <c r="D51" s="24" t="s">
        <v>2495</v>
      </c>
      <c r="E51" s="24" t="s">
        <v>443</v>
      </c>
      <c r="F51" s="24"/>
      <c r="G51" t="str">
        <f>_xlfn.IFNA(VLOOKUP(Таблица112[[#This Row],[KKS]],'[1]DBID Analog'!$B:$D,3,FALSE),VLOOKUP(Таблица112[[#This Row],[KKS]],'[1]DBID Digital'!$B:$E,4,FALSE))</f>
        <v>ДВ-11Б І шв ВІДКЛ</v>
      </c>
      <c r="J51" s="14">
        <v>5</v>
      </c>
      <c r="K51" s="79" t="s">
        <v>1028</v>
      </c>
      <c r="L51" s="79" t="s">
        <v>2560</v>
      </c>
      <c r="M51" s="14" t="s">
        <v>2561</v>
      </c>
      <c r="N51" s="14" t="s">
        <v>443</v>
      </c>
      <c r="O51" s="14" t="s">
        <v>2610</v>
      </c>
    </row>
    <row r="52" spans="1:15" x14ac:dyDescent="0.3">
      <c r="A52" s="83">
        <v>51</v>
      </c>
      <c r="B52" s="82" t="s">
        <v>2690</v>
      </c>
      <c r="C52" s="24" t="s">
        <v>722</v>
      </c>
      <c r="D52" s="24" t="s">
        <v>2496</v>
      </c>
      <c r="E52" s="24" t="s">
        <v>443</v>
      </c>
      <c r="F52" s="24"/>
      <c r="G52" t="str">
        <f>_xlfn.IFNA(VLOOKUP(Таблица112[[#This Row],[KKS]],'[1]DBID Analog'!$B:$D,3,FALSE),VLOOKUP(Таблица112[[#This Row],[KKS]],'[1]DBID Digital'!$B:$E,4,FALSE))</f>
        <v>ДВ-11Б І шв ВІЗОК ВКОЧЕНИЙ</v>
      </c>
      <c r="J52" s="14">
        <v>6</v>
      </c>
      <c r="K52" s="79" t="s">
        <v>985</v>
      </c>
      <c r="L52" s="80" t="s">
        <v>2499</v>
      </c>
      <c r="M52" s="80" t="s">
        <v>2491</v>
      </c>
      <c r="N52" s="14" t="s">
        <v>444</v>
      </c>
      <c r="O52" s="14" t="s">
        <v>2605</v>
      </c>
    </row>
    <row r="53" spans="1:15" x14ac:dyDescent="0.3">
      <c r="A53" s="83">
        <v>52</v>
      </c>
      <c r="B53" s="82" t="s">
        <v>2691</v>
      </c>
      <c r="C53" s="24" t="s">
        <v>722</v>
      </c>
      <c r="D53" s="24" t="s">
        <v>2497</v>
      </c>
      <c r="E53" s="24" t="s">
        <v>443</v>
      </c>
      <c r="F53" s="24"/>
      <c r="G53" t="str">
        <f>_xlfn.IFNA(VLOOKUP(Таблица112[[#This Row],[KKS]],'[1]DBID Analog'!$B:$D,3,FALSE),VLOOKUP(Таблица112[[#This Row],[KKS]],'[1]DBID Digital'!$B:$E,4,FALSE))</f>
        <v>ДВ-11Б І шв РОБОТА ЕЛ ЗАХ</v>
      </c>
      <c r="J53" s="14">
        <v>7</v>
      </c>
      <c r="K53" s="79" t="s">
        <v>983</v>
      </c>
      <c r="L53" s="80" t="s">
        <v>2500</v>
      </c>
      <c r="M53" s="80" t="s">
        <v>2492</v>
      </c>
      <c r="N53" s="14" t="s">
        <v>444</v>
      </c>
      <c r="O53" s="14" t="s">
        <v>2606</v>
      </c>
    </row>
    <row r="54" spans="1:15" x14ac:dyDescent="0.3">
      <c r="A54" s="83">
        <v>53</v>
      </c>
      <c r="B54" s="82" t="s">
        <v>2692</v>
      </c>
      <c r="C54" s="24" t="s">
        <v>722</v>
      </c>
      <c r="D54" s="24" t="s">
        <v>2498</v>
      </c>
      <c r="E54" s="24" t="s">
        <v>443</v>
      </c>
      <c r="F54" s="24"/>
      <c r="G54" t="str">
        <f>_xlfn.IFNA(VLOOKUP(Таблица112[[#This Row],[KKS]],'[1]DBID Analog'!$B:$D,3,FALSE),VLOOKUP(Таблица112[[#This Row],[KKS]],'[1]DBID Digital'!$B:$E,4,FALSE))</f>
        <v>ДВ-11Б І шв ГОТОВН КІЛ КЕРУВ</v>
      </c>
      <c r="J54" s="14">
        <v>8</v>
      </c>
      <c r="K54" s="75" t="s">
        <v>1021</v>
      </c>
      <c r="L54" s="79" t="s">
        <v>2501</v>
      </c>
      <c r="M54" s="14"/>
      <c r="N54" s="14" t="s">
        <v>497</v>
      </c>
      <c r="O54" s="14" t="s">
        <v>2630</v>
      </c>
    </row>
    <row r="55" spans="1:15" x14ac:dyDescent="0.3">
      <c r="A55" s="83">
        <v>54</v>
      </c>
      <c r="B55" s="82" t="s">
        <v>2693</v>
      </c>
      <c r="C55" s="24" t="s">
        <v>722</v>
      </c>
      <c r="D55" s="24" t="s">
        <v>2499</v>
      </c>
      <c r="E55" s="24" t="s">
        <v>444</v>
      </c>
      <c r="F55" s="24"/>
      <c r="G55" t="str">
        <f>_xlfn.IFNA(VLOOKUP(Таблица112[[#This Row],[KKS]],'[1]DBID Analog'!$B:$D,3,FALSE),VLOOKUP(Таблица112[[#This Row],[KKS]],'[1]DBID Digital'!$B:$E,4,FALSE))</f>
        <v>ДВ-11Б І шв КВ</v>
      </c>
    </row>
    <row r="56" spans="1:15" x14ac:dyDescent="0.3">
      <c r="A56" s="83">
        <v>55</v>
      </c>
      <c r="B56" s="24" t="s">
        <v>2694</v>
      </c>
      <c r="C56" s="24" t="s">
        <v>722</v>
      </c>
      <c r="D56" s="24" t="s">
        <v>2500</v>
      </c>
      <c r="E56" s="24" t="s">
        <v>444</v>
      </c>
      <c r="F56" s="24"/>
      <c r="G56" t="str">
        <f>_xlfn.IFNA(VLOOKUP(Таблица112[[#This Row],[KKS]],'[1]DBID Analog'!$B:$D,3,FALSE),VLOOKUP(Таблица112[[#This Row],[KKS]],'[1]DBID Digital'!$B:$E,4,FALSE))</f>
        <v>ДВ-11Б І шв КО</v>
      </c>
      <c r="J56" s="39"/>
      <c r="K56" s="39"/>
      <c r="L56" s="87" t="s">
        <v>2602</v>
      </c>
      <c r="M56" s="39"/>
      <c r="N56" s="39"/>
    </row>
    <row r="57" spans="1:15" x14ac:dyDescent="0.3">
      <c r="A57" s="83">
        <v>56</v>
      </c>
      <c r="B57" s="24" t="s">
        <v>2514</v>
      </c>
      <c r="C57" s="24" t="s">
        <v>722</v>
      </c>
      <c r="D57" s="24" t="s">
        <v>2501</v>
      </c>
      <c r="E57" s="24" t="s">
        <v>497</v>
      </c>
      <c r="F57" s="24"/>
      <c r="G57" t="str">
        <f>_xlfn.IFNA(VLOOKUP(Таблица112[[#This Row],[KKS]],'[1]DBID Analog'!$B:$D,3,FALSE),VLOOKUP(Таблица112[[#This Row],[KKS]],'[1]DBID Digital'!$B:$E,4,FALSE))</f>
        <v>Струм ел/дв ДВ-11Б I швидк</v>
      </c>
      <c r="J57" s="81" t="s">
        <v>507</v>
      </c>
      <c r="K57" s="81" t="s">
        <v>1014</v>
      </c>
      <c r="L57" s="81" t="s">
        <v>2482</v>
      </c>
      <c r="M57" s="81" t="s">
        <v>2493</v>
      </c>
      <c r="N57" s="81" t="s">
        <v>510</v>
      </c>
      <c r="O57" s="81" t="s">
        <v>2604</v>
      </c>
    </row>
    <row r="58" spans="1:15" x14ac:dyDescent="0.3">
      <c r="A58" s="83">
        <v>57</v>
      </c>
      <c r="B58" s="24" t="s">
        <v>2695</v>
      </c>
      <c r="C58" s="24" t="s">
        <v>724</v>
      </c>
      <c r="D58" s="24" t="s">
        <v>2494</v>
      </c>
      <c r="E58" s="24" t="s">
        <v>443</v>
      </c>
      <c r="F58" s="24"/>
      <c r="G58" t="str">
        <f>_xlfn.IFNA(VLOOKUP(Таблица112[[#This Row],[KKS]],'[1]DBID Analog'!$B:$D,3,FALSE),VLOOKUP(Таблица112[[#This Row],[KKS]],'[1]DBID Digital'!$B:$E,4,FALSE))</f>
        <v>ДВ-11Б ІІ шв ВКЛ</v>
      </c>
      <c r="J58" s="14">
        <v>1</v>
      </c>
      <c r="K58" s="79" t="s">
        <v>986</v>
      </c>
      <c r="L58" s="80" t="s">
        <v>2494</v>
      </c>
      <c r="M58" s="80" t="s">
        <v>2486</v>
      </c>
      <c r="N58" s="14" t="s">
        <v>443</v>
      </c>
      <c r="O58" s="14" t="s">
        <v>2607</v>
      </c>
    </row>
    <row r="59" spans="1:15" x14ac:dyDescent="0.3">
      <c r="A59" s="83">
        <v>58</v>
      </c>
      <c r="B59" s="24" t="s">
        <v>2696</v>
      </c>
      <c r="C59" s="24" t="s">
        <v>724</v>
      </c>
      <c r="D59" s="24" t="s">
        <v>2495</v>
      </c>
      <c r="E59" s="24" t="s">
        <v>443</v>
      </c>
      <c r="F59" s="24"/>
      <c r="G59" t="str">
        <f>_xlfn.IFNA(VLOOKUP(Таблица112[[#This Row],[KKS]],'[1]DBID Analog'!$B:$D,3,FALSE),VLOOKUP(Таблица112[[#This Row],[KKS]],'[1]DBID Digital'!$B:$E,4,FALSE))</f>
        <v>ДВ-11Б ІІ шв ВІДКЛ</v>
      </c>
      <c r="J59" s="14">
        <v>2</v>
      </c>
      <c r="K59" s="79" t="s">
        <v>987</v>
      </c>
      <c r="L59" s="80" t="s">
        <v>2495</v>
      </c>
      <c r="M59" s="80" t="s">
        <v>2487</v>
      </c>
      <c r="N59" s="14" t="s">
        <v>443</v>
      </c>
      <c r="O59" s="14" t="s">
        <v>2608</v>
      </c>
    </row>
    <row r="60" spans="1:15" x14ac:dyDescent="0.3">
      <c r="A60" s="83">
        <v>59</v>
      </c>
      <c r="B60" s="24" t="s">
        <v>2697</v>
      </c>
      <c r="C60" s="24" t="s">
        <v>724</v>
      </c>
      <c r="D60" s="24" t="s">
        <v>2496</v>
      </c>
      <c r="E60" s="24" t="s">
        <v>443</v>
      </c>
      <c r="F60" s="24"/>
      <c r="G60" t="str">
        <f>_xlfn.IFNA(VLOOKUP(Таблица112[[#This Row],[KKS]],'[1]DBID Analog'!$B:$D,3,FALSE),VLOOKUP(Таблица112[[#This Row],[KKS]],'[1]DBID Digital'!$B:$E,4,FALSE))</f>
        <v>ДВ-11Б ІІ шв ВІЗОК ВКОЧЕНИЙ</v>
      </c>
      <c r="J60" s="39"/>
      <c r="K60" s="89"/>
      <c r="L60" s="39"/>
      <c r="M60" s="39"/>
      <c r="N60" s="39"/>
      <c r="O60" s="39"/>
    </row>
    <row r="61" spans="1:15" x14ac:dyDescent="0.3">
      <c r="A61" s="84">
        <v>60</v>
      </c>
      <c r="B61" s="82" t="s">
        <v>2698</v>
      </c>
      <c r="C61" s="85" t="s">
        <v>724</v>
      </c>
      <c r="D61" s="85" t="s">
        <v>2497</v>
      </c>
      <c r="E61" s="24" t="s">
        <v>443</v>
      </c>
      <c r="F61" s="24"/>
      <c r="G61" t="str">
        <f>_xlfn.IFNA(VLOOKUP(Таблица112[[#This Row],[KKS]],'[1]DBID Analog'!$B:$D,3,FALSE),VLOOKUP(Таблица112[[#This Row],[KKS]],'[1]DBID Digital'!$B:$E,4,FALSE))</f>
        <v>ДВ-11Б ІІ шв РОБОТА ЕЛ ЗАХ</v>
      </c>
      <c r="J61" s="39"/>
      <c r="K61" s="39"/>
      <c r="L61" s="87" t="s">
        <v>2603</v>
      </c>
      <c r="M61" s="39"/>
      <c r="N61" s="39"/>
    </row>
    <row r="62" spans="1:15" x14ac:dyDescent="0.3">
      <c r="A62" s="84">
        <v>61</v>
      </c>
      <c r="B62" s="82" t="s">
        <v>2699</v>
      </c>
      <c r="C62" s="85" t="s">
        <v>724</v>
      </c>
      <c r="D62" s="85" t="s">
        <v>2498</v>
      </c>
      <c r="E62" s="24" t="s">
        <v>443</v>
      </c>
      <c r="F62" s="24"/>
      <c r="G62" t="str">
        <f>_xlfn.IFNA(VLOOKUP(Таблица112[[#This Row],[KKS]],'[1]DBID Analog'!$B:$D,3,FALSE),VLOOKUP(Таблица112[[#This Row],[KKS]],'[1]DBID Digital'!$B:$E,4,FALSE))</f>
        <v>ДВ-11Б ІІ шв ГОТОВН КІЛ КЕРУВ</v>
      </c>
      <c r="J62" s="81" t="s">
        <v>507</v>
      </c>
      <c r="K62" s="81" t="s">
        <v>1014</v>
      </c>
      <c r="L62" s="81" t="s">
        <v>2482</v>
      </c>
      <c r="M62" s="81" t="s">
        <v>2493</v>
      </c>
      <c r="N62" s="81" t="s">
        <v>510</v>
      </c>
      <c r="O62" s="81" t="s">
        <v>2604</v>
      </c>
    </row>
    <row r="63" spans="1:15" x14ac:dyDescent="0.3">
      <c r="A63" s="84">
        <v>62</v>
      </c>
      <c r="B63" s="82" t="s">
        <v>2700</v>
      </c>
      <c r="C63" s="85" t="s">
        <v>724</v>
      </c>
      <c r="D63" s="85" t="s">
        <v>2499</v>
      </c>
      <c r="E63" s="24" t="s">
        <v>444</v>
      </c>
      <c r="F63" s="24"/>
      <c r="G63" t="str">
        <f>_xlfn.IFNA(VLOOKUP(Таблица112[[#This Row],[KKS]],'[1]DBID Analog'!$B:$D,3,FALSE),VLOOKUP(Таблица112[[#This Row],[KKS]],'[1]DBID Digital'!$B:$E,4,FALSE))</f>
        <v>ДВ-11Б ІІ шв КВ</v>
      </c>
      <c r="J63" s="14">
        <v>1</v>
      </c>
      <c r="K63" s="79" t="s">
        <v>2550</v>
      </c>
      <c r="L63" s="80" t="s">
        <v>2503</v>
      </c>
      <c r="M63" s="80" t="s">
        <v>2506</v>
      </c>
      <c r="N63" s="14" t="s">
        <v>443</v>
      </c>
      <c r="O63" s="14" t="s">
        <v>2607</v>
      </c>
    </row>
    <row r="64" spans="1:15" x14ac:dyDescent="0.3">
      <c r="A64" s="84">
        <v>63</v>
      </c>
      <c r="B64" s="82" t="s">
        <v>2701</v>
      </c>
      <c r="C64" s="85" t="s">
        <v>724</v>
      </c>
      <c r="D64" s="85" t="s">
        <v>2500</v>
      </c>
      <c r="E64" s="24" t="s">
        <v>444</v>
      </c>
      <c r="F64" s="24"/>
      <c r="G64" t="str">
        <f>_xlfn.IFNA(VLOOKUP(Таблица112[[#This Row],[KKS]],'[1]DBID Analog'!$B:$D,3,FALSE),VLOOKUP(Таблица112[[#This Row],[KKS]],'[1]DBID Digital'!$B:$E,4,FALSE))</f>
        <v>ДВ-11Б ІІ шв КО</v>
      </c>
      <c r="J64" s="14">
        <v>2</v>
      </c>
      <c r="K64" s="79" t="s">
        <v>985</v>
      </c>
      <c r="L64" s="80" t="s">
        <v>2499</v>
      </c>
      <c r="M64" s="80" t="s">
        <v>2491</v>
      </c>
      <c r="N64" s="14" t="s">
        <v>444</v>
      </c>
      <c r="O64" s="14" t="s">
        <v>2605</v>
      </c>
    </row>
    <row r="65" spans="1:24" x14ac:dyDescent="0.3">
      <c r="A65" s="84">
        <v>64</v>
      </c>
      <c r="B65" s="82" t="s">
        <v>2558</v>
      </c>
      <c r="C65" s="85" t="s">
        <v>724</v>
      </c>
      <c r="D65" s="85" t="s">
        <v>2501</v>
      </c>
      <c r="E65" s="24" t="s">
        <v>497</v>
      </c>
      <c r="F65" s="24"/>
      <c r="G65" t="str">
        <f>_xlfn.IFNA(VLOOKUP(Таблица112[[#This Row],[KKS]],'[1]DBID Analog'!$B:$D,3,FALSE),VLOOKUP(Таблица112[[#This Row],[KKS]],'[1]DBID Digital'!$B:$E,4,FALSE))</f>
        <v>Струм ел/дв ДВ-11Б II швидк</v>
      </c>
      <c r="J65" s="14">
        <v>3</v>
      </c>
      <c r="K65" s="14" t="s">
        <v>1021</v>
      </c>
      <c r="L65" s="79" t="s">
        <v>2504</v>
      </c>
      <c r="M65" s="14"/>
      <c r="N65" s="14" t="s">
        <v>497</v>
      </c>
      <c r="O65" s="14" t="s">
        <v>2630</v>
      </c>
    </row>
    <row r="66" spans="1:24" x14ac:dyDescent="0.3">
      <c r="A66" s="84">
        <v>65</v>
      </c>
      <c r="B66" s="82" t="s">
        <v>2702</v>
      </c>
      <c r="C66" s="85" t="s">
        <v>447</v>
      </c>
      <c r="D66" s="85" t="s">
        <v>2494</v>
      </c>
      <c r="E66" s="24" t="s">
        <v>443</v>
      </c>
      <c r="F66" s="24"/>
      <c r="G66" t="str">
        <f>_xlfn.IFNA(VLOOKUP(Таблица112[[#This Row],[KKS]],'[1]DBID Analog'!$B:$D,3,FALSE),VLOOKUP(Таблица112[[#This Row],[KKS]],'[1]DBID Digital'!$B:$E,4,FALSE))</f>
        <v>М-11-1 ВКЛ</v>
      </c>
      <c r="J66" s="14">
        <v>4</v>
      </c>
      <c r="K66" s="79" t="s">
        <v>2507</v>
      </c>
      <c r="L66" s="80" t="s">
        <v>2640</v>
      </c>
      <c r="M66" s="80"/>
      <c r="N66" s="14" t="s">
        <v>2505</v>
      </c>
      <c r="O66" s="14" t="s">
        <v>2631</v>
      </c>
    </row>
    <row r="67" spans="1:24" x14ac:dyDescent="0.3">
      <c r="A67" s="84">
        <v>66</v>
      </c>
      <c r="B67" s="82" t="s">
        <v>2703</v>
      </c>
      <c r="C67" s="85" t="s">
        <v>447</v>
      </c>
      <c r="D67" s="85" t="s">
        <v>2495</v>
      </c>
      <c r="E67" s="24" t="s">
        <v>443</v>
      </c>
      <c r="F67" s="24"/>
      <c r="G67" t="str">
        <f>_xlfn.IFNA(VLOOKUP(Таблица112[[#This Row],[KKS]],'[1]DBID Analog'!$B:$D,3,FALSE),VLOOKUP(Таблица112[[#This Row],[KKS]],'[1]DBID Digital'!$B:$E,4,FALSE))</f>
        <v>М-11-1 ВІДКЛ</v>
      </c>
      <c r="J67" s="14">
        <v>5</v>
      </c>
      <c r="K67" s="14" t="s">
        <v>1021</v>
      </c>
      <c r="L67" s="80" t="s">
        <v>2508</v>
      </c>
      <c r="M67" s="80"/>
      <c r="N67" s="14" t="s">
        <v>497</v>
      </c>
      <c r="O67" s="14" t="s">
        <v>2632</v>
      </c>
    </row>
    <row r="68" spans="1:24" x14ac:dyDescent="0.3">
      <c r="A68" s="84">
        <v>67</v>
      </c>
      <c r="B68" s="82" t="s">
        <v>2704</v>
      </c>
      <c r="C68" s="85" t="s">
        <v>447</v>
      </c>
      <c r="D68" s="85" t="s">
        <v>2496</v>
      </c>
      <c r="E68" s="24" t="s">
        <v>443</v>
      </c>
      <c r="F68" s="24"/>
      <c r="G68" t="str">
        <f>_xlfn.IFNA(VLOOKUP(Таблица112[[#This Row],[KKS]],'[1]DBID Analog'!$B:$D,3,FALSE),VLOOKUP(Таблица112[[#This Row],[KKS]],'[1]DBID Digital'!$B:$E,4,FALSE))</f>
        <v>М-11-1 ВІЗОК ВКОЧЕНИЙ</v>
      </c>
    </row>
    <row r="69" spans="1:24" x14ac:dyDescent="0.3">
      <c r="A69" s="84">
        <v>68</v>
      </c>
      <c r="B69" s="82" t="s">
        <v>2705</v>
      </c>
      <c r="C69" s="85" t="s">
        <v>447</v>
      </c>
      <c r="D69" s="85" t="s">
        <v>2497</v>
      </c>
      <c r="E69" s="24" t="s">
        <v>443</v>
      </c>
      <c r="F69" s="24"/>
      <c r="G69" t="str">
        <f>_xlfn.IFNA(VLOOKUP(Таблица112[[#This Row],[KKS]],'[1]DBID Analog'!$B:$D,3,FALSE),VLOOKUP(Таблица112[[#This Row],[KKS]],'[1]DBID Digital'!$B:$E,4,FALSE))</f>
        <v>М-11-1 РОБОТА ЕЛ ЗАХ</v>
      </c>
    </row>
    <row r="70" spans="1:24" x14ac:dyDescent="0.3">
      <c r="A70" s="84">
        <v>69</v>
      </c>
      <c r="B70" s="82" t="s">
        <v>2706</v>
      </c>
      <c r="C70" s="85" t="s">
        <v>447</v>
      </c>
      <c r="D70" s="85" t="s">
        <v>2498</v>
      </c>
      <c r="E70" s="24" t="s">
        <v>443</v>
      </c>
      <c r="F70" s="24"/>
      <c r="G70" t="str">
        <f>_xlfn.IFNA(VLOOKUP(Таблица112[[#This Row],[KKS]],'[1]DBID Analog'!$B:$D,3,FALSE),VLOOKUP(Таблица112[[#This Row],[KKS]],'[1]DBID Digital'!$B:$E,4,FALSE))</f>
        <v>М-11-1 ГОТОВН КІЛ КЕРУВ</v>
      </c>
      <c r="N70" s="14" t="s">
        <v>2486</v>
      </c>
      <c r="O70" s="14" t="s">
        <v>2487</v>
      </c>
      <c r="P70" s="14" t="s">
        <v>2981</v>
      </c>
      <c r="Q70" s="14" t="s">
        <v>2489</v>
      </c>
      <c r="R70" s="14" t="s">
        <v>2982</v>
      </c>
      <c r="S70" s="14" t="s">
        <v>2636</v>
      </c>
      <c r="T70" s="14" t="s">
        <v>2637</v>
      </c>
      <c r="U70" s="14" t="s">
        <v>2639</v>
      </c>
    </row>
    <row r="71" spans="1:24" x14ac:dyDescent="0.3">
      <c r="A71" s="84">
        <v>70</v>
      </c>
      <c r="B71" s="82" t="s">
        <v>2707</v>
      </c>
      <c r="C71" s="85" t="s">
        <v>447</v>
      </c>
      <c r="D71" s="85" t="s">
        <v>2499</v>
      </c>
      <c r="E71" s="24" t="s">
        <v>444</v>
      </c>
      <c r="F71" s="24"/>
      <c r="G71" t="str">
        <f>_xlfn.IFNA(VLOOKUP(Таблица112[[#This Row],[KKS]],'[1]DBID Analog'!$B:$D,3,FALSE),VLOOKUP(Таблица112[[#This Row],[KKS]],'[1]DBID Digital'!$B:$E,4,FALSE))</f>
        <v>М-11-1 КВ</v>
      </c>
      <c r="J71" s="212" t="s">
        <v>507</v>
      </c>
      <c r="K71" s="214" t="s">
        <v>2644</v>
      </c>
      <c r="L71" s="216"/>
      <c r="M71" s="81"/>
      <c r="N71" s="96" t="s">
        <v>986</v>
      </c>
      <c r="O71" s="96" t="s">
        <v>987</v>
      </c>
      <c r="P71" s="96" t="s">
        <v>2483</v>
      </c>
      <c r="Q71" s="96" t="s">
        <v>2484</v>
      </c>
      <c r="R71" s="96" t="s">
        <v>2485</v>
      </c>
      <c r="S71" s="96" t="s">
        <v>985</v>
      </c>
      <c r="T71" s="96" t="s">
        <v>983</v>
      </c>
      <c r="U71" s="81" t="s">
        <v>1021</v>
      </c>
      <c r="V71" s="39"/>
      <c r="W71" s="39"/>
      <c r="X71" s="39"/>
    </row>
    <row r="72" spans="1:24" x14ac:dyDescent="0.3">
      <c r="A72" s="84">
        <v>71</v>
      </c>
      <c r="B72" s="82" t="s">
        <v>2708</v>
      </c>
      <c r="C72" s="85" t="s">
        <v>447</v>
      </c>
      <c r="D72" s="85" t="s">
        <v>2500</v>
      </c>
      <c r="E72" s="24" t="s">
        <v>444</v>
      </c>
      <c r="F72" s="24"/>
      <c r="G72" t="str">
        <f>_xlfn.IFNA(VLOOKUP(Таблица112[[#This Row],[KKS]],'[1]DBID Analog'!$B:$D,3,FALSE),VLOOKUP(Таблица112[[#This Row],[KKS]],'[1]DBID Digital'!$B:$E,4,FALSE))</f>
        <v>М-11-1 КО</v>
      </c>
      <c r="J72" s="213"/>
      <c r="K72" s="215"/>
      <c r="L72" s="216"/>
      <c r="M72" s="81"/>
      <c r="N72" s="81" t="s">
        <v>2610</v>
      </c>
      <c r="O72" s="81" t="s">
        <v>2611</v>
      </c>
      <c r="P72" s="81" t="s">
        <v>2609</v>
      </c>
      <c r="Q72" s="81" t="s">
        <v>2608</v>
      </c>
      <c r="R72" s="81" t="s">
        <v>2607</v>
      </c>
      <c r="S72" s="81" t="s">
        <v>2605</v>
      </c>
      <c r="T72" s="81" t="s">
        <v>2606</v>
      </c>
      <c r="U72" s="81"/>
      <c r="V72" s="39"/>
      <c r="W72" s="39"/>
      <c r="X72" s="39"/>
    </row>
    <row r="73" spans="1:24" x14ac:dyDescent="0.3">
      <c r="A73" s="84">
        <v>72</v>
      </c>
      <c r="B73" s="82" t="s">
        <v>2515</v>
      </c>
      <c r="C73" s="85" t="s">
        <v>447</v>
      </c>
      <c r="D73" s="85" t="s">
        <v>2501</v>
      </c>
      <c r="E73" s="24" t="s">
        <v>497</v>
      </c>
      <c r="F73" s="24"/>
      <c r="G73" t="str">
        <f>_xlfn.IFNA(VLOOKUP(Таблица112[[#This Row],[KKS]],'[1]DBID Analog'!$B:$D,3,FALSE),VLOOKUP(Таблица112[[#This Row],[KKS]],'[1]DBID Digital'!$B:$E,4,FALSE))</f>
        <v>Струм ел/дв М-11-1</v>
      </c>
      <c r="J73" s="75">
        <v>1</v>
      </c>
      <c r="K73" s="75" t="s">
        <v>2980</v>
      </c>
      <c r="L73" s="14"/>
      <c r="M73" s="14"/>
      <c r="N73" s="14">
        <v>1</v>
      </c>
      <c r="O73" s="14">
        <v>1</v>
      </c>
      <c r="P73" s="14">
        <v>1</v>
      </c>
      <c r="Q73" s="14">
        <v>1</v>
      </c>
      <c r="R73" s="14">
        <v>1</v>
      </c>
      <c r="S73" s="14">
        <v>1</v>
      </c>
      <c r="T73" s="14">
        <v>1</v>
      </c>
      <c r="U73" s="14">
        <v>1</v>
      </c>
      <c r="V73" s="39"/>
      <c r="W73" s="39"/>
      <c r="X73" s="39"/>
    </row>
    <row r="74" spans="1:24" x14ac:dyDescent="0.3">
      <c r="A74" s="84">
        <v>73</v>
      </c>
      <c r="B74" s="82" t="s">
        <v>2709</v>
      </c>
      <c r="C74" s="85" t="s">
        <v>448</v>
      </c>
      <c r="D74" s="85" t="s">
        <v>2494</v>
      </c>
      <c r="E74" s="24" t="s">
        <v>443</v>
      </c>
      <c r="F74" s="24"/>
      <c r="G74" t="str">
        <f>_xlfn.IFNA(VLOOKUP(Таблица112[[#This Row],[KKS]],'[1]DBID Analog'!$B:$D,3,FALSE),VLOOKUP(Таблица112[[#This Row],[KKS]],'[1]DBID Digital'!$B:$E,4,FALSE))</f>
        <v>М-11-2 ВКЛ</v>
      </c>
    </row>
    <row r="75" spans="1:24" x14ac:dyDescent="0.3">
      <c r="A75" s="84">
        <v>74</v>
      </c>
      <c r="B75" s="82" t="s">
        <v>2710</v>
      </c>
      <c r="C75" s="85" t="s">
        <v>448</v>
      </c>
      <c r="D75" s="85" t="s">
        <v>2495</v>
      </c>
      <c r="E75" s="24" t="s">
        <v>443</v>
      </c>
      <c r="F75" s="24"/>
      <c r="G75" t="str">
        <f>_xlfn.IFNA(VLOOKUP(Таблица112[[#This Row],[KKS]],'[1]DBID Analog'!$B:$D,3,FALSE),VLOOKUP(Таблица112[[#This Row],[KKS]],'[1]DBID Digital'!$B:$E,4,FALSE))</f>
        <v>М-11-2 ВІДКЛ</v>
      </c>
    </row>
    <row r="76" spans="1:24" x14ac:dyDescent="0.3">
      <c r="A76" s="84">
        <v>75</v>
      </c>
      <c r="B76" s="82" t="s">
        <v>2711</v>
      </c>
      <c r="C76" s="85" t="s">
        <v>448</v>
      </c>
      <c r="D76" s="85" t="s">
        <v>2496</v>
      </c>
      <c r="E76" s="24" t="s">
        <v>443</v>
      </c>
      <c r="F76" s="24"/>
      <c r="G76" t="str">
        <f>_xlfn.IFNA(VLOOKUP(Таблица112[[#This Row],[KKS]],'[1]DBID Analog'!$B:$D,3,FALSE),VLOOKUP(Таблица112[[#This Row],[KKS]],'[1]DBID Digital'!$B:$E,4,FALSE))</f>
        <v>М-11-2 ВІЗОК ВКОЧЕНИЙ</v>
      </c>
      <c r="N76" s="14" t="s">
        <v>2486</v>
      </c>
      <c r="O76" s="14" t="s">
        <v>2487</v>
      </c>
      <c r="P76" s="14" t="s">
        <v>2643</v>
      </c>
      <c r="Q76" s="14" t="s">
        <v>2634</v>
      </c>
      <c r="R76" s="14" t="s">
        <v>2635</v>
      </c>
      <c r="S76" s="14" t="s">
        <v>2636</v>
      </c>
      <c r="T76" s="14" t="s">
        <v>2637</v>
      </c>
      <c r="U76" s="14" t="s">
        <v>2638</v>
      </c>
      <c r="V76" s="14" t="s">
        <v>2639</v>
      </c>
      <c r="W76" s="14" t="s">
        <v>2642</v>
      </c>
      <c r="X76" s="14" t="s">
        <v>2641</v>
      </c>
    </row>
    <row r="77" spans="1:24" ht="14.55" customHeight="1" x14ac:dyDescent="0.3">
      <c r="A77" s="84">
        <v>76</v>
      </c>
      <c r="B77" s="82" t="s">
        <v>2712</v>
      </c>
      <c r="C77" s="85" t="s">
        <v>448</v>
      </c>
      <c r="D77" s="85" t="s">
        <v>2497</v>
      </c>
      <c r="E77" s="24" t="s">
        <v>443</v>
      </c>
      <c r="F77" s="24"/>
      <c r="G77" t="str">
        <f>_xlfn.IFNA(VLOOKUP(Таблица112[[#This Row],[KKS]],'[1]DBID Analog'!$B:$D,3,FALSE),VLOOKUP(Таблица112[[#This Row],[KKS]],'[1]DBID Digital'!$B:$E,4,FALSE))</f>
        <v>М-11-2 РОБОТА ЕЛ ЗАХ</v>
      </c>
      <c r="J77" s="206" t="s">
        <v>507</v>
      </c>
      <c r="K77" s="208" t="s">
        <v>2644</v>
      </c>
      <c r="L77" s="210" t="s">
        <v>2593</v>
      </c>
      <c r="N77" s="91" t="s">
        <v>986</v>
      </c>
      <c r="O77" s="91" t="s">
        <v>987</v>
      </c>
      <c r="P77" s="91" t="s">
        <v>2559</v>
      </c>
      <c r="Q77" s="91" t="s">
        <v>2550</v>
      </c>
      <c r="R77" s="91" t="s">
        <v>1028</v>
      </c>
      <c r="S77" s="91" t="s">
        <v>985</v>
      </c>
      <c r="T77" s="91" t="s">
        <v>983</v>
      </c>
      <c r="U77" s="91" t="s">
        <v>1027</v>
      </c>
      <c r="V77" s="90" t="s">
        <v>2629</v>
      </c>
      <c r="W77" s="91" t="s">
        <v>2507</v>
      </c>
      <c r="X77" s="90" t="s">
        <v>2628</v>
      </c>
    </row>
    <row r="78" spans="1:24" x14ac:dyDescent="0.3">
      <c r="A78" s="84">
        <v>77</v>
      </c>
      <c r="B78" s="82" t="s">
        <v>2713</v>
      </c>
      <c r="C78" s="85" t="s">
        <v>448</v>
      </c>
      <c r="D78" s="85" t="s">
        <v>2498</v>
      </c>
      <c r="E78" s="24" t="s">
        <v>443</v>
      </c>
      <c r="F78" s="24"/>
      <c r="G78" t="str">
        <f>_xlfn.IFNA(VLOOKUP(Таблица112[[#This Row],[KKS]],'[1]DBID Analog'!$B:$D,3,FALSE),VLOOKUP(Таблица112[[#This Row],[KKS]],'[1]DBID Digital'!$B:$E,4,FALSE))</f>
        <v>М-11-2 ГОТОВН КІЛ КЕРУВ</v>
      </c>
      <c r="J78" s="207"/>
      <c r="K78" s="209"/>
      <c r="L78" s="211"/>
      <c r="N78" s="90" t="s">
        <v>2612</v>
      </c>
      <c r="O78" s="90" t="s">
        <v>2613</v>
      </c>
      <c r="P78" s="90" t="s">
        <v>2609</v>
      </c>
      <c r="Q78" s="90" t="s">
        <v>2608</v>
      </c>
      <c r="R78" s="90" t="s">
        <v>2610</v>
      </c>
      <c r="S78" s="90" t="s">
        <v>2605</v>
      </c>
      <c r="T78" s="90" t="s">
        <v>2606</v>
      </c>
      <c r="U78" s="90" t="s">
        <v>2614</v>
      </c>
      <c r="V78" s="90" t="s">
        <v>2630</v>
      </c>
      <c r="W78" s="90" t="s">
        <v>2631</v>
      </c>
      <c r="X78" s="90" t="s">
        <v>2632</v>
      </c>
    </row>
    <row r="79" spans="1:24" x14ac:dyDescent="0.3">
      <c r="A79" s="84">
        <v>78</v>
      </c>
      <c r="B79" s="82" t="s">
        <v>2714</v>
      </c>
      <c r="C79" s="85" t="s">
        <v>448</v>
      </c>
      <c r="D79" s="85" t="s">
        <v>2499</v>
      </c>
      <c r="E79" s="24" t="s">
        <v>444</v>
      </c>
      <c r="F79" s="24"/>
      <c r="G79" t="str">
        <f>_xlfn.IFNA(VLOOKUP(Таблица112[[#This Row],[KKS]],'[1]DBID Analog'!$B:$D,3,FALSE),VLOOKUP(Таблица112[[#This Row],[KKS]],'[1]DBID Digital'!$B:$E,4,FALSE))</f>
        <v>М-11-2 КВ</v>
      </c>
      <c r="J79" s="14">
        <v>1</v>
      </c>
      <c r="K79" s="14" t="s">
        <v>2615</v>
      </c>
      <c r="L79" s="21">
        <v>4</v>
      </c>
      <c r="N79" s="14">
        <v>1</v>
      </c>
      <c r="O79" s="14">
        <v>1</v>
      </c>
      <c r="P79" s="14">
        <v>1</v>
      </c>
      <c r="Q79" s="14"/>
      <c r="R79" s="14">
        <v>1</v>
      </c>
      <c r="S79" s="14">
        <v>1</v>
      </c>
      <c r="T79" s="14">
        <v>1</v>
      </c>
      <c r="U79" s="90"/>
      <c r="V79" s="14">
        <v>1</v>
      </c>
      <c r="W79" s="90"/>
      <c r="X79" s="90"/>
    </row>
    <row r="80" spans="1:24" x14ac:dyDescent="0.3">
      <c r="A80" s="84">
        <v>79</v>
      </c>
      <c r="B80" s="82" t="s">
        <v>2715</v>
      </c>
      <c r="C80" s="85" t="s">
        <v>448</v>
      </c>
      <c r="D80" s="85" t="s">
        <v>2500</v>
      </c>
      <c r="E80" s="24" t="s">
        <v>444</v>
      </c>
      <c r="F80" s="24"/>
      <c r="G80" t="str">
        <f>_xlfn.IFNA(VLOOKUP(Таблица112[[#This Row],[KKS]],'[1]DBID Analog'!$B:$D,3,FALSE),VLOOKUP(Таблица112[[#This Row],[KKS]],'[1]DBID Digital'!$B:$E,4,FALSE))</f>
        <v>М-11-2 КО</v>
      </c>
      <c r="J80" s="14">
        <v>2</v>
      </c>
      <c r="K80" s="14" t="s">
        <v>2616</v>
      </c>
      <c r="L80" s="21">
        <v>6</v>
      </c>
      <c r="N80" s="90"/>
      <c r="O80" s="90"/>
      <c r="P80" s="90"/>
      <c r="Q80" s="14">
        <v>1</v>
      </c>
      <c r="R80" s="90"/>
      <c r="S80" s="14">
        <v>1</v>
      </c>
      <c r="T80" s="90"/>
      <c r="U80" s="90"/>
      <c r="V80" s="14">
        <v>1</v>
      </c>
      <c r="W80" s="14">
        <v>1</v>
      </c>
      <c r="X80" s="14">
        <v>1</v>
      </c>
    </row>
    <row r="81" spans="1:24" x14ac:dyDescent="0.3">
      <c r="A81" s="84">
        <v>80</v>
      </c>
      <c r="B81" s="82" t="s">
        <v>2516</v>
      </c>
      <c r="C81" s="85" t="s">
        <v>448</v>
      </c>
      <c r="D81" s="85" t="s">
        <v>2501</v>
      </c>
      <c r="E81" s="24" t="s">
        <v>497</v>
      </c>
      <c r="F81" s="24"/>
      <c r="G81" t="str">
        <f>_xlfn.IFNA(VLOOKUP(Таблица112[[#This Row],[KKS]],'[1]DBID Analog'!$B:$D,3,FALSE),VLOOKUP(Таблица112[[#This Row],[KKS]],'[1]DBID Digital'!$B:$E,4,FALSE))</f>
        <v>Струм ел/дв М-11-2</v>
      </c>
      <c r="J81" s="14">
        <v>3</v>
      </c>
      <c r="K81" s="14" t="s">
        <v>2617</v>
      </c>
      <c r="L81" s="21">
        <v>4</v>
      </c>
      <c r="N81" s="14">
        <v>1</v>
      </c>
      <c r="O81" s="14">
        <v>1</v>
      </c>
      <c r="P81" s="14">
        <v>1</v>
      </c>
      <c r="Q81" s="14">
        <v>1</v>
      </c>
      <c r="R81" s="14">
        <v>1</v>
      </c>
      <c r="S81" s="14">
        <v>1</v>
      </c>
      <c r="T81" s="14">
        <v>1</v>
      </c>
      <c r="U81" s="90"/>
      <c r="V81" s="14">
        <v>1</v>
      </c>
      <c r="W81" s="90"/>
      <c r="X81" s="90"/>
    </row>
    <row r="82" spans="1:24" x14ac:dyDescent="0.3">
      <c r="A82" s="84">
        <v>81</v>
      </c>
      <c r="B82" s="82" t="s">
        <v>2716</v>
      </c>
      <c r="C82" s="85" t="s">
        <v>449</v>
      </c>
      <c r="D82" s="85" t="s">
        <v>2494</v>
      </c>
      <c r="E82" s="24" t="s">
        <v>443</v>
      </c>
      <c r="F82" s="24"/>
      <c r="G82" t="str">
        <f>_xlfn.IFNA(VLOOKUP(Таблица112[[#This Row],[KKS]],'[1]DBID Analog'!$B:$D,3,FALSE),VLOOKUP(Таблица112[[#This Row],[KKS]],'[1]DBID Digital'!$B:$E,4,FALSE))</f>
        <v>М-11-3 ВКЛ</v>
      </c>
      <c r="J82" s="14">
        <v>4</v>
      </c>
      <c r="K82" s="14" t="s">
        <v>2618</v>
      </c>
      <c r="L82" s="21">
        <v>1</v>
      </c>
      <c r="N82" s="14">
        <v>1</v>
      </c>
      <c r="O82" s="14">
        <v>1</v>
      </c>
      <c r="P82" s="14">
        <v>1</v>
      </c>
      <c r="Q82" s="14"/>
      <c r="R82" s="14">
        <v>1</v>
      </c>
      <c r="S82" s="14">
        <v>1</v>
      </c>
      <c r="T82" s="14">
        <v>1</v>
      </c>
      <c r="U82" s="90"/>
      <c r="V82" s="14">
        <v>1</v>
      </c>
      <c r="W82" s="90"/>
      <c r="X82" s="90"/>
    </row>
    <row r="83" spans="1:24" x14ac:dyDescent="0.3">
      <c r="A83" s="84">
        <v>82</v>
      </c>
      <c r="B83" s="82" t="s">
        <v>2717</v>
      </c>
      <c r="C83" s="85" t="s">
        <v>449</v>
      </c>
      <c r="D83" s="85" t="s">
        <v>2495</v>
      </c>
      <c r="E83" s="24" t="s">
        <v>443</v>
      </c>
      <c r="F83" s="24"/>
      <c r="G83" t="str">
        <f>_xlfn.IFNA(VLOOKUP(Таблица112[[#This Row],[KKS]],'[1]DBID Analog'!$B:$D,3,FALSE),VLOOKUP(Таблица112[[#This Row],[KKS]],'[1]DBID Digital'!$B:$E,4,FALSE))</f>
        <v>М-11-3 ВІДКЛ</v>
      </c>
      <c r="J83" s="14">
        <v>5</v>
      </c>
      <c r="K83" s="14" t="s">
        <v>2619</v>
      </c>
      <c r="L83" s="21">
        <v>1</v>
      </c>
      <c r="N83" s="14">
        <v>1</v>
      </c>
      <c r="O83" s="14">
        <v>1</v>
      </c>
      <c r="P83" s="14">
        <v>1</v>
      </c>
      <c r="Q83" s="14"/>
      <c r="R83" s="14">
        <v>1</v>
      </c>
      <c r="S83" s="14">
        <v>1</v>
      </c>
      <c r="T83" s="14">
        <v>1</v>
      </c>
      <c r="U83" s="90"/>
      <c r="V83" s="14">
        <v>1</v>
      </c>
      <c r="W83" s="90"/>
      <c r="X83" s="90"/>
    </row>
    <row r="84" spans="1:24" x14ac:dyDescent="0.3">
      <c r="A84" s="84">
        <v>83</v>
      </c>
      <c r="B84" s="82" t="s">
        <v>2718</v>
      </c>
      <c r="C84" s="85" t="s">
        <v>449</v>
      </c>
      <c r="D84" s="85" t="s">
        <v>2496</v>
      </c>
      <c r="E84" s="24" t="s">
        <v>443</v>
      </c>
      <c r="F84" s="24"/>
      <c r="G84" t="str">
        <f>_xlfn.IFNA(VLOOKUP(Таблица112[[#This Row],[KKS]],'[1]DBID Analog'!$B:$D,3,FALSE),VLOOKUP(Таблица112[[#This Row],[KKS]],'[1]DBID Digital'!$B:$E,4,FALSE))</f>
        <v>М-11-3 ВІЗОК ВКОЧЕНИЙ</v>
      </c>
      <c r="J84" s="14">
        <v>6</v>
      </c>
      <c r="K84" s="14" t="s">
        <v>2620</v>
      </c>
      <c r="L84" s="21">
        <v>1</v>
      </c>
      <c r="N84" s="14">
        <v>1</v>
      </c>
      <c r="O84" s="14">
        <v>1</v>
      </c>
      <c r="P84" s="14">
        <v>1</v>
      </c>
      <c r="Q84" s="14">
        <v>1</v>
      </c>
      <c r="R84" s="14">
        <v>1</v>
      </c>
      <c r="S84" s="14">
        <v>1</v>
      </c>
      <c r="T84" s="14">
        <v>1</v>
      </c>
      <c r="U84" s="90"/>
      <c r="V84" s="14">
        <v>1</v>
      </c>
      <c r="W84" s="90"/>
      <c r="X84" s="90"/>
    </row>
    <row r="85" spans="1:24" x14ac:dyDescent="0.3">
      <c r="A85" s="84">
        <v>84</v>
      </c>
      <c r="B85" s="82" t="s">
        <v>2719</v>
      </c>
      <c r="C85" s="85" t="s">
        <v>449</v>
      </c>
      <c r="D85" s="85" t="s">
        <v>2497</v>
      </c>
      <c r="E85" s="24" t="s">
        <v>443</v>
      </c>
      <c r="F85" s="24"/>
      <c r="G85" t="str">
        <f>_xlfn.IFNA(VLOOKUP(Таблица112[[#This Row],[KKS]],'[1]DBID Analog'!$B:$D,3,FALSE),VLOOKUP(Таблица112[[#This Row],[KKS]],'[1]DBID Digital'!$B:$E,4,FALSE))</f>
        <v>М-11-3 РОБОТА ЕЛ ЗАХ</v>
      </c>
      <c r="J85" s="14">
        <v>7</v>
      </c>
      <c r="K85" s="14" t="s">
        <v>2621</v>
      </c>
      <c r="L85" s="21">
        <v>3</v>
      </c>
      <c r="N85" s="14">
        <v>1</v>
      </c>
      <c r="O85" s="14">
        <v>1</v>
      </c>
      <c r="P85" s="14">
        <v>1</v>
      </c>
      <c r="Q85" s="14"/>
      <c r="R85" s="14">
        <v>1</v>
      </c>
      <c r="S85" s="14">
        <v>1</v>
      </c>
      <c r="T85" s="14">
        <v>1</v>
      </c>
      <c r="U85" s="14">
        <v>1</v>
      </c>
      <c r="V85" s="14">
        <v>1</v>
      </c>
      <c r="W85" s="90"/>
      <c r="X85" s="90"/>
    </row>
    <row r="86" spans="1:24" x14ac:dyDescent="0.3">
      <c r="A86" s="84">
        <v>85</v>
      </c>
      <c r="B86" s="82" t="s">
        <v>2720</v>
      </c>
      <c r="C86" s="85" t="s">
        <v>449</v>
      </c>
      <c r="D86" s="85" t="s">
        <v>2498</v>
      </c>
      <c r="E86" s="24" t="s">
        <v>443</v>
      </c>
      <c r="F86" s="24"/>
      <c r="G86" t="str">
        <f>_xlfn.IFNA(VLOOKUP(Таблица112[[#This Row],[KKS]],'[1]DBID Analog'!$B:$D,3,FALSE),VLOOKUP(Таблица112[[#This Row],[KKS]],'[1]DBID Digital'!$B:$E,4,FALSE))</f>
        <v>М-11-3 ГОТОВН КІЛ КЕРУВ</v>
      </c>
      <c r="J86" s="14">
        <v>8</v>
      </c>
      <c r="K86" s="14" t="s">
        <v>2622</v>
      </c>
      <c r="L86" s="21">
        <v>2</v>
      </c>
      <c r="N86" s="14">
        <v>1</v>
      </c>
      <c r="O86" s="14">
        <v>1</v>
      </c>
      <c r="P86" s="14">
        <v>1</v>
      </c>
      <c r="Q86" s="14">
        <v>1</v>
      </c>
      <c r="R86" s="90"/>
      <c r="S86" s="14">
        <v>1</v>
      </c>
      <c r="T86" s="14">
        <v>1</v>
      </c>
      <c r="U86" s="90"/>
      <c r="V86" s="14">
        <v>1</v>
      </c>
      <c r="W86" s="90"/>
      <c r="X86" s="90"/>
    </row>
    <row r="87" spans="1:24" x14ac:dyDescent="0.3">
      <c r="A87" s="84">
        <v>86</v>
      </c>
      <c r="B87" s="82" t="s">
        <v>2721</v>
      </c>
      <c r="C87" s="85" t="s">
        <v>449</v>
      </c>
      <c r="D87" s="85" t="s">
        <v>2499</v>
      </c>
      <c r="E87" s="24" t="s">
        <v>444</v>
      </c>
      <c r="F87" s="24"/>
      <c r="G87" t="str">
        <f>_xlfn.IFNA(VLOOKUP(Таблица112[[#This Row],[KKS]],'[1]DBID Analog'!$B:$D,3,FALSE),VLOOKUP(Таблица112[[#This Row],[KKS]],'[1]DBID Digital'!$B:$E,4,FALSE))</f>
        <v>М-11-3 КВ</v>
      </c>
      <c r="J87" s="14">
        <v>9</v>
      </c>
      <c r="K87" s="14" t="s">
        <v>2623</v>
      </c>
      <c r="L87" s="21">
        <v>1</v>
      </c>
      <c r="N87" s="14">
        <v>1</v>
      </c>
      <c r="O87" s="14">
        <v>1</v>
      </c>
      <c r="P87" s="14">
        <v>1</v>
      </c>
      <c r="Q87" s="14"/>
      <c r="R87" s="14">
        <v>1</v>
      </c>
      <c r="S87" s="14">
        <v>1</v>
      </c>
      <c r="T87" s="14">
        <v>1</v>
      </c>
      <c r="U87" s="90"/>
      <c r="V87" s="14">
        <v>1</v>
      </c>
      <c r="W87" s="90"/>
      <c r="X87" s="90"/>
    </row>
    <row r="88" spans="1:24" x14ac:dyDescent="0.3">
      <c r="A88" s="84">
        <v>87</v>
      </c>
      <c r="B88" s="82" t="s">
        <v>2722</v>
      </c>
      <c r="C88" s="85" t="s">
        <v>449</v>
      </c>
      <c r="D88" s="85" t="s">
        <v>2500</v>
      </c>
      <c r="E88" s="24" t="s">
        <v>444</v>
      </c>
      <c r="F88" s="24"/>
      <c r="G88" t="str">
        <f>_xlfn.IFNA(VLOOKUP(Таблица112[[#This Row],[KKS]],'[1]DBID Analog'!$B:$D,3,FALSE),VLOOKUP(Таблица112[[#This Row],[KKS]],'[1]DBID Digital'!$B:$E,4,FALSE))</f>
        <v>М-11-3 КО</v>
      </c>
      <c r="J88" s="14">
        <v>10</v>
      </c>
      <c r="K88" s="14" t="s">
        <v>2624</v>
      </c>
      <c r="L88" s="21">
        <v>1</v>
      </c>
      <c r="N88" s="14">
        <v>1</v>
      </c>
      <c r="O88" s="14">
        <v>1</v>
      </c>
      <c r="P88" s="14">
        <v>1</v>
      </c>
      <c r="Q88" s="14"/>
      <c r="R88" s="14">
        <v>1</v>
      </c>
      <c r="S88" s="14">
        <v>1</v>
      </c>
      <c r="T88" s="14">
        <v>1</v>
      </c>
      <c r="U88" s="90"/>
      <c r="V88" s="14">
        <v>1</v>
      </c>
      <c r="W88" s="90"/>
      <c r="X88" s="90"/>
    </row>
    <row r="89" spans="1:24" x14ac:dyDescent="0.3">
      <c r="A89" s="84">
        <v>88</v>
      </c>
      <c r="B89" s="82" t="s">
        <v>2517</v>
      </c>
      <c r="C89" s="85" t="s">
        <v>449</v>
      </c>
      <c r="D89" s="85" t="s">
        <v>2501</v>
      </c>
      <c r="E89" s="24" t="s">
        <v>497</v>
      </c>
      <c r="F89" s="24"/>
      <c r="G89" t="str">
        <f>_xlfn.IFNA(VLOOKUP(Таблица112[[#This Row],[KKS]],'[1]DBID Analog'!$B:$D,3,FALSE),VLOOKUP(Таблица112[[#This Row],[KKS]],'[1]DBID Digital'!$B:$E,4,FALSE))</f>
        <v>Струм ел/дв М-11-3</v>
      </c>
      <c r="J89" s="14">
        <v>11</v>
      </c>
      <c r="K89" s="14" t="s">
        <v>2625</v>
      </c>
      <c r="L89" s="21">
        <v>5</v>
      </c>
      <c r="N89" s="14">
        <v>1</v>
      </c>
      <c r="O89" s="14">
        <v>1</v>
      </c>
      <c r="P89" s="90"/>
      <c r="Q89" s="90"/>
      <c r="R89" s="90"/>
      <c r="S89" s="90"/>
      <c r="T89" s="90"/>
      <c r="U89" s="90"/>
      <c r="V89" s="90"/>
      <c r="W89" s="90"/>
      <c r="X89" s="90"/>
    </row>
    <row r="90" spans="1:24" x14ac:dyDescent="0.3">
      <c r="A90" s="84">
        <v>89</v>
      </c>
      <c r="B90" s="82" t="s">
        <v>2723</v>
      </c>
      <c r="C90" s="85" t="s">
        <v>450</v>
      </c>
      <c r="D90" s="85" t="s">
        <v>2494</v>
      </c>
      <c r="E90" s="24" t="s">
        <v>443</v>
      </c>
      <c r="F90" s="24"/>
      <c r="G90" t="str">
        <f>_xlfn.IFNA(VLOOKUP(Таблица112[[#This Row],[KKS]],'[1]DBID Analog'!$B:$D,3,FALSE),VLOOKUP(Таблица112[[#This Row],[KKS]],'[1]DBID Digital'!$B:$E,4,FALSE))</f>
        <v>М-11-4 ВКЛ</v>
      </c>
      <c r="J90" s="14">
        <v>12</v>
      </c>
      <c r="K90" s="14" t="s">
        <v>2626</v>
      </c>
      <c r="L90" s="21">
        <v>1</v>
      </c>
      <c r="N90" s="14">
        <v>1</v>
      </c>
      <c r="O90" s="14">
        <v>1</v>
      </c>
      <c r="P90" s="14">
        <v>1</v>
      </c>
      <c r="Q90" s="14"/>
      <c r="R90" s="14">
        <v>1</v>
      </c>
      <c r="S90" s="14">
        <v>1</v>
      </c>
      <c r="T90" s="14">
        <v>1</v>
      </c>
      <c r="U90" s="90"/>
      <c r="V90" s="14">
        <v>1</v>
      </c>
      <c r="W90" s="90"/>
      <c r="X90" s="90"/>
    </row>
    <row r="91" spans="1:24" x14ac:dyDescent="0.3">
      <c r="A91" s="84">
        <v>90</v>
      </c>
      <c r="B91" s="82" t="s">
        <v>2724</v>
      </c>
      <c r="C91" s="85" t="s">
        <v>450</v>
      </c>
      <c r="D91" s="85" t="s">
        <v>2495</v>
      </c>
      <c r="E91" s="24" t="s">
        <v>443</v>
      </c>
      <c r="F91" s="24"/>
      <c r="G91" t="str">
        <f>_xlfn.IFNA(VLOOKUP(Таблица112[[#This Row],[KKS]],'[1]DBID Analog'!$B:$D,3,FALSE),VLOOKUP(Таблица112[[#This Row],[KKS]],'[1]DBID Digital'!$B:$E,4,FALSE))</f>
        <v>М-11-4 ВІДКЛ</v>
      </c>
      <c r="J91" s="92">
        <v>13</v>
      </c>
      <c r="K91" s="92" t="s">
        <v>2627</v>
      </c>
      <c r="L91" s="93">
        <v>1</v>
      </c>
      <c r="N91" s="92">
        <v>1</v>
      </c>
      <c r="O91" s="92">
        <v>1</v>
      </c>
      <c r="P91" s="92">
        <v>1</v>
      </c>
      <c r="Q91" s="92">
        <v>1</v>
      </c>
      <c r="R91" s="92">
        <v>1</v>
      </c>
      <c r="S91" s="92">
        <v>1</v>
      </c>
      <c r="T91" s="92">
        <v>1</v>
      </c>
      <c r="U91" s="94"/>
      <c r="V91" s="92">
        <v>1</v>
      </c>
      <c r="W91" s="94"/>
      <c r="X91" s="94"/>
    </row>
    <row r="92" spans="1:24" x14ac:dyDescent="0.3">
      <c r="A92" s="84">
        <v>91</v>
      </c>
      <c r="B92" s="82" t="s">
        <v>2725</v>
      </c>
      <c r="C92" s="85" t="s">
        <v>450</v>
      </c>
      <c r="D92" s="85" t="s">
        <v>2496</v>
      </c>
      <c r="E92" s="24" t="s">
        <v>443</v>
      </c>
      <c r="F92" s="24"/>
      <c r="G92" t="str">
        <f>_xlfn.IFNA(VLOOKUP(Таблица112[[#This Row],[KKS]],'[1]DBID Analog'!$B:$D,3,FALSE),VLOOKUP(Таблица112[[#This Row],[KKS]],'[1]DBID Digital'!$B:$E,4,FALSE))</f>
        <v>М-11-4 ВІЗОК ВКОЧЕНИЙ</v>
      </c>
      <c r="J92" s="75">
        <v>14</v>
      </c>
      <c r="K92" s="75" t="s">
        <v>2633</v>
      </c>
      <c r="L92" s="95">
        <v>5</v>
      </c>
      <c r="M92" s="14"/>
      <c r="N92" s="14">
        <v>1</v>
      </c>
      <c r="O92" s="14">
        <v>1</v>
      </c>
      <c r="P92" s="90"/>
      <c r="Q92" s="90"/>
      <c r="R92" s="90"/>
      <c r="S92" s="90"/>
      <c r="T92" s="90"/>
      <c r="U92" s="90"/>
      <c r="V92" s="90"/>
      <c r="W92" s="90"/>
      <c r="X92" s="90"/>
    </row>
    <row r="93" spans="1:24" x14ac:dyDescent="0.3">
      <c r="A93" s="84">
        <v>92</v>
      </c>
      <c r="B93" s="82" t="s">
        <v>2726</v>
      </c>
      <c r="C93" s="85" t="s">
        <v>450</v>
      </c>
      <c r="D93" s="85" t="s">
        <v>2497</v>
      </c>
      <c r="E93" s="24" t="s">
        <v>443</v>
      </c>
      <c r="F93" s="24"/>
      <c r="G93" t="str">
        <f>_xlfn.IFNA(VLOOKUP(Таблица112[[#This Row],[KKS]],'[1]DBID Analog'!$B:$D,3,FALSE),VLOOKUP(Таблица112[[#This Row],[KKS]],'[1]DBID Digital'!$B:$E,4,FALSE))</f>
        <v>М-11-4 РОБОТА ЕЛ ЗАХ</v>
      </c>
    </row>
    <row r="94" spans="1:24" x14ac:dyDescent="0.3">
      <c r="A94" s="84">
        <v>93</v>
      </c>
      <c r="B94" s="82" t="s">
        <v>2727</v>
      </c>
      <c r="C94" s="85" t="s">
        <v>450</v>
      </c>
      <c r="D94" s="85" t="s">
        <v>2498</v>
      </c>
      <c r="E94" s="24" t="s">
        <v>443</v>
      </c>
      <c r="F94" s="24"/>
      <c r="G94" t="str">
        <f>_xlfn.IFNA(VLOOKUP(Таблица112[[#This Row],[KKS]],'[1]DBID Analog'!$B:$D,3,FALSE),VLOOKUP(Таблица112[[#This Row],[KKS]],'[1]DBID Digital'!$B:$E,4,FALSE))</f>
        <v>М-11-4 ГОТОВН КІЛ КЕРУВ</v>
      </c>
    </row>
    <row r="95" spans="1:24" x14ac:dyDescent="0.3">
      <c r="A95" s="84">
        <v>94</v>
      </c>
      <c r="B95" s="82" t="s">
        <v>2728</v>
      </c>
      <c r="C95" s="85" t="s">
        <v>450</v>
      </c>
      <c r="D95" s="85" t="s">
        <v>2499</v>
      </c>
      <c r="E95" s="24" t="s">
        <v>444</v>
      </c>
      <c r="F95" s="24"/>
      <c r="G95" t="str">
        <f>_xlfn.IFNA(VLOOKUP(Таблица112[[#This Row],[KKS]],'[1]DBID Analog'!$B:$D,3,FALSE),VLOOKUP(Таблица112[[#This Row],[KKS]],'[1]DBID Digital'!$B:$E,4,FALSE))</f>
        <v>М-11-4 КВ</v>
      </c>
      <c r="L95" s="86" t="s">
        <v>2983</v>
      </c>
    </row>
    <row r="96" spans="1:24" x14ac:dyDescent="0.3">
      <c r="A96" s="84">
        <v>95</v>
      </c>
      <c r="B96" s="82" t="s">
        <v>2729</v>
      </c>
      <c r="C96" s="85" t="s">
        <v>450</v>
      </c>
      <c r="D96" s="85" t="s">
        <v>2500</v>
      </c>
      <c r="E96" s="24" t="s">
        <v>444</v>
      </c>
      <c r="F96" s="24"/>
      <c r="G96" t="str">
        <f>_xlfn.IFNA(VLOOKUP(Таблица112[[#This Row],[KKS]],'[1]DBID Analog'!$B:$D,3,FALSE),VLOOKUP(Таблица112[[#This Row],[KKS]],'[1]DBID Digital'!$B:$E,4,FALSE))</f>
        <v>М-11-4 КО</v>
      </c>
      <c r="J96" s="81" t="s">
        <v>507</v>
      </c>
      <c r="K96" s="81" t="s">
        <v>1014</v>
      </c>
      <c r="L96" s="81" t="s">
        <v>2482</v>
      </c>
      <c r="M96" s="81" t="s">
        <v>2493</v>
      </c>
      <c r="N96" s="81" t="s">
        <v>510</v>
      </c>
      <c r="O96" s="81" t="s">
        <v>2531</v>
      </c>
      <c r="P96" s="81" t="s">
        <v>2604</v>
      </c>
    </row>
    <row r="97" spans="1:16" x14ac:dyDescent="0.3">
      <c r="A97" s="84">
        <v>96</v>
      </c>
      <c r="B97" s="82" t="s">
        <v>2518</v>
      </c>
      <c r="C97" s="85" t="s">
        <v>450</v>
      </c>
      <c r="D97" s="85" t="s">
        <v>2501</v>
      </c>
      <c r="E97" s="24" t="s">
        <v>497</v>
      </c>
      <c r="F97" s="24"/>
      <c r="G97" t="str">
        <f>_xlfn.IFNA(VLOOKUP(Таблица112[[#This Row],[KKS]],'[1]DBID Analog'!$B:$D,3,FALSE),VLOOKUP(Таблица112[[#This Row],[KKS]],'[1]DBID Digital'!$B:$E,4,FALSE))</f>
        <v>Струм ел/дв М-11-4</v>
      </c>
      <c r="J97" s="14">
        <v>1</v>
      </c>
      <c r="K97" s="79" t="s">
        <v>986</v>
      </c>
      <c r="L97" s="80" t="s">
        <v>2494</v>
      </c>
      <c r="M97" s="80" t="s">
        <v>2486</v>
      </c>
      <c r="N97" s="14" t="s">
        <v>443</v>
      </c>
      <c r="O97" s="75"/>
      <c r="P97" s="14" t="s">
        <v>2610</v>
      </c>
    </row>
    <row r="98" spans="1:16" x14ac:dyDescent="0.3">
      <c r="A98" s="84">
        <v>97</v>
      </c>
      <c r="B98" s="82" t="s">
        <v>2730</v>
      </c>
      <c r="C98" s="85" t="s">
        <v>451</v>
      </c>
      <c r="D98" s="85" t="s">
        <v>2494</v>
      </c>
      <c r="E98" s="24" t="s">
        <v>443</v>
      </c>
      <c r="F98" s="24"/>
      <c r="G98" t="str">
        <f>_xlfn.IFNA(VLOOKUP(Таблица112[[#This Row],[KKS]],'[1]DBID Analog'!$B:$D,3,FALSE),VLOOKUP(Таблица112[[#This Row],[KKS]],'[1]DBID Digital'!$B:$E,4,FALSE))</f>
        <v>М-11-5 ВКЛ</v>
      </c>
      <c r="J98" s="14">
        <v>2</v>
      </c>
      <c r="K98" s="79" t="s">
        <v>987</v>
      </c>
      <c r="L98" s="80" t="s">
        <v>2495</v>
      </c>
      <c r="M98" s="80" t="s">
        <v>2487</v>
      </c>
      <c r="N98" s="14" t="s">
        <v>443</v>
      </c>
      <c r="O98" s="75"/>
      <c r="P98" s="14" t="s">
        <v>2611</v>
      </c>
    </row>
    <row r="99" spans="1:16" x14ac:dyDescent="0.3">
      <c r="A99" s="84">
        <v>98</v>
      </c>
      <c r="B99" s="82" t="s">
        <v>2731</v>
      </c>
      <c r="C99" s="85" t="s">
        <v>451</v>
      </c>
      <c r="D99" s="85" t="s">
        <v>2495</v>
      </c>
      <c r="E99" s="24" t="s">
        <v>443</v>
      </c>
      <c r="F99" s="24"/>
      <c r="G99" t="str">
        <f>_xlfn.IFNA(VLOOKUP(Таблица112[[#This Row],[KKS]],'[1]DBID Analog'!$B:$D,3,FALSE),VLOOKUP(Таблица112[[#This Row],[KKS]],'[1]DBID Digital'!$B:$E,4,FALSE))</f>
        <v>М-11-5 ВІДКЛ</v>
      </c>
      <c r="J99" s="14">
        <v>3</v>
      </c>
      <c r="K99" s="79" t="s">
        <v>2483</v>
      </c>
      <c r="L99" s="80" t="s">
        <v>2496</v>
      </c>
      <c r="M99" s="80" t="s">
        <v>2488</v>
      </c>
      <c r="N99" s="14" t="s">
        <v>443</v>
      </c>
      <c r="O99" s="75"/>
      <c r="P99" s="14" t="s">
        <v>2609</v>
      </c>
    </row>
    <row r="100" spans="1:16" x14ac:dyDescent="0.3">
      <c r="A100" s="84">
        <v>99</v>
      </c>
      <c r="B100" s="82" t="s">
        <v>2732</v>
      </c>
      <c r="C100" s="85" t="s">
        <v>451</v>
      </c>
      <c r="D100" s="85" t="s">
        <v>2496</v>
      </c>
      <c r="E100" s="24" t="s">
        <v>443</v>
      </c>
      <c r="F100" s="24"/>
      <c r="G100" t="str">
        <f>_xlfn.IFNA(VLOOKUP(Таблица112[[#This Row],[KKS]],'[1]DBID Analog'!$B:$D,3,FALSE),VLOOKUP(Таблица112[[#This Row],[KKS]],'[1]DBID Digital'!$B:$E,4,FALSE))</f>
        <v>М-11-5 ВІЗОК ВКОЧЕНИЙ</v>
      </c>
      <c r="J100" s="14">
        <v>4</v>
      </c>
      <c r="K100" s="79" t="s">
        <v>2484</v>
      </c>
      <c r="L100" s="80" t="s">
        <v>2497</v>
      </c>
      <c r="M100" s="80" t="s">
        <v>2489</v>
      </c>
      <c r="N100" s="14" t="s">
        <v>443</v>
      </c>
      <c r="O100" s="75"/>
      <c r="P100" s="14" t="s">
        <v>2608</v>
      </c>
    </row>
    <row r="101" spans="1:16" x14ac:dyDescent="0.3">
      <c r="A101" s="84">
        <v>100</v>
      </c>
      <c r="B101" s="82" t="s">
        <v>2733</v>
      </c>
      <c r="C101" s="85" t="s">
        <v>451</v>
      </c>
      <c r="D101" s="85" t="s">
        <v>2497</v>
      </c>
      <c r="E101" s="24" t="s">
        <v>443</v>
      </c>
      <c r="F101" s="24"/>
      <c r="G101" t="str">
        <f>_xlfn.IFNA(VLOOKUP(Таблица112[[#This Row],[KKS]],'[1]DBID Analog'!$B:$D,3,FALSE),VLOOKUP(Таблица112[[#This Row],[KKS]],'[1]DBID Digital'!$B:$E,4,FALSE))</f>
        <v>М-11-5 РОБОТА ЕЛ ЗАХ</v>
      </c>
      <c r="J101" s="14">
        <v>5</v>
      </c>
      <c r="K101" s="79" t="s">
        <v>2485</v>
      </c>
      <c r="L101" s="80" t="s">
        <v>2498</v>
      </c>
      <c r="M101" s="80" t="s">
        <v>2490</v>
      </c>
      <c r="N101" s="14" t="s">
        <v>443</v>
      </c>
      <c r="O101" s="75"/>
      <c r="P101" s="14" t="s">
        <v>2607</v>
      </c>
    </row>
    <row r="102" spans="1:16" x14ac:dyDescent="0.3">
      <c r="A102" s="84">
        <v>101</v>
      </c>
      <c r="B102" s="82" t="s">
        <v>2734</v>
      </c>
      <c r="C102" s="85" t="s">
        <v>451</v>
      </c>
      <c r="D102" s="85" t="s">
        <v>2498</v>
      </c>
      <c r="E102" s="24" t="s">
        <v>443</v>
      </c>
      <c r="F102" s="24"/>
      <c r="G102" t="str">
        <f>_xlfn.IFNA(VLOOKUP(Таблица112[[#This Row],[KKS]],'[1]DBID Analog'!$B:$D,3,FALSE),VLOOKUP(Таблица112[[#This Row],[KKS]],'[1]DBID Digital'!$B:$E,4,FALSE))</f>
        <v>М-11-5 ГОТОВН КІЛ КЕРУВ</v>
      </c>
      <c r="J102" s="14">
        <v>6</v>
      </c>
      <c r="K102" s="79" t="s">
        <v>985</v>
      </c>
      <c r="L102" s="80" t="s">
        <v>2499</v>
      </c>
      <c r="M102" s="80" t="s">
        <v>2491</v>
      </c>
      <c r="N102" s="14" t="s">
        <v>444</v>
      </c>
      <c r="O102" s="75"/>
      <c r="P102" s="14" t="s">
        <v>2605</v>
      </c>
    </row>
    <row r="103" spans="1:16" x14ac:dyDescent="0.3">
      <c r="A103" s="84">
        <v>102</v>
      </c>
      <c r="B103" s="82" t="s">
        <v>2735</v>
      </c>
      <c r="C103" s="85" t="s">
        <v>451</v>
      </c>
      <c r="D103" s="85" t="s">
        <v>2499</v>
      </c>
      <c r="E103" s="24" t="s">
        <v>444</v>
      </c>
      <c r="F103" s="24"/>
      <c r="G103" t="str">
        <f>_xlfn.IFNA(VLOOKUP(Таблица112[[#This Row],[KKS]],'[1]DBID Analog'!$B:$D,3,FALSE),VLOOKUP(Таблица112[[#This Row],[KKS]],'[1]DBID Digital'!$B:$E,4,FALSE))</f>
        <v>М-11-5 КВ</v>
      </c>
      <c r="J103" s="14">
        <v>7</v>
      </c>
      <c r="K103" s="79" t="s">
        <v>983</v>
      </c>
      <c r="L103" s="80" t="s">
        <v>2500</v>
      </c>
      <c r="M103" s="80" t="s">
        <v>2492</v>
      </c>
      <c r="N103" s="14" t="s">
        <v>444</v>
      </c>
      <c r="O103" s="75"/>
      <c r="P103" s="14" t="s">
        <v>2606</v>
      </c>
    </row>
    <row r="104" spans="1:16" x14ac:dyDescent="0.3">
      <c r="A104" s="84">
        <v>103</v>
      </c>
      <c r="B104" s="82" t="s">
        <v>2736</v>
      </c>
      <c r="C104" s="85" t="s">
        <v>451</v>
      </c>
      <c r="D104" s="85" t="s">
        <v>2500</v>
      </c>
      <c r="E104" s="24" t="s">
        <v>444</v>
      </c>
      <c r="F104" s="24"/>
      <c r="G104" t="str">
        <f>_xlfn.IFNA(VLOOKUP(Таблица112[[#This Row],[KKS]],'[1]DBID Analog'!$B:$D,3,FALSE),VLOOKUP(Таблица112[[#This Row],[KKS]],'[1]DBID Digital'!$B:$E,4,FALSE))</f>
        <v>М-11-5 КО</v>
      </c>
      <c r="J104" s="14">
        <v>8</v>
      </c>
      <c r="K104" s="14" t="s">
        <v>1021</v>
      </c>
      <c r="L104" s="79" t="s">
        <v>2501</v>
      </c>
      <c r="M104" s="14"/>
      <c r="N104" s="14" t="s">
        <v>497</v>
      </c>
      <c r="O104" s="75" t="s">
        <v>2509</v>
      </c>
      <c r="P104" s="14" t="s">
        <v>2630</v>
      </c>
    </row>
    <row r="105" spans="1:16" x14ac:dyDescent="0.3">
      <c r="A105" s="84">
        <v>104</v>
      </c>
      <c r="B105" s="82" t="s">
        <v>2519</v>
      </c>
      <c r="C105" s="85" t="s">
        <v>451</v>
      </c>
      <c r="D105" s="85" t="s">
        <v>2501</v>
      </c>
      <c r="E105" s="24" t="s">
        <v>497</v>
      </c>
      <c r="F105" s="24"/>
      <c r="G105" t="str">
        <f>_xlfn.IFNA(VLOOKUP(Таблица112[[#This Row],[KKS]],'[1]DBID Analog'!$B:$D,3,FALSE),VLOOKUP(Таблица112[[#This Row],[KKS]],'[1]DBID Digital'!$B:$E,4,FALSE))</f>
        <v>Струм ел/дв М-11-5</v>
      </c>
    </row>
    <row r="106" spans="1:16" x14ac:dyDescent="0.3">
      <c r="A106" s="84">
        <v>105</v>
      </c>
      <c r="B106" s="82" t="s">
        <v>2737</v>
      </c>
      <c r="C106" s="85" t="s">
        <v>452</v>
      </c>
      <c r="D106" s="85" t="s">
        <v>2494</v>
      </c>
      <c r="E106" s="24" t="s">
        <v>443</v>
      </c>
      <c r="F106" s="24"/>
      <c r="G106" t="str">
        <f>_xlfn.IFNA(VLOOKUP(Таблица112[[#This Row],[KKS]],'[1]DBID Analog'!$B:$D,3,FALSE),VLOOKUP(Таблица112[[#This Row],[KKS]],'[1]DBID Digital'!$B:$E,4,FALSE))</f>
        <v>М-11-6 ВКЛ</v>
      </c>
      <c r="L106" s="86" t="s">
        <v>2984</v>
      </c>
    </row>
    <row r="107" spans="1:16" x14ac:dyDescent="0.3">
      <c r="A107" s="84">
        <v>106</v>
      </c>
      <c r="B107" s="82" t="s">
        <v>2738</v>
      </c>
      <c r="C107" s="85" t="s">
        <v>452</v>
      </c>
      <c r="D107" s="85" t="s">
        <v>2495</v>
      </c>
      <c r="E107" s="24" t="s">
        <v>443</v>
      </c>
      <c r="F107" s="24"/>
      <c r="G107" t="str">
        <f>_xlfn.IFNA(VLOOKUP(Таблица112[[#This Row],[KKS]],'[1]DBID Analog'!$B:$D,3,FALSE),VLOOKUP(Таблица112[[#This Row],[KKS]],'[1]DBID Digital'!$B:$E,4,FALSE))</f>
        <v>М-11-6 ВІДКЛ</v>
      </c>
      <c r="J107" s="81" t="s">
        <v>507</v>
      </c>
      <c r="K107" s="81" t="s">
        <v>1014</v>
      </c>
      <c r="L107" s="81" t="s">
        <v>2482</v>
      </c>
      <c r="M107" s="81" t="s">
        <v>2493</v>
      </c>
      <c r="N107" s="81" t="s">
        <v>510</v>
      </c>
      <c r="O107" s="81" t="s">
        <v>2531</v>
      </c>
      <c r="P107" s="81" t="s">
        <v>2604</v>
      </c>
    </row>
    <row r="108" spans="1:16" x14ac:dyDescent="0.3">
      <c r="A108" s="84">
        <v>107</v>
      </c>
      <c r="B108" s="82" t="s">
        <v>2739</v>
      </c>
      <c r="C108" s="85" t="s">
        <v>452</v>
      </c>
      <c r="D108" s="85" t="s">
        <v>2496</v>
      </c>
      <c r="E108" s="24" t="s">
        <v>443</v>
      </c>
      <c r="F108" s="24"/>
      <c r="G108" t="str">
        <f>_xlfn.IFNA(VLOOKUP(Таблица112[[#This Row],[KKS]],'[1]DBID Analog'!$B:$D,3,FALSE),VLOOKUP(Таблица112[[#This Row],[KKS]],'[1]DBID Digital'!$B:$E,4,FALSE))</f>
        <v>М-11-6 ВІЗОК ВКОЧЕНИЙ</v>
      </c>
      <c r="J108" s="75">
        <v>1</v>
      </c>
      <c r="K108" s="79" t="s">
        <v>986</v>
      </c>
      <c r="L108" s="80" t="s">
        <v>2494</v>
      </c>
      <c r="M108" s="80" t="s">
        <v>2486</v>
      </c>
      <c r="N108" s="14" t="s">
        <v>443</v>
      </c>
      <c r="O108" s="14"/>
      <c r="P108" s="14" t="s">
        <v>2607</v>
      </c>
    </row>
    <row r="109" spans="1:16" x14ac:dyDescent="0.3">
      <c r="A109" s="84">
        <v>108</v>
      </c>
      <c r="B109" s="82" t="s">
        <v>2740</v>
      </c>
      <c r="C109" s="85" t="s">
        <v>452</v>
      </c>
      <c r="D109" s="85" t="s">
        <v>2497</v>
      </c>
      <c r="E109" s="24" t="s">
        <v>443</v>
      </c>
      <c r="F109" s="24"/>
      <c r="G109" t="str">
        <f>_xlfn.IFNA(VLOOKUP(Таблица112[[#This Row],[KKS]],'[1]DBID Analog'!$B:$D,3,FALSE),VLOOKUP(Таблица112[[#This Row],[KKS]],'[1]DBID Digital'!$B:$E,4,FALSE))</f>
        <v>М-11-6 РОБОТА ЕЛ ЗАХ</v>
      </c>
      <c r="J109" s="75">
        <v>2</v>
      </c>
      <c r="K109" s="79" t="s">
        <v>987</v>
      </c>
      <c r="L109" s="80" t="s">
        <v>2495</v>
      </c>
      <c r="M109" s="80" t="s">
        <v>2487</v>
      </c>
      <c r="N109" s="14" t="s">
        <v>443</v>
      </c>
      <c r="O109" s="14"/>
      <c r="P109" s="14" t="s">
        <v>2608</v>
      </c>
    </row>
    <row r="110" spans="1:16" x14ac:dyDescent="0.3">
      <c r="A110" s="84">
        <v>109</v>
      </c>
      <c r="B110" s="82" t="s">
        <v>2741</v>
      </c>
      <c r="C110" s="85" t="s">
        <v>452</v>
      </c>
      <c r="D110" s="85" t="s">
        <v>2498</v>
      </c>
      <c r="E110" s="24" t="s">
        <v>443</v>
      </c>
      <c r="F110" s="24"/>
      <c r="G110" t="str">
        <f>_xlfn.IFNA(VLOOKUP(Таблица112[[#This Row],[KKS]],'[1]DBID Analog'!$B:$D,3,FALSE),VLOOKUP(Таблица112[[#This Row],[KKS]],'[1]DBID Digital'!$B:$E,4,FALSE))</f>
        <v>М-11-6 ГОТОВН КІЛ КЕРУВ</v>
      </c>
      <c r="J110" s="75">
        <v>3</v>
      </c>
      <c r="K110" s="79" t="s">
        <v>2559</v>
      </c>
      <c r="L110" s="14" t="s">
        <v>2562</v>
      </c>
      <c r="M110" s="14" t="s">
        <v>2563</v>
      </c>
      <c r="N110" s="14" t="s">
        <v>443</v>
      </c>
      <c r="O110" s="14"/>
      <c r="P110" s="14" t="s">
        <v>2609</v>
      </c>
    </row>
    <row r="111" spans="1:16" x14ac:dyDescent="0.3">
      <c r="A111" s="84">
        <v>110</v>
      </c>
      <c r="B111" s="82" t="s">
        <v>2742</v>
      </c>
      <c r="C111" s="85" t="s">
        <v>452</v>
      </c>
      <c r="D111" s="85" t="s">
        <v>2499</v>
      </c>
      <c r="E111" s="24" t="s">
        <v>444</v>
      </c>
      <c r="F111" s="24"/>
      <c r="G111" t="str">
        <f>_xlfn.IFNA(VLOOKUP(Таблица112[[#This Row],[KKS]],'[1]DBID Analog'!$B:$D,3,FALSE),VLOOKUP(Таблица112[[#This Row],[KKS]],'[1]DBID Digital'!$B:$E,4,FALSE))</f>
        <v>М-11-6 КВ</v>
      </c>
      <c r="J111" s="75">
        <v>4</v>
      </c>
      <c r="K111" s="79" t="s">
        <v>2550</v>
      </c>
      <c r="L111" s="80" t="s">
        <v>2503</v>
      </c>
      <c r="M111" s="80" t="s">
        <v>2506</v>
      </c>
      <c r="N111" s="14" t="s">
        <v>443</v>
      </c>
      <c r="O111" s="14"/>
      <c r="P111" s="14" t="s">
        <v>2608</v>
      </c>
    </row>
    <row r="112" spans="1:16" x14ac:dyDescent="0.3">
      <c r="A112" s="84">
        <v>111</v>
      </c>
      <c r="B112" s="82" t="s">
        <v>2743</v>
      </c>
      <c r="C112" s="85" t="s">
        <v>452</v>
      </c>
      <c r="D112" s="85" t="s">
        <v>2500</v>
      </c>
      <c r="E112" s="24" t="s">
        <v>444</v>
      </c>
      <c r="F112" s="24"/>
      <c r="G112" t="str">
        <f>_xlfn.IFNA(VLOOKUP(Таблица112[[#This Row],[KKS]],'[1]DBID Analog'!$B:$D,3,FALSE),VLOOKUP(Таблица112[[#This Row],[KKS]],'[1]DBID Digital'!$B:$E,4,FALSE))</f>
        <v>М-11-6 КО</v>
      </c>
      <c r="J112" s="75">
        <v>5</v>
      </c>
      <c r="K112" s="79" t="s">
        <v>1028</v>
      </c>
      <c r="L112" s="79" t="s">
        <v>2560</v>
      </c>
      <c r="M112" s="14" t="s">
        <v>2561</v>
      </c>
      <c r="N112" s="14" t="s">
        <v>443</v>
      </c>
      <c r="O112" s="14"/>
      <c r="P112" s="14" t="s">
        <v>2610</v>
      </c>
    </row>
    <row r="113" spans="1:16" x14ac:dyDescent="0.3">
      <c r="A113" s="84">
        <v>112</v>
      </c>
      <c r="B113" s="82" t="s">
        <v>2520</v>
      </c>
      <c r="C113" s="85" t="s">
        <v>452</v>
      </c>
      <c r="D113" s="85" t="s">
        <v>2501</v>
      </c>
      <c r="E113" s="24" t="s">
        <v>497</v>
      </c>
      <c r="F113" s="24"/>
      <c r="G113" t="str">
        <f>_xlfn.IFNA(VLOOKUP(Таблица112[[#This Row],[KKS]],'[1]DBID Analog'!$B:$D,3,FALSE),VLOOKUP(Таблица112[[#This Row],[KKS]],'[1]DBID Digital'!$B:$E,4,FALSE))</f>
        <v>Струм ел/дв М-11-6</v>
      </c>
      <c r="J113" s="75">
        <v>6</v>
      </c>
      <c r="K113" s="79" t="s">
        <v>985</v>
      </c>
      <c r="L113" s="80" t="s">
        <v>2499</v>
      </c>
      <c r="M113" s="80" t="s">
        <v>2491</v>
      </c>
      <c r="N113" s="14" t="s">
        <v>444</v>
      </c>
      <c r="O113" s="14"/>
      <c r="P113" s="14" t="s">
        <v>2605</v>
      </c>
    </row>
    <row r="114" spans="1:16" x14ac:dyDescent="0.3">
      <c r="A114" s="84">
        <v>113</v>
      </c>
      <c r="B114" s="82" t="s">
        <v>2744</v>
      </c>
      <c r="C114" s="85" t="s">
        <v>454</v>
      </c>
      <c r="D114" s="85" t="s">
        <v>2494</v>
      </c>
      <c r="E114" s="24" t="s">
        <v>443</v>
      </c>
      <c r="F114" s="24"/>
      <c r="G114" t="str">
        <f>_xlfn.IFNA(VLOOKUP(Таблица112[[#This Row],[KKS]],'[1]DBID Analog'!$B:$D,3,FALSE),VLOOKUP(Таблица112[[#This Row],[KKS]],'[1]DBID Digital'!$B:$E,4,FALSE))</f>
        <v>МВ-11-1 ВКЛ</v>
      </c>
      <c r="J114" s="75">
        <v>7</v>
      </c>
      <c r="K114" s="79" t="s">
        <v>983</v>
      </c>
      <c r="L114" s="80" t="s">
        <v>2500</v>
      </c>
      <c r="M114" s="80" t="s">
        <v>2492</v>
      </c>
      <c r="N114" s="14" t="s">
        <v>444</v>
      </c>
      <c r="O114" s="14"/>
      <c r="P114" s="14" t="s">
        <v>2606</v>
      </c>
    </row>
    <row r="115" spans="1:16" x14ac:dyDescent="0.3">
      <c r="A115" s="84">
        <v>114</v>
      </c>
      <c r="B115" s="82" t="s">
        <v>2745</v>
      </c>
      <c r="C115" s="85" t="s">
        <v>454</v>
      </c>
      <c r="D115" s="85" t="s">
        <v>2495</v>
      </c>
      <c r="E115" s="24" t="s">
        <v>443</v>
      </c>
      <c r="F115" s="24"/>
      <c r="G115" t="str">
        <f>_xlfn.IFNA(VLOOKUP(Таблица112[[#This Row],[KKS]],'[1]DBID Analog'!$B:$D,3,FALSE),VLOOKUP(Таблица112[[#This Row],[KKS]],'[1]DBID Digital'!$B:$E,4,FALSE))</f>
        <v>МВ-11-1 ВІДКЛ</v>
      </c>
      <c r="J115" s="75">
        <v>8</v>
      </c>
      <c r="K115" s="79" t="s">
        <v>1027</v>
      </c>
      <c r="L115" s="79" t="s">
        <v>2596</v>
      </c>
      <c r="M115" s="79" t="s">
        <v>2597</v>
      </c>
      <c r="N115" s="14" t="s">
        <v>444</v>
      </c>
      <c r="O115" s="14"/>
      <c r="P115" s="14" t="s">
        <v>2614</v>
      </c>
    </row>
    <row r="116" spans="1:16" x14ac:dyDescent="0.3">
      <c r="A116" s="84">
        <v>115</v>
      </c>
      <c r="B116" s="82" t="s">
        <v>2746</v>
      </c>
      <c r="C116" s="85" t="s">
        <v>454</v>
      </c>
      <c r="D116" s="85" t="s">
        <v>2496</v>
      </c>
      <c r="E116" s="24" t="s">
        <v>443</v>
      </c>
      <c r="F116" s="24"/>
      <c r="G116" t="str">
        <f>_xlfn.IFNA(VLOOKUP(Таблица112[[#This Row],[KKS]],'[1]DBID Analog'!$B:$D,3,FALSE),VLOOKUP(Таблица112[[#This Row],[KKS]],'[1]DBID Digital'!$B:$E,4,FALSE))</f>
        <v>МВ-11-1 ВІЗОК ВКОЧЕНИЙ</v>
      </c>
      <c r="J116" s="75">
        <v>9</v>
      </c>
      <c r="K116" s="75" t="s">
        <v>1021</v>
      </c>
      <c r="L116" s="79" t="s">
        <v>2504</v>
      </c>
      <c r="M116" s="14"/>
      <c r="N116" s="14" t="s">
        <v>497</v>
      </c>
      <c r="O116" s="14" t="s">
        <v>2509</v>
      </c>
      <c r="P116" s="14" t="s">
        <v>2630</v>
      </c>
    </row>
    <row r="117" spans="1:16" x14ac:dyDescent="0.3">
      <c r="A117" s="84">
        <v>116</v>
      </c>
      <c r="B117" s="82" t="s">
        <v>2747</v>
      </c>
      <c r="C117" s="85" t="s">
        <v>454</v>
      </c>
      <c r="D117" s="85" t="s">
        <v>2497</v>
      </c>
      <c r="E117" s="24" t="s">
        <v>443</v>
      </c>
      <c r="F117" s="24"/>
      <c r="G117" t="str">
        <f>_xlfn.IFNA(VLOOKUP(Таблица112[[#This Row],[KKS]],'[1]DBID Analog'!$B:$D,3,FALSE),VLOOKUP(Таблица112[[#This Row],[KKS]],'[1]DBID Digital'!$B:$E,4,FALSE))</f>
        <v>МВ-11-1 РОБОТА ЕЛ ЗАХ</v>
      </c>
      <c r="J117" s="75">
        <v>10</v>
      </c>
      <c r="K117" s="79" t="s">
        <v>2507</v>
      </c>
      <c r="L117" s="80" t="s">
        <v>2640</v>
      </c>
      <c r="M117" s="80"/>
      <c r="N117" s="14" t="s">
        <v>2505</v>
      </c>
      <c r="O117" s="14" t="s">
        <v>2510</v>
      </c>
      <c r="P117" s="14" t="s">
        <v>2631</v>
      </c>
    </row>
    <row r="118" spans="1:16" x14ac:dyDescent="0.3">
      <c r="A118" s="84">
        <v>117</v>
      </c>
      <c r="B118" s="82" t="s">
        <v>2748</v>
      </c>
      <c r="C118" s="85" t="s">
        <v>454</v>
      </c>
      <c r="D118" s="85" t="s">
        <v>2498</v>
      </c>
      <c r="E118" s="24" t="s">
        <v>443</v>
      </c>
      <c r="F118" s="24"/>
      <c r="G118" t="str">
        <f>_xlfn.IFNA(VLOOKUP(Таблица112[[#This Row],[KKS]],'[1]DBID Analog'!$B:$D,3,FALSE),VLOOKUP(Таблица112[[#This Row],[KKS]],'[1]DBID Digital'!$B:$E,4,FALSE))</f>
        <v>МВ-11-1 ГОТОВН КІЛ КЕРУВ</v>
      </c>
      <c r="J118" s="75">
        <v>11</v>
      </c>
      <c r="K118" s="75" t="s">
        <v>1021</v>
      </c>
      <c r="L118" s="80" t="s">
        <v>2508</v>
      </c>
      <c r="M118" s="80"/>
      <c r="N118" s="14" t="s">
        <v>497</v>
      </c>
      <c r="O118" s="14" t="s">
        <v>2510</v>
      </c>
      <c r="P118" s="14" t="s">
        <v>2632</v>
      </c>
    </row>
    <row r="119" spans="1:16" x14ac:dyDescent="0.3">
      <c r="A119" s="84">
        <v>118</v>
      </c>
      <c r="B119" s="82" t="s">
        <v>2749</v>
      </c>
      <c r="C119" s="85" t="s">
        <v>454</v>
      </c>
      <c r="D119" s="85" t="s">
        <v>2499</v>
      </c>
      <c r="E119" s="24" t="s">
        <v>444</v>
      </c>
      <c r="F119" s="24"/>
      <c r="G119" t="str">
        <f>_xlfn.IFNA(VLOOKUP(Таблица112[[#This Row],[KKS]],'[1]DBID Analog'!$B:$D,3,FALSE),VLOOKUP(Таблица112[[#This Row],[KKS]],'[1]DBID Digital'!$B:$E,4,FALSE))</f>
        <v>МВ-11-1 КВ</v>
      </c>
    </row>
    <row r="120" spans="1:16" x14ac:dyDescent="0.3">
      <c r="A120" s="84">
        <v>119</v>
      </c>
      <c r="B120" s="82" t="s">
        <v>2750</v>
      </c>
      <c r="C120" s="85" t="s">
        <v>454</v>
      </c>
      <c r="D120" s="85" t="s">
        <v>2500</v>
      </c>
      <c r="E120" s="24" t="s">
        <v>444</v>
      </c>
      <c r="F120" s="24"/>
      <c r="G120" t="str">
        <f>_xlfn.IFNA(VLOOKUP(Таблица112[[#This Row],[KKS]],'[1]DBID Analog'!$B:$D,3,FALSE),VLOOKUP(Таблица112[[#This Row],[KKS]],'[1]DBID Digital'!$B:$E,4,FALSE))</f>
        <v>МВ-11-1 КО</v>
      </c>
    </row>
    <row r="121" spans="1:16" x14ac:dyDescent="0.3">
      <c r="A121" s="84">
        <v>120</v>
      </c>
      <c r="B121" s="82" t="s">
        <v>2521</v>
      </c>
      <c r="C121" s="85" t="s">
        <v>454</v>
      </c>
      <c r="D121" s="85" t="s">
        <v>2501</v>
      </c>
      <c r="E121" s="24" t="s">
        <v>497</v>
      </c>
      <c r="F121" s="24"/>
      <c r="G121" t="str">
        <f>_xlfn.IFNA(VLOOKUP(Таблица112[[#This Row],[KKS]],'[1]DBID Analog'!$B:$D,3,FALSE),VLOOKUP(Таблица112[[#This Row],[KKS]],'[1]DBID Digital'!$B:$E,4,FALSE))</f>
        <v>Струм ел/дв МВ-11-1</v>
      </c>
    </row>
    <row r="122" spans="1:16" x14ac:dyDescent="0.3">
      <c r="A122" s="84">
        <v>121</v>
      </c>
      <c r="B122" s="82" t="s">
        <v>2751</v>
      </c>
      <c r="C122" s="85" t="s">
        <v>455</v>
      </c>
      <c r="D122" s="85" t="s">
        <v>2494</v>
      </c>
      <c r="E122" s="24" t="s">
        <v>443</v>
      </c>
      <c r="F122" s="24"/>
      <c r="G122" t="str">
        <f>_xlfn.IFNA(VLOOKUP(Таблица112[[#This Row],[KKS]],'[1]DBID Analog'!$B:$D,3,FALSE),VLOOKUP(Таблица112[[#This Row],[KKS]],'[1]DBID Digital'!$B:$E,4,FALSE))</f>
        <v>МВ-11-2 ВКЛ</v>
      </c>
    </row>
    <row r="123" spans="1:16" x14ac:dyDescent="0.3">
      <c r="A123" s="84">
        <v>122</v>
      </c>
      <c r="B123" s="82" t="s">
        <v>2752</v>
      </c>
      <c r="C123" s="85" t="s">
        <v>455</v>
      </c>
      <c r="D123" s="85" t="s">
        <v>2495</v>
      </c>
      <c r="E123" s="24" t="s">
        <v>443</v>
      </c>
      <c r="F123" s="24"/>
      <c r="G123" t="str">
        <f>_xlfn.IFNA(VLOOKUP(Таблица112[[#This Row],[KKS]],'[1]DBID Analog'!$B:$D,3,FALSE),VLOOKUP(Таблица112[[#This Row],[KKS]],'[1]DBID Digital'!$B:$E,4,FALSE))</f>
        <v>МВ-11-2 ВІДКЛ</v>
      </c>
    </row>
    <row r="124" spans="1:16" x14ac:dyDescent="0.3">
      <c r="A124" s="84">
        <v>123</v>
      </c>
      <c r="B124" s="82" t="s">
        <v>2753</v>
      </c>
      <c r="C124" s="85" t="s">
        <v>455</v>
      </c>
      <c r="D124" s="85" t="s">
        <v>2496</v>
      </c>
      <c r="E124" s="24" t="s">
        <v>443</v>
      </c>
      <c r="F124" s="24"/>
      <c r="G124" t="str">
        <f>_xlfn.IFNA(VLOOKUP(Таблица112[[#This Row],[KKS]],'[1]DBID Analog'!$B:$D,3,FALSE),VLOOKUP(Таблица112[[#This Row],[KKS]],'[1]DBID Digital'!$B:$E,4,FALSE))</f>
        <v>МВ-11-2 ВІЗОК ВКОЧЕНИЙ</v>
      </c>
    </row>
    <row r="125" spans="1:16" x14ac:dyDescent="0.3">
      <c r="A125" s="84">
        <v>124</v>
      </c>
      <c r="B125" s="82" t="s">
        <v>2754</v>
      </c>
      <c r="C125" s="85" t="s">
        <v>455</v>
      </c>
      <c r="D125" s="85" t="s">
        <v>2497</v>
      </c>
      <c r="E125" s="24" t="s">
        <v>443</v>
      </c>
      <c r="F125" s="24"/>
      <c r="G125" t="str">
        <f>_xlfn.IFNA(VLOOKUP(Таблица112[[#This Row],[KKS]],'[1]DBID Analog'!$B:$D,3,FALSE),VLOOKUP(Таблица112[[#This Row],[KKS]],'[1]DBID Digital'!$B:$E,4,FALSE))</f>
        <v>МВ-11-2 РОБОТА ЕЛ ЗАХ</v>
      </c>
    </row>
    <row r="126" spans="1:16" x14ac:dyDescent="0.3">
      <c r="A126" s="84">
        <v>125</v>
      </c>
      <c r="B126" s="82" t="s">
        <v>2755</v>
      </c>
      <c r="C126" s="85" t="s">
        <v>455</v>
      </c>
      <c r="D126" s="85" t="s">
        <v>2498</v>
      </c>
      <c r="E126" s="24" t="s">
        <v>443</v>
      </c>
      <c r="F126" s="24"/>
      <c r="G126" t="str">
        <f>_xlfn.IFNA(VLOOKUP(Таблица112[[#This Row],[KKS]],'[1]DBID Analog'!$B:$D,3,FALSE),VLOOKUP(Таблица112[[#This Row],[KKS]],'[1]DBID Digital'!$B:$E,4,FALSE))</f>
        <v>МВ-11-2 ГОТОВН КІЛ КЕРУВ</v>
      </c>
    </row>
    <row r="127" spans="1:16" x14ac:dyDescent="0.3">
      <c r="A127" s="84">
        <v>126</v>
      </c>
      <c r="B127" s="82" t="s">
        <v>2756</v>
      </c>
      <c r="C127" s="85" t="s">
        <v>455</v>
      </c>
      <c r="D127" s="85" t="s">
        <v>2499</v>
      </c>
      <c r="E127" s="24" t="s">
        <v>444</v>
      </c>
      <c r="F127" s="24"/>
      <c r="G127" t="str">
        <f>_xlfn.IFNA(VLOOKUP(Таблица112[[#This Row],[KKS]],'[1]DBID Analog'!$B:$D,3,FALSE),VLOOKUP(Таблица112[[#This Row],[KKS]],'[1]DBID Digital'!$B:$E,4,FALSE))</f>
        <v>МВ-11-2 КВ</v>
      </c>
    </row>
    <row r="128" spans="1:16" x14ac:dyDescent="0.3">
      <c r="A128" s="84">
        <v>127</v>
      </c>
      <c r="B128" s="82" t="s">
        <v>2757</v>
      </c>
      <c r="C128" s="85" t="s">
        <v>455</v>
      </c>
      <c r="D128" s="85" t="s">
        <v>2500</v>
      </c>
      <c r="E128" s="24" t="s">
        <v>444</v>
      </c>
      <c r="F128" s="24"/>
      <c r="G128" t="str">
        <f>_xlfn.IFNA(VLOOKUP(Таблица112[[#This Row],[KKS]],'[1]DBID Analog'!$B:$D,3,FALSE),VLOOKUP(Таблица112[[#This Row],[KKS]],'[1]DBID Digital'!$B:$E,4,FALSE))</f>
        <v>МВ-11-2 КО</v>
      </c>
    </row>
    <row r="129" spans="1:7" x14ac:dyDescent="0.3">
      <c r="A129" s="84">
        <v>128</v>
      </c>
      <c r="B129" s="82" t="s">
        <v>2522</v>
      </c>
      <c r="C129" s="85" t="s">
        <v>455</v>
      </c>
      <c r="D129" s="85" t="s">
        <v>2501</v>
      </c>
      <c r="E129" s="24" t="s">
        <v>497</v>
      </c>
      <c r="F129" s="24"/>
      <c r="G129" t="str">
        <f>_xlfn.IFNA(VLOOKUP(Таблица112[[#This Row],[KKS]],'[1]DBID Analog'!$B:$D,3,FALSE),VLOOKUP(Таблица112[[#This Row],[KKS]],'[1]DBID Digital'!$B:$E,4,FALSE))</f>
        <v>Струм ел/дв МВ-11-2</v>
      </c>
    </row>
    <row r="130" spans="1:7" x14ac:dyDescent="0.3">
      <c r="A130" s="84">
        <v>129</v>
      </c>
      <c r="B130" s="82" t="s">
        <v>2758</v>
      </c>
      <c r="C130" s="85" t="s">
        <v>456</v>
      </c>
      <c r="D130" s="85" t="s">
        <v>2494</v>
      </c>
      <c r="E130" s="24" t="s">
        <v>443</v>
      </c>
      <c r="F130" s="24"/>
      <c r="G130" t="str">
        <f>_xlfn.IFNA(VLOOKUP(Таблица112[[#This Row],[KKS]],'[1]DBID Analog'!$B:$D,3,FALSE),VLOOKUP(Таблица112[[#This Row],[KKS]],'[1]DBID Digital'!$B:$E,4,FALSE))</f>
        <v>МВ-11-3 ВКЛ</v>
      </c>
    </row>
    <row r="131" spans="1:7" x14ac:dyDescent="0.3">
      <c r="A131" s="84">
        <v>130</v>
      </c>
      <c r="B131" s="82" t="s">
        <v>2759</v>
      </c>
      <c r="C131" s="85" t="s">
        <v>456</v>
      </c>
      <c r="D131" s="85" t="s">
        <v>2495</v>
      </c>
      <c r="E131" s="24" t="s">
        <v>443</v>
      </c>
      <c r="F131" s="24"/>
      <c r="G131" t="str">
        <f>_xlfn.IFNA(VLOOKUP(Таблица112[[#This Row],[KKS]],'[1]DBID Analog'!$B:$D,3,FALSE),VLOOKUP(Таблица112[[#This Row],[KKS]],'[1]DBID Digital'!$B:$E,4,FALSE))</f>
        <v>МВ-11-3 ВІДКЛ</v>
      </c>
    </row>
    <row r="132" spans="1:7" x14ac:dyDescent="0.3">
      <c r="A132" s="84">
        <v>131</v>
      </c>
      <c r="B132" s="82" t="s">
        <v>2760</v>
      </c>
      <c r="C132" s="85" t="s">
        <v>456</v>
      </c>
      <c r="D132" s="85" t="s">
        <v>2496</v>
      </c>
      <c r="E132" s="24" t="s">
        <v>443</v>
      </c>
      <c r="F132" s="24"/>
      <c r="G132" t="str">
        <f>_xlfn.IFNA(VLOOKUP(Таблица112[[#This Row],[KKS]],'[1]DBID Analog'!$B:$D,3,FALSE),VLOOKUP(Таблица112[[#This Row],[KKS]],'[1]DBID Digital'!$B:$E,4,FALSE))</f>
        <v>МВ-11-3 ВІЗОК ВКОЧЕНИЙ</v>
      </c>
    </row>
    <row r="133" spans="1:7" x14ac:dyDescent="0.3">
      <c r="A133" s="84">
        <v>132</v>
      </c>
      <c r="B133" s="82" t="s">
        <v>2761</v>
      </c>
      <c r="C133" s="85" t="s">
        <v>456</v>
      </c>
      <c r="D133" s="85" t="s">
        <v>2497</v>
      </c>
      <c r="E133" s="24" t="s">
        <v>443</v>
      </c>
      <c r="F133" s="24"/>
      <c r="G133" t="str">
        <f>_xlfn.IFNA(VLOOKUP(Таблица112[[#This Row],[KKS]],'[1]DBID Analog'!$B:$D,3,FALSE),VLOOKUP(Таблица112[[#This Row],[KKS]],'[1]DBID Digital'!$B:$E,4,FALSE))</f>
        <v>МВ-11-3 РОБОТА ЕЛ ЗАХ</v>
      </c>
    </row>
    <row r="134" spans="1:7" x14ac:dyDescent="0.3">
      <c r="A134" s="84">
        <v>133</v>
      </c>
      <c r="B134" s="82" t="s">
        <v>2762</v>
      </c>
      <c r="C134" s="85" t="s">
        <v>456</v>
      </c>
      <c r="D134" s="85" t="s">
        <v>2498</v>
      </c>
      <c r="E134" s="24" t="s">
        <v>443</v>
      </c>
      <c r="F134" s="24"/>
      <c r="G134" t="str">
        <f>_xlfn.IFNA(VLOOKUP(Таблица112[[#This Row],[KKS]],'[1]DBID Analog'!$B:$D,3,FALSE),VLOOKUP(Таблица112[[#This Row],[KKS]],'[1]DBID Digital'!$B:$E,4,FALSE))</f>
        <v>МВ-11-3 ГОТОВН КІЛ КЕРУВ</v>
      </c>
    </row>
    <row r="135" spans="1:7" x14ac:dyDescent="0.3">
      <c r="A135" s="84">
        <v>134</v>
      </c>
      <c r="B135" s="82" t="s">
        <v>2763</v>
      </c>
      <c r="C135" s="85" t="s">
        <v>456</v>
      </c>
      <c r="D135" s="85" t="s">
        <v>2499</v>
      </c>
      <c r="E135" s="24" t="s">
        <v>444</v>
      </c>
      <c r="F135" s="24"/>
      <c r="G135" t="str">
        <f>_xlfn.IFNA(VLOOKUP(Таблица112[[#This Row],[KKS]],'[1]DBID Analog'!$B:$D,3,FALSE),VLOOKUP(Таблица112[[#This Row],[KKS]],'[1]DBID Digital'!$B:$E,4,FALSE))</f>
        <v>МВ-11-3 КВ</v>
      </c>
    </row>
    <row r="136" spans="1:7" x14ac:dyDescent="0.3">
      <c r="A136" s="84">
        <v>135</v>
      </c>
      <c r="B136" s="82" t="s">
        <v>2764</v>
      </c>
      <c r="C136" s="85" t="s">
        <v>456</v>
      </c>
      <c r="D136" s="85" t="s">
        <v>2500</v>
      </c>
      <c r="E136" s="24" t="s">
        <v>444</v>
      </c>
      <c r="F136" s="24"/>
      <c r="G136" t="str">
        <f>_xlfn.IFNA(VLOOKUP(Таблица112[[#This Row],[KKS]],'[1]DBID Analog'!$B:$D,3,FALSE),VLOOKUP(Таблица112[[#This Row],[KKS]],'[1]DBID Digital'!$B:$E,4,FALSE))</f>
        <v>МВ-11-3 КО</v>
      </c>
    </row>
    <row r="137" spans="1:7" x14ac:dyDescent="0.3">
      <c r="A137" s="84">
        <v>136</v>
      </c>
      <c r="B137" s="82" t="s">
        <v>2523</v>
      </c>
      <c r="C137" s="85" t="s">
        <v>456</v>
      </c>
      <c r="D137" s="85" t="s">
        <v>2501</v>
      </c>
      <c r="E137" s="24" t="s">
        <v>497</v>
      </c>
      <c r="F137" s="24"/>
      <c r="G137" t="str">
        <f>_xlfn.IFNA(VLOOKUP(Таблица112[[#This Row],[KKS]],'[1]DBID Analog'!$B:$D,3,FALSE),VLOOKUP(Таблица112[[#This Row],[KKS]],'[1]DBID Digital'!$B:$E,4,FALSE))</f>
        <v>Струм ел/дв МВ-11-3</v>
      </c>
    </row>
    <row r="138" spans="1:7" x14ac:dyDescent="0.3">
      <c r="A138" s="84">
        <v>137</v>
      </c>
      <c r="B138" s="82" t="s">
        <v>2765</v>
      </c>
      <c r="C138" s="85" t="s">
        <v>457</v>
      </c>
      <c r="D138" s="85" t="s">
        <v>2494</v>
      </c>
      <c r="E138" s="24" t="s">
        <v>443</v>
      </c>
      <c r="F138" s="24"/>
      <c r="G138" t="str">
        <f>_xlfn.IFNA(VLOOKUP(Таблица112[[#This Row],[KKS]],'[1]DBID Analog'!$B:$D,3,FALSE),VLOOKUP(Таблица112[[#This Row],[KKS]],'[1]DBID Digital'!$B:$E,4,FALSE))</f>
        <v>МВ-11-4 ВКЛ</v>
      </c>
    </row>
    <row r="139" spans="1:7" x14ac:dyDescent="0.3">
      <c r="A139" s="84">
        <v>138</v>
      </c>
      <c r="B139" s="82" t="s">
        <v>2766</v>
      </c>
      <c r="C139" s="85" t="s">
        <v>457</v>
      </c>
      <c r="D139" s="85" t="s">
        <v>2495</v>
      </c>
      <c r="E139" s="24" t="s">
        <v>443</v>
      </c>
      <c r="F139" s="24"/>
      <c r="G139" t="str">
        <f>_xlfn.IFNA(VLOOKUP(Таблица112[[#This Row],[KKS]],'[1]DBID Analog'!$B:$D,3,FALSE),VLOOKUP(Таблица112[[#This Row],[KKS]],'[1]DBID Digital'!$B:$E,4,FALSE))</f>
        <v>МВ-11-4 ВІДКЛ</v>
      </c>
    </row>
    <row r="140" spans="1:7" x14ac:dyDescent="0.3">
      <c r="A140" s="84">
        <v>139</v>
      </c>
      <c r="B140" s="82" t="s">
        <v>2767</v>
      </c>
      <c r="C140" s="85" t="s">
        <v>457</v>
      </c>
      <c r="D140" s="85" t="s">
        <v>2496</v>
      </c>
      <c r="E140" s="24" t="s">
        <v>443</v>
      </c>
      <c r="F140" s="24"/>
      <c r="G140" t="str">
        <f>_xlfn.IFNA(VLOOKUP(Таблица112[[#This Row],[KKS]],'[1]DBID Analog'!$B:$D,3,FALSE),VLOOKUP(Таблица112[[#This Row],[KKS]],'[1]DBID Digital'!$B:$E,4,FALSE))</f>
        <v>МВ-11-4 ВІЗОК ВКОЧЕНИЙ</v>
      </c>
    </row>
    <row r="141" spans="1:7" x14ac:dyDescent="0.3">
      <c r="A141" s="84">
        <v>140</v>
      </c>
      <c r="B141" s="82" t="s">
        <v>2768</v>
      </c>
      <c r="C141" s="85" t="s">
        <v>457</v>
      </c>
      <c r="D141" s="85" t="s">
        <v>2497</v>
      </c>
      <c r="E141" s="24" t="s">
        <v>443</v>
      </c>
      <c r="F141" s="24"/>
      <c r="G141" t="str">
        <f>_xlfn.IFNA(VLOOKUP(Таблица112[[#This Row],[KKS]],'[1]DBID Analog'!$B:$D,3,FALSE),VLOOKUP(Таблица112[[#This Row],[KKS]],'[1]DBID Digital'!$B:$E,4,FALSE))</f>
        <v>МВ-11-4 РОБОТА ЕЛ ЗАХ</v>
      </c>
    </row>
    <row r="142" spans="1:7" x14ac:dyDescent="0.3">
      <c r="A142" s="84">
        <v>141</v>
      </c>
      <c r="B142" s="82" t="s">
        <v>2769</v>
      </c>
      <c r="C142" s="85" t="s">
        <v>457</v>
      </c>
      <c r="D142" s="85" t="s">
        <v>2498</v>
      </c>
      <c r="E142" s="24" t="s">
        <v>443</v>
      </c>
      <c r="F142" s="24"/>
      <c r="G142" t="str">
        <f>_xlfn.IFNA(VLOOKUP(Таблица112[[#This Row],[KKS]],'[1]DBID Analog'!$B:$D,3,FALSE),VLOOKUP(Таблица112[[#This Row],[KKS]],'[1]DBID Digital'!$B:$E,4,FALSE))</f>
        <v>МВ-11-4 ГОТОВН КІЛ КЕРУВ</v>
      </c>
    </row>
    <row r="143" spans="1:7" x14ac:dyDescent="0.3">
      <c r="A143" s="84">
        <v>142</v>
      </c>
      <c r="B143" s="82" t="s">
        <v>2770</v>
      </c>
      <c r="C143" s="85" t="s">
        <v>457</v>
      </c>
      <c r="D143" s="85" t="s">
        <v>2499</v>
      </c>
      <c r="E143" s="24" t="s">
        <v>444</v>
      </c>
      <c r="F143" s="24"/>
      <c r="G143" t="str">
        <f>_xlfn.IFNA(VLOOKUP(Таблица112[[#This Row],[KKS]],'[1]DBID Analog'!$B:$D,3,FALSE),VLOOKUP(Таблица112[[#This Row],[KKS]],'[1]DBID Digital'!$B:$E,4,FALSE))</f>
        <v>МВ-11-4 КВ</v>
      </c>
    </row>
    <row r="144" spans="1:7" x14ac:dyDescent="0.3">
      <c r="A144" s="84">
        <v>143</v>
      </c>
      <c r="B144" s="82" t="s">
        <v>2771</v>
      </c>
      <c r="C144" s="85" t="s">
        <v>457</v>
      </c>
      <c r="D144" s="85" t="s">
        <v>2500</v>
      </c>
      <c r="E144" s="24" t="s">
        <v>444</v>
      </c>
      <c r="F144" s="24"/>
      <c r="G144" t="str">
        <f>_xlfn.IFNA(VLOOKUP(Таблица112[[#This Row],[KKS]],'[1]DBID Analog'!$B:$D,3,FALSE),VLOOKUP(Таблица112[[#This Row],[KKS]],'[1]DBID Digital'!$B:$E,4,FALSE))</f>
        <v>МВ-11-4 КО</v>
      </c>
    </row>
    <row r="145" spans="1:7" x14ac:dyDescent="0.3">
      <c r="A145" s="84">
        <v>144</v>
      </c>
      <c r="B145" s="82" t="s">
        <v>2524</v>
      </c>
      <c r="C145" s="85" t="s">
        <v>457</v>
      </c>
      <c r="D145" s="85" t="s">
        <v>2501</v>
      </c>
      <c r="E145" s="24" t="s">
        <v>497</v>
      </c>
      <c r="F145" s="24"/>
      <c r="G145" t="str">
        <f>_xlfn.IFNA(VLOOKUP(Таблица112[[#This Row],[KKS]],'[1]DBID Analog'!$B:$D,3,FALSE),VLOOKUP(Таблица112[[#This Row],[KKS]],'[1]DBID Digital'!$B:$E,4,FALSE))</f>
        <v>Струм ел/дв МВ-11-4</v>
      </c>
    </row>
    <row r="146" spans="1:7" x14ac:dyDescent="0.3">
      <c r="A146" s="84">
        <v>145</v>
      </c>
      <c r="B146" s="82" t="s">
        <v>2772</v>
      </c>
      <c r="C146" s="85" t="s">
        <v>458</v>
      </c>
      <c r="D146" s="85" t="s">
        <v>2494</v>
      </c>
      <c r="E146" s="24" t="s">
        <v>443</v>
      </c>
      <c r="F146" s="24"/>
      <c r="G146" t="str">
        <f>_xlfn.IFNA(VLOOKUP(Таблица112[[#This Row],[KKS]],'[1]DBID Analog'!$B:$D,3,FALSE),VLOOKUP(Таблица112[[#This Row],[KKS]],'[1]DBID Digital'!$B:$E,4,FALSE))</f>
        <v>МВ-11-5 ВКЛ</v>
      </c>
    </row>
    <row r="147" spans="1:7" x14ac:dyDescent="0.3">
      <c r="A147" s="84">
        <v>146</v>
      </c>
      <c r="B147" s="82" t="s">
        <v>2773</v>
      </c>
      <c r="C147" s="85" t="s">
        <v>458</v>
      </c>
      <c r="D147" s="85" t="s">
        <v>2495</v>
      </c>
      <c r="E147" s="24" t="s">
        <v>443</v>
      </c>
      <c r="F147" s="24"/>
      <c r="G147" t="str">
        <f>_xlfn.IFNA(VLOOKUP(Таблица112[[#This Row],[KKS]],'[1]DBID Analog'!$B:$D,3,FALSE),VLOOKUP(Таблица112[[#This Row],[KKS]],'[1]DBID Digital'!$B:$E,4,FALSE))</f>
        <v>МВ-11-5 ВІДКЛ</v>
      </c>
    </row>
    <row r="148" spans="1:7" x14ac:dyDescent="0.3">
      <c r="A148" s="84">
        <v>147</v>
      </c>
      <c r="B148" s="82" t="s">
        <v>2774</v>
      </c>
      <c r="C148" s="85" t="s">
        <v>458</v>
      </c>
      <c r="D148" s="85" t="s">
        <v>2496</v>
      </c>
      <c r="E148" s="24" t="s">
        <v>443</v>
      </c>
      <c r="F148" s="24"/>
      <c r="G148" t="str">
        <f>_xlfn.IFNA(VLOOKUP(Таблица112[[#This Row],[KKS]],'[1]DBID Analog'!$B:$D,3,FALSE),VLOOKUP(Таблица112[[#This Row],[KKS]],'[1]DBID Digital'!$B:$E,4,FALSE))</f>
        <v>МВ-11-5 ВІЗОК ВКОЧЕНИЙ</v>
      </c>
    </row>
    <row r="149" spans="1:7" x14ac:dyDescent="0.3">
      <c r="A149" s="84">
        <v>148</v>
      </c>
      <c r="B149" s="82" t="s">
        <v>2775</v>
      </c>
      <c r="C149" s="85" t="s">
        <v>458</v>
      </c>
      <c r="D149" s="85" t="s">
        <v>2497</v>
      </c>
      <c r="E149" s="24" t="s">
        <v>443</v>
      </c>
      <c r="F149" s="24"/>
      <c r="G149" t="str">
        <f>_xlfn.IFNA(VLOOKUP(Таблица112[[#This Row],[KKS]],'[1]DBID Analog'!$B:$D,3,FALSE),VLOOKUP(Таблица112[[#This Row],[KKS]],'[1]DBID Digital'!$B:$E,4,FALSE))</f>
        <v>МВ-11-5 РОБОТА ЕЛ ЗАХ</v>
      </c>
    </row>
    <row r="150" spans="1:7" x14ac:dyDescent="0.3">
      <c r="A150" s="84">
        <v>149</v>
      </c>
      <c r="B150" s="82" t="s">
        <v>2776</v>
      </c>
      <c r="C150" s="85" t="s">
        <v>458</v>
      </c>
      <c r="D150" s="85" t="s">
        <v>2498</v>
      </c>
      <c r="E150" s="24" t="s">
        <v>443</v>
      </c>
      <c r="F150" s="24"/>
      <c r="G150" t="str">
        <f>_xlfn.IFNA(VLOOKUP(Таблица112[[#This Row],[KKS]],'[1]DBID Analog'!$B:$D,3,FALSE),VLOOKUP(Таблица112[[#This Row],[KKS]],'[1]DBID Digital'!$B:$E,4,FALSE))</f>
        <v>МВ-11-5 ГОТОВН КІЛ КЕРУВ</v>
      </c>
    </row>
    <row r="151" spans="1:7" x14ac:dyDescent="0.3">
      <c r="A151" s="84">
        <v>150</v>
      </c>
      <c r="B151" s="82" t="s">
        <v>2777</v>
      </c>
      <c r="C151" s="85" t="s">
        <v>458</v>
      </c>
      <c r="D151" s="85" t="s">
        <v>2499</v>
      </c>
      <c r="E151" s="24" t="s">
        <v>444</v>
      </c>
      <c r="F151" s="24"/>
      <c r="G151" t="str">
        <f>_xlfn.IFNA(VLOOKUP(Таблица112[[#This Row],[KKS]],'[1]DBID Analog'!$B:$D,3,FALSE),VLOOKUP(Таблица112[[#This Row],[KKS]],'[1]DBID Digital'!$B:$E,4,FALSE))</f>
        <v>МВ-11-5 КВ</v>
      </c>
    </row>
    <row r="152" spans="1:7" x14ac:dyDescent="0.3">
      <c r="A152" s="84">
        <v>151</v>
      </c>
      <c r="B152" s="82" t="s">
        <v>2778</v>
      </c>
      <c r="C152" s="85" t="s">
        <v>458</v>
      </c>
      <c r="D152" s="85" t="s">
        <v>2500</v>
      </c>
      <c r="E152" s="24" t="s">
        <v>444</v>
      </c>
      <c r="F152" s="24"/>
      <c r="G152" t="str">
        <f>_xlfn.IFNA(VLOOKUP(Таблица112[[#This Row],[KKS]],'[1]DBID Analog'!$B:$D,3,FALSE),VLOOKUP(Таблица112[[#This Row],[KKS]],'[1]DBID Digital'!$B:$E,4,FALSE))</f>
        <v>МВ-11-5 КО</v>
      </c>
    </row>
    <row r="153" spans="1:7" x14ac:dyDescent="0.3">
      <c r="A153" s="84">
        <v>152</v>
      </c>
      <c r="B153" s="82" t="s">
        <v>2525</v>
      </c>
      <c r="C153" s="85" t="s">
        <v>458</v>
      </c>
      <c r="D153" s="85" t="s">
        <v>2501</v>
      </c>
      <c r="E153" s="24" t="s">
        <v>497</v>
      </c>
      <c r="F153" s="24"/>
      <c r="G153" t="str">
        <f>_xlfn.IFNA(VLOOKUP(Таблица112[[#This Row],[KKS]],'[1]DBID Analog'!$B:$D,3,FALSE),VLOOKUP(Таблица112[[#This Row],[KKS]],'[1]DBID Digital'!$B:$E,4,FALSE))</f>
        <v>Струм ел/дв МВ-11-5</v>
      </c>
    </row>
    <row r="154" spans="1:7" x14ac:dyDescent="0.3">
      <c r="A154" s="84">
        <v>153</v>
      </c>
      <c r="B154" s="82" t="s">
        <v>2779</v>
      </c>
      <c r="C154" s="85" t="s">
        <v>459</v>
      </c>
      <c r="D154" s="85" t="s">
        <v>2494</v>
      </c>
      <c r="E154" s="24" t="s">
        <v>443</v>
      </c>
      <c r="F154" s="24"/>
      <c r="G154" t="str">
        <f>_xlfn.IFNA(VLOOKUP(Таблица112[[#This Row],[KKS]],'[1]DBID Analog'!$B:$D,3,FALSE),VLOOKUP(Таблица112[[#This Row],[KKS]],'[1]DBID Digital'!$B:$E,4,FALSE))</f>
        <v>МВ-11-6 ВКЛ</v>
      </c>
    </row>
    <row r="155" spans="1:7" x14ac:dyDescent="0.3">
      <c r="A155" s="84">
        <v>154</v>
      </c>
      <c r="B155" s="82" t="s">
        <v>2780</v>
      </c>
      <c r="C155" s="85" t="s">
        <v>459</v>
      </c>
      <c r="D155" s="85" t="s">
        <v>2495</v>
      </c>
      <c r="E155" s="24" t="s">
        <v>443</v>
      </c>
      <c r="F155" s="24"/>
      <c r="G155" t="str">
        <f>_xlfn.IFNA(VLOOKUP(Таблица112[[#This Row],[KKS]],'[1]DBID Analog'!$B:$D,3,FALSE),VLOOKUP(Таблица112[[#This Row],[KKS]],'[1]DBID Digital'!$B:$E,4,FALSE))</f>
        <v>МВ-11-6 ВІДКЛ</v>
      </c>
    </row>
    <row r="156" spans="1:7" x14ac:dyDescent="0.3">
      <c r="A156" s="84">
        <v>155</v>
      </c>
      <c r="B156" s="82" t="s">
        <v>2781</v>
      </c>
      <c r="C156" s="85" t="s">
        <v>459</v>
      </c>
      <c r="D156" s="85" t="s">
        <v>2496</v>
      </c>
      <c r="E156" s="24" t="s">
        <v>443</v>
      </c>
      <c r="F156" s="24"/>
      <c r="G156" t="str">
        <f>_xlfn.IFNA(VLOOKUP(Таблица112[[#This Row],[KKS]],'[1]DBID Analog'!$B:$D,3,FALSE),VLOOKUP(Таблица112[[#This Row],[KKS]],'[1]DBID Digital'!$B:$E,4,FALSE))</f>
        <v>МВ-11-6 ВІЗОК ВКОЧЕНИЙ</v>
      </c>
    </row>
    <row r="157" spans="1:7" x14ac:dyDescent="0.3">
      <c r="A157" s="84">
        <v>156</v>
      </c>
      <c r="B157" s="82" t="s">
        <v>2782</v>
      </c>
      <c r="C157" s="85" t="s">
        <v>459</v>
      </c>
      <c r="D157" s="85" t="s">
        <v>2497</v>
      </c>
      <c r="E157" s="24" t="s">
        <v>443</v>
      </c>
      <c r="F157" s="24"/>
      <c r="G157" t="str">
        <f>_xlfn.IFNA(VLOOKUP(Таблица112[[#This Row],[KKS]],'[1]DBID Analog'!$B:$D,3,FALSE),VLOOKUP(Таблица112[[#This Row],[KKS]],'[1]DBID Digital'!$B:$E,4,FALSE))</f>
        <v>МВ-11-6 РОБОТА ЕЛ ЗАХ</v>
      </c>
    </row>
    <row r="158" spans="1:7" x14ac:dyDescent="0.3">
      <c r="A158" s="84">
        <v>157</v>
      </c>
      <c r="B158" s="82" t="s">
        <v>2783</v>
      </c>
      <c r="C158" s="85" t="s">
        <v>459</v>
      </c>
      <c r="D158" s="85" t="s">
        <v>2498</v>
      </c>
      <c r="E158" s="24" t="s">
        <v>443</v>
      </c>
      <c r="F158" s="24"/>
      <c r="G158" t="str">
        <f>_xlfn.IFNA(VLOOKUP(Таблица112[[#This Row],[KKS]],'[1]DBID Analog'!$B:$D,3,FALSE),VLOOKUP(Таблица112[[#This Row],[KKS]],'[1]DBID Digital'!$B:$E,4,FALSE))</f>
        <v>МВ-11-6 ГОТОВН КІЛ КЕРУВ</v>
      </c>
    </row>
    <row r="159" spans="1:7" x14ac:dyDescent="0.3">
      <c r="A159" s="84">
        <v>158</v>
      </c>
      <c r="B159" s="82" t="s">
        <v>2784</v>
      </c>
      <c r="C159" s="85" t="s">
        <v>459</v>
      </c>
      <c r="D159" s="85" t="s">
        <v>2499</v>
      </c>
      <c r="E159" s="24" t="s">
        <v>444</v>
      </c>
      <c r="F159" s="24"/>
      <c r="G159" t="str">
        <f>_xlfn.IFNA(VLOOKUP(Таблица112[[#This Row],[KKS]],'[1]DBID Analog'!$B:$D,3,FALSE),VLOOKUP(Таблица112[[#This Row],[KKS]],'[1]DBID Digital'!$B:$E,4,FALSE))</f>
        <v>МВ-11-6 КВ</v>
      </c>
    </row>
    <row r="160" spans="1:7" x14ac:dyDescent="0.3">
      <c r="A160" s="84">
        <v>159</v>
      </c>
      <c r="B160" s="82" t="s">
        <v>2785</v>
      </c>
      <c r="C160" s="85" t="s">
        <v>459</v>
      </c>
      <c r="D160" s="85" t="s">
        <v>2500</v>
      </c>
      <c r="E160" s="24" t="s">
        <v>444</v>
      </c>
      <c r="F160" s="24"/>
      <c r="G160" t="str">
        <f>_xlfn.IFNA(VLOOKUP(Таблица112[[#This Row],[KKS]],'[1]DBID Analog'!$B:$D,3,FALSE),VLOOKUP(Таблица112[[#This Row],[KKS]],'[1]DBID Digital'!$B:$E,4,FALSE))</f>
        <v>МВ-11-6 КО</v>
      </c>
    </row>
    <row r="161" spans="1:7" x14ac:dyDescent="0.3">
      <c r="A161" s="84">
        <v>160</v>
      </c>
      <c r="B161" s="82" t="s">
        <v>2526</v>
      </c>
      <c r="C161" s="85" t="s">
        <v>459</v>
      </c>
      <c r="D161" s="85" t="s">
        <v>2501</v>
      </c>
      <c r="E161" s="24" t="s">
        <v>497</v>
      </c>
      <c r="F161" s="24"/>
      <c r="G161" t="str">
        <f>_xlfn.IFNA(VLOOKUP(Таблица112[[#This Row],[KKS]],'[1]DBID Analog'!$B:$D,3,FALSE),VLOOKUP(Таблица112[[#This Row],[KKS]],'[1]DBID Digital'!$B:$E,4,FALSE))</f>
        <v>Струм ел/дв МВ-11-6</v>
      </c>
    </row>
    <row r="162" spans="1:7" x14ac:dyDescent="0.3">
      <c r="A162" s="84">
        <v>161</v>
      </c>
      <c r="B162" s="82" t="s">
        <v>2786</v>
      </c>
      <c r="C162" s="85" t="s">
        <v>461</v>
      </c>
      <c r="D162" s="85" t="s">
        <v>2494</v>
      </c>
      <c r="E162" s="24" t="s">
        <v>443</v>
      </c>
      <c r="F162" s="24"/>
      <c r="G162" t="str">
        <f>_xlfn.IFNA(VLOOKUP(Таблица112[[#This Row],[KKS]],'[1]DBID Analog'!$B:$D,3,FALSE),VLOOKUP(Таблица112[[#This Row],[KKS]],'[1]DBID Digital'!$B:$E,4,FALSE))</f>
        <v>ЖЕН-7А ВКЛ</v>
      </c>
    </row>
    <row r="163" spans="1:7" x14ac:dyDescent="0.3">
      <c r="A163" s="84">
        <v>162</v>
      </c>
      <c r="B163" s="82" t="s">
        <v>2787</v>
      </c>
      <c r="C163" s="85" t="s">
        <v>461</v>
      </c>
      <c r="D163" s="85" t="s">
        <v>2495</v>
      </c>
      <c r="E163" s="24" t="s">
        <v>443</v>
      </c>
      <c r="F163" s="24"/>
      <c r="G163" t="str">
        <f>_xlfn.IFNA(VLOOKUP(Таблица112[[#This Row],[KKS]],'[1]DBID Analog'!$B:$D,3,FALSE),VLOOKUP(Таблица112[[#This Row],[KKS]],'[1]DBID Digital'!$B:$E,4,FALSE))</f>
        <v>ЖЕН-7А ВІДКЛ</v>
      </c>
    </row>
    <row r="164" spans="1:7" x14ac:dyDescent="0.3">
      <c r="A164" s="84">
        <v>163</v>
      </c>
      <c r="B164" s="82" t="s">
        <v>2788</v>
      </c>
      <c r="C164" s="85" t="s">
        <v>461</v>
      </c>
      <c r="D164" s="85" t="s">
        <v>2496</v>
      </c>
      <c r="E164" s="24" t="s">
        <v>443</v>
      </c>
      <c r="F164" s="24"/>
      <c r="G164" t="str">
        <f>_xlfn.IFNA(VLOOKUP(Таблица112[[#This Row],[KKS]],'[1]DBID Analog'!$B:$D,3,FALSE),VLOOKUP(Таблица112[[#This Row],[KKS]],'[1]DBID Digital'!$B:$E,4,FALSE))</f>
        <v>ЖЕН-7А ВІЗОК ВКОЧЕНИЙ</v>
      </c>
    </row>
    <row r="165" spans="1:7" x14ac:dyDescent="0.3">
      <c r="A165" s="84">
        <v>164</v>
      </c>
      <c r="B165" s="82" t="s">
        <v>2789</v>
      </c>
      <c r="C165" s="85" t="s">
        <v>461</v>
      </c>
      <c r="D165" s="85" t="s">
        <v>2497</v>
      </c>
      <c r="E165" s="24" t="s">
        <v>443</v>
      </c>
      <c r="F165" s="24"/>
      <c r="G165" t="str">
        <f>_xlfn.IFNA(VLOOKUP(Таблица112[[#This Row],[KKS]],'[1]DBID Analog'!$B:$D,3,FALSE),VLOOKUP(Таблица112[[#This Row],[KKS]],'[1]DBID Digital'!$B:$E,4,FALSE))</f>
        <v>ЖЕН-7А РОБОТА ЕЛ ЗАХ</v>
      </c>
    </row>
    <row r="166" spans="1:7" x14ac:dyDescent="0.3">
      <c r="A166" s="84">
        <v>165</v>
      </c>
      <c r="B166" s="82" t="s">
        <v>2790</v>
      </c>
      <c r="C166" s="85" t="s">
        <v>461</v>
      </c>
      <c r="D166" s="85" t="s">
        <v>2498</v>
      </c>
      <c r="E166" s="24" t="s">
        <v>443</v>
      </c>
      <c r="F166" s="24"/>
      <c r="G166" t="str">
        <f>_xlfn.IFNA(VLOOKUP(Таблица112[[#This Row],[KKS]],'[1]DBID Analog'!$B:$D,3,FALSE),VLOOKUP(Таблица112[[#This Row],[KKS]],'[1]DBID Digital'!$B:$E,4,FALSE))</f>
        <v>ЖЕН-7А ГОТОВН КІЛ КЕРУВ</v>
      </c>
    </row>
    <row r="167" spans="1:7" x14ac:dyDescent="0.3">
      <c r="A167" s="84">
        <v>166</v>
      </c>
      <c r="B167" s="82" t="s">
        <v>2791</v>
      </c>
      <c r="C167" s="85" t="s">
        <v>461</v>
      </c>
      <c r="D167" s="85" t="s">
        <v>2499</v>
      </c>
      <c r="E167" s="24" t="s">
        <v>444</v>
      </c>
      <c r="F167" s="24"/>
      <c r="G167" t="str">
        <f>_xlfn.IFNA(VLOOKUP(Таблица112[[#This Row],[KKS]],'[1]DBID Analog'!$B:$D,3,FALSE),VLOOKUP(Таблица112[[#This Row],[KKS]],'[1]DBID Digital'!$B:$E,4,FALSE))</f>
        <v>ЖЕН-7А КВ</v>
      </c>
    </row>
    <row r="168" spans="1:7" x14ac:dyDescent="0.3">
      <c r="A168" s="84">
        <v>167</v>
      </c>
      <c r="B168" s="82" t="s">
        <v>2792</v>
      </c>
      <c r="C168" s="85" t="s">
        <v>461</v>
      </c>
      <c r="D168" s="85" t="s">
        <v>2500</v>
      </c>
      <c r="E168" s="24" t="s">
        <v>444</v>
      </c>
      <c r="F168" s="24"/>
      <c r="G168" t="str">
        <f>_xlfn.IFNA(VLOOKUP(Таблица112[[#This Row],[KKS]],'[1]DBID Analog'!$B:$D,3,FALSE),VLOOKUP(Таблица112[[#This Row],[KKS]],'[1]DBID Digital'!$B:$E,4,FALSE))</f>
        <v>ЖЕН-7А КО</v>
      </c>
    </row>
    <row r="169" spans="1:7" x14ac:dyDescent="0.3">
      <c r="A169" s="84">
        <v>168</v>
      </c>
      <c r="B169" s="82" t="s">
        <v>2527</v>
      </c>
      <c r="C169" s="85" t="s">
        <v>461</v>
      </c>
      <c r="D169" s="85" t="s">
        <v>2501</v>
      </c>
      <c r="E169" s="24" t="s">
        <v>497</v>
      </c>
      <c r="F169" s="24"/>
      <c r="G169" t="str">
        <f>_xlfn.IFNA(VLOOKUP(Таблица112[[#This Row],[KKS]],'[1]DBID Analog'!$B:$D,3,FALSE),VLOOKUP(Таблица112[[#This Row],[KKS]],'[1]DBID Digital'!$B:$E,4,FALSE))</f>
        <v>Струм ел/дв ЖЕН-7А</v>
      </c>
    </row>
    <row r="170" spans="1:7" x14ac:dyDescent="0.3">
      <c r="A170" s="84">
        <v>169</v>
      </c>
      <c r="B170" s="82" t="s">
        <v>2793</v>
      </c>
      <c r="C170" s="85" t="s">
        <v>462</v>
      </c>
      <c r="D170" s="85" t="s">
        <v>2494</v>
      </c>
      <c r="E170" s="24" t="s">
        <v>443</v>
      </c>
      <c r="F170" s="24"/>
      <c r="G170" t="str">
        <f>_xlfn.IFNA(VLOOKUP(Таблица112[[#This Row],[KKS]],'[1]DBID Analog'!$B:$D,3,FALSE),VLOOKUP(Таблица112[[#This Row],[KKS]],'[1]DBID Digital'!$B:$E,4,FALSE))</f>
        <v>ЖЕН-7Б ВКЛ</v>
      </c>
    </row>
    <row r="171" spans="1:7" x14ac:dyDescent="0.3">
      <c r="A171" s="84">
        <v>170</v>
      </c>
      <c r="B171" s="82" t="s">
        <v>2794</v>
      </c>
      <c r="C171" s="85" t="s">
        <v>462</v>
      </c>
      <c r="D171" s="85" t="s">
        <v>2495</v>
      </c>
      <c r="E171" s="24" t="s">
        <v>443</v>
      </c>
      <c r="F171" s="24"/>
      <c r="G171" t="str">
        <f>_xlfn.IFNA(VLOOKUP(Таблица112[[#This Row],[KKS]],'[1]DBID Analog'!$B:$D,3,FALSE),VLOOKUP(Таблица112[[#This Row],[KKS]],'[1]DBID Digital'!$B:$E,4,FALSE))</f>
        <v>ЖЕН-7Б ВІДКЛ</v>
      </c>
    </row>
    <row r="172" spans="1:7" x14ac:dyDescent="0.3">
      <c r="A172" s="84">
        <v>171</v>
      </c>
      <c r="B172" s="82" t="s">
        <v>2795</v>
      </c>
      <c r="C172" s="85" t="s">
        <v>462</v>
      </c>
      <c r="D172" s="85" t="s">
        <v>2496</v>
      </c>
      <c r="E172" s="24" t="s">
        <v>443</v>
      </c>
      <c r="F172" s="24"/>
      <c r="G172" t="str">
        <f>_xlfn.IFNA(VLOOKUP(Таблица112[[#This Row],[KKS]],'[1]DBID Analog'!$B:$D,3,FALSE),VLOOKUP(Таблица112[[#This Row],[KKS]],'[1]DBID Digital'!$B:$E,4,FALSE))</f>
        <v>ЖЕН-7Б ВІЗОК ВКОЧЕНИЙ</v>
      </c>
    </row>
    <row r="173" spans="1:7" x14ac:dyDescent="0.3">
      <c r="A173" s="84">
        <v>172</v>
      </c>
      <c r="B173" s="82" t="s">
        <v>2796</v>
      </c>
      <c r="C173" s="85" t="s">
        <v>462</v>
      </c>
      <c r="D173" s="85" t="s">
        <v>2497</v>
      </c>
      <c r="E173" s="24" t="s">
        <v>443</v>
      </c>
      <c r="F173" s="24"/>
      <c r="G173" t="str">
        <f>_xlfn.IFNA(VLOOKUP(Таблица112[[#This Row],[KKS]],'[1]DBID Analog'!$B:$D,3,FALSE),VLOOKUP(Таблица112[[#This Row],[KKS]],'[1]DBID Digital'!$B:$E,4,FALSE))</f>
        <v>ЖЕН-7Б РОБОТА ЕЛ ЗАХ</v>
      </c>
    </row>
    <row r="174" spans="1:7" x14ac:dyDescent="0.3">
      <c r="A174" s="84">
        <v>173</v>
      </c>
      <c r="B174" s="82" t="s">
        <v>2797</v>
      </c>
      <c r="C174" s="85" t="s">
        <v>462</v>
      </c>
      <c r="D174" s="85" t="s">
        <v>2498</v>
      </c>
      <c r="E174" s="24" t="s">
        <v>443</v>
      </c>
      <c r="F174" s="24"/>
      <c r="G174" t="str">
        <f>_xlfn.IFNA(VLOOKUP(Таблица112[[#This Row],[KKS]],'[1]DBID Analog'!$B:$D,3,FALSE),VLOOKUP(Таблица112[[#This Row],[KKS]],'[1]DBID Digital'!$B:$E,4,FALSE))</f>
        <v>ЖЕН-7Б ГОТОВН КІЛ КЕРУВ</v>
      </c>
    </row>
    <row r="175" spans="1:7" x14ac:dyDescent="0.3">
      <c r="A175" s="84">
        <v>174</v>
      </c>
      <c r="B175" s="82" t="s">
        <v>2798</v>
      </c>
      <c r="C175" s="85" t="s">
        <v>462</v>
      </c>
      <c r="D175" s="85" t="s">
        <v>2499</v>
      </c>
      <c r="E175" s="24" t="s">
        <v>444</v>
      </c>
      <c r="F175" s="24"/>
      <c r="G175" t="str">
        <f>_xlfn.IFNA(VLOOKUP(Таблица112[[#This Row],[KKS]],'[1]DBID Analog'!$B:$D,3,FALSE),VLOOKUP(Таблица112[[#This Row],[KKS]],'[1]DBID Digital'!$B:$E,4,FALSE))</f>
        <v>ЖЕН-7Б КВ</v>
      </c>
    </row>
    <row r="176" spans="1:7" x14ac:dyDescent="0.3">
      <c r="A176" s="84">
        <v>175</v>
      </c>
      <c r="B176" s="82" t="s">
        <v>2799</v>
      </c>
      <c r="C176" s="85" t="s">
        <v>462</v>
      </c>
      <c r="D176" s="85" t="s">
        <v>2500</v>
      </c>
      <c r="E176" s="24" t="s">
        <v>444</v>
      </c>
      <c r="F176" s="24"/>
      <c r="G176" t="str">
        <f>_xlfn.IFNA(VLOOKUP(Таблица112[[#This Row],[KKS]],'[1]DBID Analog'!$B:$D,3,FALSE),VLOOKUP(Таблица112[[#This Row],[KKS]],'[1]DBID Digital'!$B:$E,4,FALSE))</f>
        <v>ЖЕН-7Б КО</v>
      </c>
    </row>
    <row r="177" spans="1:7" x14ac:dyDescent="0.3">
      <c r="A177" s="84">
        <v>176</v>
      </c>
      <c r="B177" s="82" t="s">
        <v>2528</v>
      </c>
      <c r="C177" s="85" t="s">
        <v>462</v>
      </c>
      <c r="D177" s="85" t="s">
        <v>2501</v>
      </c>
      <c r="E177" s="24" t="s">
        <v>497</v>
      </c>
      <c r="F177" s="24"/>
      <c r="G177" t="str">
        <f>_xlfn.IFNA(VLOOKUP(Таблица112[[#This Row],[KKS]],'[1]DBID Analog'!$B:$D,3,FALSE),VLOOKUP(Таблица112[[#This Row],[KKS]],'[1]DBID Digital'!$B:$E,4,FALSE))</f>
        <v>Струм ел/дв ЖЕН-7Б</v>
      </c>
    </row>
    <row r="178" spans="1:7" x14ac:dyDescent="0.3">
      <c r="A178" s="84">
        <v>177</v>
      </c>
      <c r="B178" s="82" t="s">
        <v>2800</v>
      </c>
      <c r="C178" s="85" t="s">
        <v>464</v>
      </c>
      <c r="D178" s="85" t="s">
        <v>2494</v>
      </c>
      <c r="E178" s="24" t="s">
        <v>443</v>
      </c>
      <c r="F178" s="24"/>
      <c r="G178" t="str">
        <f>_xlfn.IFNA(VLOOKUP(Таблица112[[#This Row],[KKS]],'[1]DBID Analog'!$B:$D,3,FALSE),VLOOKUP(Таблица112[[#This Row],[KKS]],'[1]DBID Digital'!$B:$E,4,FALSE))</f>
        <v>КН-7А ВКЛ</v>
      </c>
    </row>
    <row r="179" spans="1:7" x14ac:dyDescent="0.3">
      <c r="A179" s="84">
        <v>178</v>
      </c>
      <c r="B179" s="82" t="s">
        <v>2801</v>
      </c>
      <c r="C179" s="85" t="s">
        <v>464</v>
      </c>
      <c r="D179" s="85" t="s">
        <v>2495</v>
      </c>
      <c r="E179" s="24" t="s">
        <v>443</v>
      </c>
      <c r="F179" s="24"/>
      <c r="G179" t="str">
        <f>_xlfn.IFNA(VLOOKUP(Таблица112[[#This Row],[KKS]],'[1]DBID Analog'!$B:$D,3,FALSE),VLOOKUP(Таблица112[[#This Row],[KKS]],'[1]DBID Digital'!$B:$E,4,FALSE))</f>
        <v>КН-7А ВІДКЛ</v>
      </c>
    </row>
    <row r="180" spans="1:7" x14ac:dyDescent="0.3">
      <c r="A180" s="84">
        <v>179</v>
      </c>
      <c r="B180" s="82" t="s">
        <v>2802</v>
      </c>
      <c r="C180" s="85" t="s">
        <v>464</v>
      </c>
      <c r="D180" s="85" t="s">
        <v>2496</v>
      </c>
      <c r="E180" s="24" t="s">
        <v>443</v>
      </c>
      <c r="F180" s="24"/>
      <c r="G180" t="str">
        <f>_xlfn.IFNA(VLOOKUP(Таблица112[[#This Row],[KKS]],'[1]DBID Analog'!$B:$D,3,FALSE),VLOOKUP(Таблица112[[#This Row],[KKS]],'[1]DBID Digital'!$B:$E,4,FALSE))</f>
        <v>КН-7А ВІЗОК ВКОЧЕНИЙ</v>
      </c>
    </row>
    <row r="181" spans="1:7" x14ac:dyDescent="0.3">
      <c r="A181" s="84">
        <v>180</v>
      </c>
      <c r="B181" s="82" t="s">
        <v>2803</v>
      </c>
      <c r="C181" s="85" t="s">
        <v>464</v>
      </c>
      <c r="D181" s="85" t="s">
        <v>2497</v>
      </c>
      <c r="E181" s="24" t="s">
        <v>443</v>
      </c>
      <c r="F181" s="24"/>
      <c r="G181" t="str">
        <f>_xlfn.IFNA(VLOOKUP(Таблица112[[#This Row],[KKS]],'[1]DBID Analog'!$B:$D,3,FALSE),VLOOKUP(Таблица112[[#This Row],[KKS]],'[1]DBID Digital'!$B:$E,4,FALSE))</f>
        <v>КН-7А РОБОТА ЕЛ ЗАХ</v>
      </c>
    </row>
    <row r="182" spans="1:7" x14ac:dyDescent="0.3">
      <c r="A182" s="84">
        <v>181</v>
      </c>
      <c r="B182" s="82" t="s">
        <v>2804</v>
      </c>
      <c r="C182" s="85" t="s">
        <v>464</v>
      </c>
      <c r="D182" s="85" t="s">
        <v>2498</v>
      </c>
      <c r="E182" s="24" t="s">
        <v>443</v>
      </c>
      <c r="F182" s="24"/>
      <c r="G182" t="str">
        <f>_xlfn.IFNA(VLOOKUP(Таблица112[[#This Row],[KKS]],'[1]DBID Analog'!$B:$D,3,FALSE),VLOOKUP(Таблица112[[#This Row],[KKS]],'[1]DBID Digital'!$B:$E,4,FALSE))</f>
        <v>КН-7А ГОТОВН КІЛ КЕРУВ</v>
      </c>
    </row>
    <row r="183" spans="1:7" x14ac:dyDescent="0.3">
      <c r="A183" s="84">
        <v>182</v>
      </c>
      <c r="B183" s="82" t="s">
        <v>2805</v>
      </c>
      <c r="C183" s="85" t="s">
        <v>464</v>
      </c>
      <c r="D183" s="85" t="s">
        <v>2499</v>
      </c>
      <c r="E183" s="24" t="s">
        <v>444</v>
      </c>
      <c r="F183" s="24"/>
      <c r="G183" t="str">
        <f>_xlfn.IFNA(VLOOKUP(Таблица112[[#This Row],[KKS]],'[1]DBID Analog'!$B:$D,3,FALSE),VLOOKUP(Таблица112[[#This Row],[KKS]],'[1]DBID Digital'!$B:$E,4,FALSE))</f>
        <v>КН-7А КВ</v>
      </c>
    </row>
    <row r="184" spans="1:7" x14ac:dyDescent="0.3">
      <c r="A184" s="84">
        <v>183</v>
      </c>
      <c r="B184" s="82" t="s">
        <v>2806</v>
      </c>
      <c r="C184" s="85" t="s">
        <v>464</v>
      </c>
      <c r="D184" s="85" t="s">
        <v>2500</v>
      </c>
      <c r="E184" s="24" t="s">
        <v>444</v>
      </c>
      <c r="F184" s="24"/>
      <c r="G184" t="str">
        <f>_xlfn.IFNA(VLOOKUP(Таблица112[[#This Row],[KKS]],'[1]DBID Analog'!$B:$D,3,FALSE),VLOOKUP(Таблица112[[#This Row],[KKS]],'[1]DBID Digital'!$B:$E,4,FALSE))</f>
        <v>КН-7А КО</v>
      </c>
    </row>
    <row r="185" spans="1:7" x14ac:dyDescent="0.3">
      <c r="A185" s="84">
        <v>184</v>
      </c>
      <c r="B185" s="82" t="s">
        <v>2529</v>
      </c>
      <c r="C185" s="85" t="s">
        <v>464</v>
      </c>
      <c r="D185" s="85" t="s">
        <v>2501</v>
      </c>
      <c r="E185" s="24" t="s">
        <v>497</v>
      </c>
      <c r="F185" s="24"/>
      <c r="G185" t="str">
        <f>_xlfn.IFNA(VLOOKUP(Таблица112[[#This Row],[KKS]],'[1]DBID Analog'!$B:$D,3,FALSE),VLOOKUP(Таблица112[[#This Row],[KKS]],'[1]DBID Digital'!$B:$E,4,FALSE))</f>
        <v>Струм ел/дв КН-7А</v>
      </c>
    </row>
    <row r="186" spans="1:7" x14ac:dyDescent="0.3">
      <c r="A186" s="84">
        <v>185</v>
      </c>
      <c r="B186" s="82" t="s">
        <v>2807</v>
      </c>
      <c r="C186" s="85" t="s">
        <v>465</v>
      </c>
      <c r="D186" s="85" t="s">
        <v>2494</v>
      </c>
      <c r="E186" s="24" t="s">
        <v>443</v>
      </c>
      <c r="F186" s="24"/>
      <c r="G186" t="str">
        <f>_xlfn.IFNA(VLOOKUP(Таблица112[[#This Row],[KKS]],'[1]DBID Analog'!$B:$D,3,FALSE),VLOOKUP(Таблица112[[#This Row],[KKS]],'[1]DBID Digital'!$B:$E,4,FALSE))</f>
        <v>КН-7Б ВКЛ</v>
      </c>
    </row>
    <row r="187" spans="1:7" x14ac:dyDescent="0.3">
      <c r="A187" s="84">
        <v>186</v>
      </c>
      <c r="B187" s="82" t="s">
        <v>2808</v>
      </c>
      <c r="C187" s="85" t="s">
        <v>465</v>
      </c>
      <c r="D187" s="85" t="s">
        <v>2495</v>
      </c>
      <c r="E187" s="24" t="s">
        <v>443</v>
      </c>
      <c r="F187" s="24"/>
      <c r="G187" t="str">
        <f>_xlfn.IFNA(VLOOKUP(Таблица112[[#This Row],[KKS]],'[1]DBID Analog'!$B:$D,3,FALSE),VLOOKUP(Таблица112[[#This Row],[KKS]],'[1]DBID Digital'!$B:$E,4,FALSE))</f>
        <v>КН-7Б ВІДКЛ АК</v>
      </c>
    </row>
    <row r="188" spans="1:7" x14ac:dyDescent="0.3">
      <c r="A188" s="84">
        <v>187</v>
      </c>
      <c r="B188" s="82" t="s">
        <v>2809</v>
      </c>
      <c r="C188" s="85" t="s">
        <v>465</v>
      </c>
      <c r="D188" s="85" t="s">
        <v>2496</v>
      </c>
      <c r="E188" s="24" t="s">
        <v>443</v>
      </c>
      <c r="F188" s="24"/>
      <c r="G188" t="str">
        <f>_xlfn.IFNA(VLOOKUP(Таблица112[[#This Row],[KKS]],'[1]DBID Analog'!$B:$D,3,FALSE),VLOOKUP(Таблица112[[#This Row],[KKS]],'[1]DBID Digital'!$B:$E,4,FALSE))</f>
        <v>КН-7Б ВІЗОК ВКОЧЕНИЙ</v>
      </c>
    </row>
    <row r="189" spans="1:7" x14ac:dyDescent="0.3">
      <c r="A189" s="84">
        <v>188</v>
      </c>
      <c r="B189" s="82" t="s">
        <v>2810</v>
      </c>
      <c r="C189" s="85" t="s">
        <v>465</v>
      </c>
      <c r="D189" s="85" t="s">
        <v>2497</v>
      </c>
      <c r="E189" s="24" t="s">
        <v>443</v>
      </c>
      <c r="F189" s="24"/>
      <c r="G189" t="str">
        <f>_xlfn.IFNA(VLOOKUP(Таблица112[[#This Row],[KKS]],'[1]DBID Analog'!$B:$D,3,FALSE),VLOOKUP(Таблица112[[#This Row],[KKS]],'[1]DBID Digital'!$B:$E,4,FALSE))</f>
        <v>КН-7Б РОБОТА ЕЛ ЗАХ</v>
      </c>
    </row>
    <row r="190" spans="1:7" x14ac:dyDescent="0.3">
      <c r="A190" s="84">
        <v>189</v>
      </c>
      <c r="B190" s="82" t="s">
        <v>2811</v>
      </c>
      <c r="C190" s="85" t="s">
        <v>465</v>
      </c>
      <c r="D190" s="85" t="s">
        <v>2498</v>
      </c>
      <c r="E190" s="24" t="s">
        <v>443</v>
      </c>
      <c r="F190" s="24"/>
      <c r="G190" t="str">
        <f>_xlfn.IFNA(VLOOKUP(Таблица112[[#This Row],[KKS]],'[1]DBID Analog'!$B:$D,3,FALSE),VLOOKUP(Таблица112[[#This Row],[KKS]],'[1]DBID Digital'!$B:$E,4,FALSE))</f>
        <v>КН-7Б ГОТОВН КІЛ КЕРУВ</v>
      </c>
    </row>
    <row r="191" spans="1:7" x14ac:dyDescent="0.3">
      <c r="A191" s="84">
        <v>190</v>
      </c>
      <c r="B191" s="82" t="s">
        <v>2812</v>
      </c>
      <c r="C191" s="85" t="s">
        <v>465</v>
      </c>
      <c r="D191" s="85" t="s">
        <v>2499</v>
      </c>
      <c r="E191" s="24" t="s">
        <v>444</v>
      </c>
      <c r="F191" s="24"/>
      <c r="G191" t="str">
        <f>_xlfn.IFNA(VLOOKUP(Таблица112[[#This Row],[KKS]],'[1]DBID Analog'!$B:$D,3,FALSE),VLOOKUP(Таблица112[[#This Row],[KKS]],'[1]DBID Digital'!$B:$E,4,FALSE))</f>
        <v>КН-7Б КВ</v>
      </c>
    </row>
    <row r="192" spans="1:7" x14ac:dyDescent="0.3">
      <c r="A192" s="84">
        <v>191</v>
      </c>
      <c r="B192" s="82" t="s">
        <v>2813</v>
      </c>
      <c r="C192" s="85" t="s">
        <v>465</v>
      </c>
      <c r="D192" s="85" t="s">
        <v>2500</v>
      </c>
      <c r="E192" s="24" t="s">
        <v>444</v>
      </c>
      <c r="F192" s="24"/>
      <c r="G192" t="str">
        <f>_xlfn.IFNA(VLOOKUP(Таблица112[[#This Row],[KKS]],'[1]DBID Analog'!$B:$D,3,FALSE),VLOOKUP(Таблица112[[#This Row],[KKS]],'[1]DBID Digital'!$B:$E,4,FALSE))</f>
        <v>КН-7Б КО</v>
      </c>
    </row>
    <row r="193" spans="1:7" x14ac:dyDescent="0.3">
      <c r="A193" s="84">
        <v>192</v>
      </c>
      <c r="B193" s="82" t="s">
        <v>2530</v>
      </c>
      <c r="C193" s="85" t="s">
        <v>465</v>
      </c>
      <c r="D193" s="85" t="s">
        <v>2501</v>
      </c>
      <c r="E193" s="24" t="s">
        <v>497</v>
      </c>
      <c r="F193" s="24"/>
      <c r="G193" t="str">
        <f>_xlfn.IFNA(VLOOKUP(Таблица112[[#This Row],[KKS]],'[1]DBID Analog'!$B:$D,3,FALSE),VLOOKUP(Таблица112[[#This Row],[KKS]],'[1]DBID Digital'!$B:$E,4,FALSE))</f>
        <v>Струм ел/дв КН-7Б</v>
      </c>
    </row>
    <row r="194" spans="1:7" x14ac:dyDescent="0.3">
      <c r="A194" s="84">
        <v>193</v>
      </c>
      <c r="B194" s="82" t="s">
        <v>2814</v>
      </c>
      <c r="C194" s="85" t="s">
        <v>467</v>
      </c>
      <c r="D194" s="85" t="s">
        <v>2494</v>
      </c>
      <c r="E194" s="24" t="s">
        <v>443</v>
      </c>
      <c r="F194" s="24"/>
      <c r="G194" t="str">
        <f>_xlfn.IFNA(VLOOKUP(Таблица112[[#This Row],[KKS]],'[1]DBID Analog'!$B:$D,3,FALSE),VLOOKUP(Таблица112[[#This Row],[KKS]],'[1]DBID Digital'!$B:$E,4,FALSE))</f>
        <v>НБЗК-7А ВКЛ</v>
      </c>
    </row>
    <row r="195" spans="1:7" x14ac:dyDescent="0.3">
      <c r="A195" s="84">
        <v>194</v>
      </c>
      <c r="B195" s="82" t="s">
        <v>2815</v>
      </c>
      <c r="C195" s="85" t="s">
        <v>467</v>
      </c>
      <c r="D195" s="85" t="s">
        <v>2495</v>
      </c>
      <c r="E195" s="24" t="s">
        <v>443</v>
      </c>
      <c r="F195" s="24"/>
      <c r="G195" t="str">
        <f>_xlfn.IFNA(VLOOKUP(Таблица112[[#This Row],[KKS]],'[1]DBID Analog'!$B:$D,3,FALSE),VLOOKUP(Таблица112[[#This Row],[KKS]],'[1]DBID Digital'!$B:$E,4,FALSE))</f>
        <v>НБЗК-7А ВІДКЛ</v>
      </c>
    </row>
    <row r="196" spans="1:7" x14ac:dyDescent="0.3">
      <c r="A196" s="84">
        <v>195</v>
      </c>
      <c r="B196" s="82" t="s">
        <v>2816</v>
      </c>
      <c r="C196" s="85" t="s">
        <v>467</v>
      </c>
      <c r="D196" s="85" t="s">
        <v>2562</v>
      </c>
      <c r="E196" s="24" t="s">
        <v>443</v>
      </c>
      <c r="F196" s="24"/>
      <c r="G196" t="str">
        <f>_xlfn.IFNA(VLOOKUP(Таблица112[[#This Row],[KKS]],'[1]DBID Analog'!$B:$D,3,FALSE),VLOOKUP(Таблица112[[#This Row],[KKS]],'[1]DBID Digital'!$B:$E,4,FALSE))</f>
        <v>НБЗК-7А НЕСПР КІЛ КЕРУВ</v>
      </c>
    </row>
    <row r="197" spans="1:7" x14ac:dyDescent="0.3">
      <c r="A197" s="84">
        <v>196</v>
      </c>
      <c r="B197" s="82" t="s">
        <v>2817</v>
      </c>
      <c r="C197" s="85" t="s">
        <v>467</v>
      </c>
      <c r="D197" s="85" t="s">
        <v>2560</v>
      </c>
      <c r="E197" s="24" t="s">
        <v>443</v>
      </c>
      <c r="F197" s="24"/>
      <c r="G197" t="str">
        <f>_xlfn.IFNA(VLOOKUP(Таблица112[[#This Row],[KKS]],'[1]DBID Analog'!$B:$D,3,FALSE),VLOOKUP(Таблица112[[#This Row],[KKS]],'[1]DBID Digital'!$B:$E,4,FALSE))</f>
        <v>НБЗК-7А ВІДКЛ АК</v>
      </c>
    </row>
    <row r="198" spans="1:7" x14ac:dyDescent="0.3">
      <c r="A198" s="84">
        <v>197</v>
      </c>
      <c r="B198" s="82" t="s">
        <v>2818</v>
      </c>
      <c r="C198" s="85" t="s">
        <v>467</v>
      </c>
      <c r="D198" s="85" t="s">
        <v>2499</v>
      </c>
      <c r="E198" s="24" t="s">
        <v>444</v>
      </c>
      <c r="F198" s="24"/>
      <c r="G198" t="str">
        <f>_xlfn.IFNA(VLOOKUP(Таблица112[[#This Row],[KKS]],'[1]DBID Analog'!$B:$D,3,FALSE),VLOOKUP(Таблица112[[#This Row],[KKS]],'[1]DBID Digital'!$B:$E,4,FALSE))</f>
        <v>НБЗК-7А КВ</v>
      </c>
    </row>
    <row r="199" spans="1:7" x14ac:dyDescent="0.3">
      <c r="A199" s="84">
        <v>198</v>
      </c>
      <c r="B199" s="82" t="s">
        <v>2819</v>
      </c>
      <c r="C199" s="85" t="s">
        <v>467</v>
      </c>
      <c r="D199" s="85" t="s">
        <v>2500</v>
      </c>
      <c r="E199" s="24" t="s">
        <v>444</v>
      </c>
      <c r="F199" s="24"/>
      <c r="G199" t="str">
        <f>_xlfn.IFNA(VLOOKUP(Таблица112[[#This Row],[KKS]],'[1]DBID Analog'!$B:$D,3,FALSE),VLOOKUP(Таблица112[[#This Row],[KKS]],'[1]DBID Digital'!$B:$E,4,FALSE))</f>
        <v>НБЗК-7А КО</v>
      </c>
    </row>
    <row r="200" spans="1:7" x14ac:dyDescent="0.3">
      <c r="A200" s="84">
        <v>199</v>
      </c>
      <c r="B200" s="82" t="s">
        <v>2564</v>
      </c>
      <c r="C200" s="85" t="s">
        <v>467</v>
      </c>
      <c r="D200" s="85" t="s">
        <v>2504</v>
      </c>
      <c r="E200" s="24" t="s">
        <v>497</v>
      </c>
      <c r="F200" s="24"/>
      <c r="G200" t="str">
        <f>_xlfn.IFNA(VLOOKUP(Таблица112[[#This Row],[KKS]],'[1]DBID Analog'!$B:$D,3,FALSE),VLOOKUP(Таблица112[[#This Row],[KKS]],'[1]DBID Digital'!$B:$E,4,FALSE))</f>
        <v>Струм ел/дв НБЗК-7А</v>
      </c>
    </row>
    <row r="201" spans="1:7" x14ac:dyDescent="0.3">
      <c r="A201" s="84">
        <v>200</v>
      </c>
      <c r="B201" s="82" t="s">
        <v>2820</v>
      </c>
      <c r="C201" s="85" t="s">
        <v>468</v>
      </c>
      <c r="D201" s="85" t="s">
        <v>2494</v>
      </c>
      <c r="E201" s="24" t="s">
        <v>443</v>
      </c>
      <c r="F201" s="24"/>
      <c r="G201" t="str">
        <f>_xlfn.IFNA(VLOOKUP(Таблица112[[#This Row],[KKS]],'[1]DBID Analog'!$B:$D,3,FALSE),VLOOKUP(Таблица112[[#This Row],[KKS]],'[1]DBID Digital'!$B:$E,4,FALSE))</f>
        <v>НБЗК-7Б ВКЛ</v>
      </c>
    </row>
    <row r="202" spans="1:7" x14ac:dyDescent="0.3">
      <c r="A202" s="84">
        <v>201</v>
      </c>
      <c r="B202" s="82" t="s">
        <v>2821</v>
      </c>
      <c r="C202" s="85" t="s">
        <v>468</v>
      </c>
      <c r="D202" s="85" t="s">
        <v>2495</v>
      </c>
      <c r="E202" s="24" t="s">
        <v>443</v>
      </c>
      <c r="F202" s="24"/>
      <c r="G202" t="str">
        <f>_xlfn.IFNA(VLOOKUP(Таблица112[[#This Row],[KKS]],'[1]DBID Analog'!$B:$D,3,FALSE),VLOOKUP(Таблица112[[#This Row],[KKS]],'[1]DBID Digital'!$B:$E,4,FALSE))</f>
        <v>НБЗК-7Б ВІДКЛ</v>
      </c>
    </row>
    <row r="203" spans="1:7" x14ac:dyDescent="0.3">
      <c r="A203" s="84">
        <v>202</v>
      </c>
      <c r="B203" s="82" t="s">
        <v>2822</v>
      </c>
      <c r="C203" s="85" t="s">
        <v>468</v>
      </c>
      <c r="D203" s="85" t="s">
        <v>2562</v>
      </c>
      <c r="E203" s="24" t="s">
        <v>443</v>
      </c>
      <c r="F203" s="24"/>
      <c r="G203" t="str">
        <f>_xlfn.IFNA(VLOOKUP(Таблица112[[#This Row],[KKS]],'[1]DBID Analog'!$B:$D,3,FALSE),VLOOKUP(Таблица112[[#This Row],[KKS]],'[1]DBID Digital'!$B:$E,4,FALSE))</f>
        <v>НБЗК-7Б НЕСПР КІЛ КЕРУВ</v>
      </c>
    </row>
    <row r="204" spans="1:7" x14ac:dyDescent="0.3">
      <c r="A204" s="84">
        <v>203</v>
      </c>
      <c r="B204" s="82" t="s">
        <v>2823</v>
      </c>
      <c r="C204" s="85" t="s">
        <v>468</v>
      </c>
      <c r="D204" s="85" t="s">
        <v>2560</v>
      </c>
      <c r="E204" s="24" t="s">
        <v>443</v>
      </c>
      <c r="F204" s="24"/>
      <c r="G204" t="str">
        <f>_xlfn.IFNA(VLOOKUP(Таблица112[[#This Row],[KKS]],'[1]DBID Analog'!$B:$D,3,FALSE),VLOOKUP(Таблица112[[#This Row],[KKS]],'[1]DBID Digital'!$B:$E,4,FALSE))</f>
        <v>НБЗК-7Б ВІДКЛ АК</v>
      </c>
    </row>
    <row r="205" spans="1:7" x14ac:dyDescent="0.3">
      <c r="A205" s="84">
        <v>204</v>
      </c>
      <c r="B205" s="82" t="s">
        <v>2824</v>
      </c>
      <c r="C205" s="85" t="s">
        <v>468</v>
      </c>
      <c r="D205" s="85" t="s">
        <v>2499</v>
      </c>
      <c r="E205" s="24" t="s">
        <v>444</v>
      </c>
      <c r="F205" s="24"/>
      <c r="G205" t="str">
        <f>_xlfn.IFNA(VLOOKUP(Таблица112[[#This Row],[KKS]],'[1]DBID Analog'!$B:$D,3,FALSE),VLOOKUP(Таблица112[[#This Row],[KKS]],'[1]DBID Digital'!$B:$E,4,FALSE))</f>
        <v>НБЗК-7Б КВ</v>
      </c>
    </row>
    <row r="206" spans="1:7" x14ac:dyDescent="0.3">
      <c r="A206" s="84">
        <v>205</v>
      </c>
      <c r="B206" s="82" t="s">
        <v>2825</v>
      </c>
      <c r="C206" s="85" t="s">
        <v>468</v>
      </c>
      <c r="D206" s="85" t="s">
        <v>2500</v>
      </c>
      <c r="E206" s="24" t="s">
        <v>444</v>
      </c>
      <c r="F206" s="24"/>
      <c r="G206" t="str">
        <f>_xlfn.IFNA(VLOOKUP(Таблица112[[#This Row],[KKS]],'[1]DBID Analog'!$B:$D,3,FALSE),VLOOKUP(Таблица112[[#This Row],[KKS]],'[1]DBID Digital'!$B:$E,4,FALSE))</f>
        <v>НБЗК-7Б КО</v>
      </c>
    </row>
    <row r="207" spans="1:7" x14ac:dyDescent="0.3">
      <c r="A207" s="84">
        <v>206</v>
      </c>
      <c r="B207" s="82" t="s">
        <v>2565</v>
      </c>
      <c r="C207" s="85" t="s">
        <v>468</v>
      </c>
      <c r="D207" s="85" t="s">
        <v>2504</v>
      </c>
      <c r="E207" s="24" t="s">
        <v>497</v>
      </c>
      <c r="F207" s="24"/>
      <c r="G207" t="str">
        <f>_xlfn.IFNA(VLOOKUP(Таблица112[[#This Row],[KKS]],'[1]DBID Analog'!$B:$D,3,FALSE),VLOOKUP(Таблица112[[#This Row],[KKS]],'[1]DBID Digital'!$B:$E,4,FALSE))</f>
        <v>Струм ел/дв НБЗК-7Б</v>
      </c>
    </row>
    <row r="208" spans="1:7" x14ac:dyDescent="0.3">
      <c r="A208" s="84">
        <v>207</v>
      </c>
      <c r="B208" s="82" t="s">
        <v>2826</v>
      </c>
      <c r="C208" s="85" t="s">
        <v>470</v>
      </c>
      <c r="D208" s="85" t="s">
        <v>2494</v>
      </c>
      <c r="E208" s="24" t="s">
        <v>443</v>
      </c>
      <c r="F208" s="24"/>
      <c r="G208" t="str">
        <f>_xlfn.IFNA(VLOOKUP(Таблица112[[#This Row],[KKS]],'[1]DBID Analog'!$B:$D,3,FALSE),VLOOKUP(Таблица112[[#This Row],[KKS]],'[1]DBID Digital'!$B:$E,4,FALSE))</f>
        <v>ПЕМН ВКЛ</v>
      </c>
    </row>
    <row r="209" spans="1:7" x14ac:dyDescent="0.3">
      <c r="A209" s="84">
        <v>208</v>
      </c>
      <c r="B209" s="82" t="s">
        <v>2827</v>
      </c>
      <c r="C209" s="85" t="s">
        <v>470</v>
      </c>
      <c r="D209" s="85" t="s">
        <v>2495</v>
      </c>
      <c r="E209" s="24" t="s">
        <v>443</v>
      </c>
      <c r="F209" s="24"/>
      <c r="G209" t="str">
        <f>_xlfn.IFNA(VLOOKUP(Таблица112[[#This Row],[KKS]],'[1]DBID Analog'!$B:$D,3,FALSE),VLOOKUP(Таблица112[[#This Row],[KKS]],'[1]DBID Digital'!$B:$E,4,FALSE))</f>
        <v>ПЕМН ВІДКЛ</v>
      </c>
    </row>
    <row r="210" spans="1:7" x14ac:dyDescent="0.3">
      <c r="A210" s="84">
        <v>209</v>
      </c>
      <c r="B210" s="82" t="s">
        <v>2828</v>
      </c>
      <c r="C210" s="85" t="s">
        <v>470</v>
      </c>
      <c r="D210" s="85" t="s">
        <v>2562</v>
      </c>
      <c r="E210" s="24" t="s">
        <v>443</v>
      </c>
      <c r="F210" s="24"/>
      <c r="G210" t="str">
        <f>_xlfn.IFNA(VLOOKUP(Таблица112[[#This Row],[KKS]],'[1]DBID Analog'!$B:$D,3,FALSE),VLOOKUP(Таблица112[[#This Row],[KKS]],'[1]DBID Digital'!$B:$E,4,FALSE))</f>
        <v>ПЕМН НЕСПР КІЛ КЕРУВ</v>
      </c>
    </row>
    <row r="211" spans="1:7" x14ac:dyDescent="0.3">
      <c r="A211" s="84">
        <v>210</v>
      </c>
      <c r="B211" s="82" t="s">
        <v>2829</v>
      </c>
      <c r="C211" s="85" t="s">
        <v>470</v>
      </c>
      <c r="D211" s="85" t="s">
        <v>2503</v>
      </c>
      <c r="E211" s="24" t="s">
        <v>443</v>
      </c>
      <c r="F211" s="24"/>
      <c r="G211" t="e">
        <f>_xlfn.IFNA(VLOOKUP(Таблица112[[#This Row],[KKS]],'[1]DBID Analog'!$B:$D,3,FALSE),VLOOKUP(Таблица112[[#This Row],[KKS]],'[1]DBID Digital'!$B:$E,4,FALSE))</f>
        <v>#N/A</v>
      </c>
    </row>
    <row r="212" spans="1:7" x14ac:dyDescent="0.3">
      <c r="A212" s="84">
        <v>211</v>
      </c>
      <c r="B212" s="82" t="s">
        <v>2830</v>
      </c>
      <c r="C212" s="85" t="s">
        <v>470</v>
      </c>
      <c r="D212" s="85" t="s">
        <v>2560</v>
      </c>
      <c r="E212" s="24" t="s">
        <v>443</v>
      </c>
      <c r="F212" s="24"/>
      <c r="G212" t="str">
        <f>_xlfn.IFNA(VLOOKUP(Таблица112[[#This Row],[KKS]],'[1]DBID Analog'!$B:$D,3,FALSE),VLOOKUP(Таблица112[[#This Row],[KKS]],'[1]DBID Digital'!$B:$E,4,FALSE))</f>
        <v>ПЕМН ВІДКЛ АК</v>
      </c>
    </row>
    <row r="213" spans="1:7" x14ac:dyDescent="0.3">
      <c r="A213" s="84">
        <v>212</v>
      </c>
      <c r="B213" s="82" t="s">
        <v>2831</v>
      </c>
      <c r="C213" s="85" t="s">
        <v>470</v>
      </c>
      <c r="D213" s="85" t="s">
        <v>2499</v>
      </c>
      <c r="E213" s="24" t="s">
        <v>444</v>
      </c>
      <c r="F213" s="24"/>
      <c r="G213" t="str">
        <f>_xlfn.IFNA(VLOOKUP(Таблица112[[#This Row],[KKS]],'[1]DBID Analog'!$B:$D,3,FALSE),VLOOKUP(Таблица112[[#This Row],[KKS]],'[1]DBID Digital'!$B:$E,4,FALSE))</f>
        <v>ПЕМН КВ</v>
      </c>
    </row>
    <row r="214" spans="1:7" x14ac:dyDescent="0.3">
      <c r="A214" s="84">
        <v>213</v>
      </c>
      <c r="B214" s="82" t="s">
        <v>2832</v>
      </c>
      <c r="C214" s="85" t="s">
        <v>470</v>
      </c>
      <c r="D214" s="85" t="s">
        <v>2500</v>
      </c>
      <c r="E214" s="24" t="s">
        <v>444</v>
      </c>
      <c r="F214" s="24"/>
      <c r="G214" t="str">
        <f>_xlfn.IFNA(VLOOKUP(Таблица112[[#This Row],[KKS]],'[1]DBID Analog'!$B:$D,3,FALSE),VLOOKUP(Таблица112[[#This Row],[KKS]],'[1]DBID Digital'!$B:$E,4,FALSE))</f>
        <v>ПЕМН КО</v>
      </c>
    </row>
    <row r="215" spans="1:7" x14ac:dyDescent="0.3">
      <c r="A215" s="84">
        <v>214</v>
      </c>
      <c r="B215" s="82" t="s">
        <v>2566</v>
      </c>
      <c r="C215" s="85" t="s">
        <v>470</v>
      </c>
      <c r="D215" s="85" t="s">
        <v>2504</v>
      </c>
      <c r="E215" s="24" t="s">
        <v>497</v>
      </c>
      <c r="F215" s="24"/>
      <c r="G215" t="str">
        <f>_xlfn.IFNA(VLOOKUP(Таблица112[[#This Row],[KKS]],'[1]DBID Analog'!$B:$D,3,FALSE),VLOOKUP(Таблица112[[#This Row],[KKS]],'[1]DBID Digital'!$B:$E,4,FALSE))</f>
        <v>Струм ел/дв ПЕМН</v>
      </c>
    </row>
    <row r="216" spans="1:7" x14ac:dyDescent="0.3">
      <c r="A216" s="84">
        <v>215</v>
      </c>
      <c r="B216" s="82" t="s">
        <v>2833</v>
      </c>
      <c r="C216" s="85" t="s">
        <v>739</v>
      </c>
      <c r="D216" s="85" t="s">
        <v>2494</v>
      </c>
      <c r="E216" s="24" t="s">
        <v>443</v>
      </c>
      <c r="F216" s="24"/>
      <c r="G216" t="str">
        <f>_xlfn.IFNA(VLOOKUP(Таблица112[[#This Row],[KKS]],'[1]DBID Analog'!$B:$D,3,FALSE),VLOOKUP(Таблица112[[#This Row],[KKS]],'[1]DBID Digital'!$B:$E,4,FALSE))</f>
        <v>РЕМН ВКЛ</v>
      </c>
    </row>
    <row r="217" spans="1:7" x14ac:dyDescent="0.3">
      <c r="A217" s="84">
        <v>216</v>
      </c>
      <c r="B217" s="82" t="s">
        <v>2834</v>
      </c>
      <c r="C217" s="85" t="s">
        <v>739</v>
      </c>
      <c r="D217" s="85" t="s">
        <v>2495</v>
      </c>
      <c r="E217" s="24" t="s">
        <v>443</v>
      </c>
      <c r="F217" s="24"/>
      <c r="G217" t="str">
        <f>_xlfn.IFNA(VLOOKUP(Таблица112[[#This Row],[KKS]],'[1]DBID Analog'!$B:$D,3,FALSE),VLOOKUP(Таблица112[[#This Row],[KKS]],'[1]DBID Digital'!$B:$E,4,FALSE))</f>
        <v>РЕМН ВІДКЛ</v>
      </c>
    </row>
    <row r="218" spans="1:7" x14ac:dyDescent="0.3">
      <c r="A218" s="84">
        <v>217</v>
      </c>
      <c r="B218" s="82" t="s">
        <v>2835</v>
      </c>
      <c r="C218" s="85" t="s">
        <v>739</v>
      </c>
      <c r="D218" s="85" t="s">
        <v>2562</v>
      </c>
      <c r="E218" s="25" t="s">
        <v>443</v>
      </c>
      <c r="F218" s="25"/>
      <c r="G218" t="str">
        <f>_xlfn.IFNA(VLOOKUP(Таблица112[[#This Row],[KKS]],'[1]DBID Analog'!$B:$D,3,FALSE),VLOOKUP(Таблица112[[#This Row],[KKS]],'[1]DBID Digital'!$B:$E,4,FALSE))</f>
        <v>РЕМН НЕСПР КІЛ КЕРУВ</v>
      </c>
    </row>
    <row r="219" spans="1:7" x14ac:dyDescent="0.3">
      <c r="A219" s="84">
        <v>218</v>
      </c>
      <c r="B219" s="82" t="s">
        <v>2836</v>
      </c>
      <c r="C219" s="85" t="s">
        <v>739</v>
      </c>
      <c r="D219" s="85" t="s">
        <v>2560</v>
      </c>
      <c r="E219" s="25" t="s">
        <v>443</v>
      </c>
      <c r="F219" s="25"/>
      <c r="G219" t="str">
        <f>_xlfn.IFNA(VLOOKUP(Таблица112[[#This Row],[KKS]],'[1]DBID Analog'!$B:$D,3,FALSE),VLOOKUP(Таблица112[[#This Row],[KKS]],'[1]DBID Digital'!$B:$E,4,FALSE))</f>
        <v>РЕМН ВІДКЛ АК</v>
      </c>
    </row>
    <row r="220" spans="1:7" x14ac:dyDescent="0.3">
      <c r="A220" s="84">
        <v>219</v>
      </c>
      <c r="B220" s="82" t="s">
        <v>2837</v>
      </c>
      <c r="C220" s="85" t="s">
        <v>739</v>
      </c>
      <c r="D220" s="85" t="s">
        <v>2499</v>
      </c>
      <c r="E220" s="25" t="s">
        <v>444</v>
      </c>
      <c r="F220" s="25"/>
      <c r="G220" t="str">
        <f>_xlfn.IFNA(VLOOKUP(Таблица112[[#This Row],[KKS]],'[1]DBID Analog'!$B:$D,3,FALSE),VLOOKUP(Таблица112[[#This Row],[KKS]],'[1]DBID Digital'!$B:$E,4,FALSE))</f>
        <v>РЕМН КВ</v>
      </c>
    </row>
    <row r="221" spans="1:7" x14ac:dyDescent="0.3">
      <c r="A221" s="84">
        <v>220</v>
      </c>
      <c r="B221" s="82" t="s">
        <v>2838</v>
      </c>
      <c r="C221" s="85" t="s">
        <v>739</v>
      </c>
      <c r="D221" s="85" t="s">
        <v>2500</v>
      </c>
      <c r="E221" s="25" t="s">
        <v>444</v>
      </c>
      <c r="F221" s="25"/>
      <c r="G221" t="str">
        <f>_xlfn.IFNA(VLOOKUP(Таблица112[[#This Row],[KKS]],'[1]DBID Analog'!$B:$D,3,FALSE),VLOOKUP(Таблица112[[#This Row],[KKS]],'[1]DBID Digital'!$B:$E,4,FALSE))</f>
        <v>РЕМН КО</v>
      </c>
    </row>
    <row r="222" spans="1:7" x14ac:dyDescent="0.3">
      <c r="A222" s="84">
        <v>221</v>
      </c>
      <c r="B222" s="82" t="s">
        <v>2567</v>
      </c>
      <c r="C222" s="85" t="s">
        <v>739</v>
      </c>
      <c r="D222" s="85" t="s">
        <v>2504</v>
      </c>
      <c r="E222" s="25" t="s">
        <v>497</v>
      </c>
      <c r="F222" s="25"/>
      <c r="G222" t="str">
        <f>_xlfn.IFNA(VLOOKUP(Таблица112[[#This Row],[KKS]],'[1]DBID Analog'!$B:$D,3,FALSE),VLOOKUP(Таблица112[[#This Row],[KKS]],'[1]DBID Digital'!$B:$E,4,FALSE))</f>
        <v>Струм ел/дв РЕМН</v>
      </c>
    </row>
    <row r="223" spans="1:7" x14ac:dyDescent="0.3">
      <c r="A223" s="84">
        <v>222</v>
      </c>
      <c r="B223" s="82" t="s">
        <v>2839</v>
      </c>
      <c r="C223" s="85" t="s">
        <v>472</v>
      </c>
      <c r="D223" s="85" t="s">
        <v>2494</v>
      </c>
      <c r="E223" s="25" t="s">
        <v>443</v>
      </c>
      <c r="F223" s="25"/>
      <c r="G223" t="str">
        <f>_xlfn.IFNA(VLOOKUP(Таблица112[[#This Row],[KKS]],'[1]DBID Analog'!$B:$D,3,FALSE),VLOOKUP(Таблица112[[#This Row],[KKS]],'[1]DBID Digital'!$B:$E,4,FALSE))</f>
        <v>АЕМН ВКЛ</v>
      </c>
    </row>
    <row r="224" spans="1:7" x14ac:dyDescent="0.3">
      <c r="A224" s="84">
        <v>223</v>
      </c>
      <c r="B224" s="82" t="s">
        <v>2840</v>
      </c>
      <c r="C224" s="85" t="s">
        <v>472</v>
      </c>
      <c r="D224" s="85" t="s">
        <v>2495</v>
      </c>
      <c r="E224" s="24" t="s">
        <v>443</v>
      </c>
      <c r="F224" s="24"/>
      <c r="G224" t="str">
        <f>_xlfn.IFNA(VLOOKUP(Таблица112[[#This Row],[KKS]],'[1]DBID Analog'!$B:$D,3,FALSE),VLOOKUP(Таблица112[[#This Row],[KKS]],'[1]DBID Digital'!$B:$E,4,FALSE))</f>
        <v>АЕМН ВІДКЛ</v>
      </c>
    </row>
    <row r="225" spans="1:7" x14ac:dyDescent="0.3">
      <c r="A225" s="84">
        <v>224</v>
      </c>
      <c r="B225" s="82" t="s">
        <v>2841</v>
      </c>
      <c r="C225" s="85" t="s">
        <v>472</v>
      </c>
      <c r="D225" s="85" t="s">
        <v>2562</v>
      </c>
      <c r="E225" s="24" t="s">
        <v>443</v>
      </c>
      <c r="F225" s="24"/>
      <c r="G225" t="str">
        <f>_xlfn.IFNA(VLOOKUP(Таблица112[[#This Row],[KKS]],'[1]DBID Analog'!$B:$D,3,FALSE),VLOOKUP(Таблица112[[#This Row],[KKS]],'[1]DBID Digital'!$B:$E,4,FALSE))</f>
        <v>АЕМН НЕСПР КІЛ КЕРУВ</v>
      </c>
    </row>
    <row r="226" spans="1:7" x14ac:dyDescent="0.3">
      <c r="A226" s="84">
        <v>225</v>
      </c>
      <c r="B226" s="82" t="s">
        <v>2842</v>
      </c>
      <c r="C226" s="85" t="s">
        <v>472</v>
      </c>
      <c r="D226" s="85" t="s">
        <v>2503</v>
      </c>
      <c r="E226" s="24" t="s">
        <v>443</v>
      </c>
      <c r="F226" s="24"/>
      <c r="G226" t="e">
        <f>_xlfn.IFNA(VLOOKUP(Таблица112[[#This Row],[KKS]],'[1]DBID Analog'!$B:$D,3,FALSE),VLOOKUP(Таблица112[[#This Row],[KKS]],'[1]DBID Digital'!$B:$E,4,FALSE))</f>
        <v>#N/A</v>
      </c>
    </row>
    <row r="227" spans="1:7" x14ac:dyDescent="0.3">
      <c r="A227" s="84">
        <v>226</v>
      </c>
      <c r="B227" s="82" t="s">
        <v>2843</v>
      </c>
      <c r="C227" s="85" t="s">
        <v>472</v>
      </c>
      <c r="D227" s="85" t="s">
        <v>2499</v>
      </c>
      <c r="E227" s="24" t="s">
        <v>444</v>
      </c>
      <c r="F227" s="24"/>
      <c r="G227" t="str">
        <f>_xlfn.IFNA(VLOOKUP(Таблица112[[#This Row],[KKS]],'[1]DBID Analog'!$B:$D,3,FALSE),VLOOKUP(Таблица112[[#This Row],[KKS]],'[1]DBID Digital'!$B:$E,4,FALSE))</f>
        <v>АЕМН КВ</v>
      </c>
    </row>
    <row r="228" spans="1:7" x14ac:dyDescent="0.3">
      <c r="A228" s="84">
        <v>227</v>
      </c>
      <c r="B228" s="82" t="s">
        <v>2844</v>
      </c>
      <c r="C228" s="85" t="s">
        <v>472</v>
      </c>
      <c r="D228" s="85" t="s">
        <v>2500</v>
      </c>
      <c r="E228" s="24" t="s">
        <v>444</v>
      </c>
      <c r="F228" s="24"/>
      <c r="G228" t="str">
        <f>_xlfn.IFNA(VLOOKUP(Таблица112[[#This Row],[KKS]],'[1]DBID Analog'!$B:$D,3,FALSE),VLOOKUP(Таблица112[[#This Row],[KKS]],'[1]DBID Digital'!$B:$E,4,FALSE))</f>
        <v>АЕМН КО</v>
      </c>
    </row>
    <row r="229" spans="1:7" x14ac:dyDescent="0.3">
      <c r="A229" s="84">
        <v>228</v>
      </c>
      <c r="B229" s="82" t="s">
        <v>2568</v>
      </c>
      <c r="C229" s="85" t="s">
        <v>472</v>
      </c>
      <c r="D229" s="85" t="s">
        <v>2504</v>
      </c>
      <c r="E229" s="24" t="s">
        <v>497</v>
      </c>
      <c r="F229" s="24"/>
      <c r="G229" t="str">
        <f>_xlfn.IFNA(VLOOKUP(Таблица112[[#This Row],[KKS]],'[1]DBID Analog'!$B:$D,3,FALSE),VLOOKUP(Таблица112[[#This Row],[KKS]],'[1]DBID Digital'!$B:$E,4,FALSE))</f>
        <v>Струм ел/дв АЕМН</v>
      </c>
    </row>
    <row r="230" spans="1:7" x14ac:dyDescent="0.3">
      <c r="A230" s="84">
        <v>229</v>
      </c>
      <c r="B230" s="82" t="s">
        <v>2845</v>
      </c>
      <c r="C230" s="85" t="s">
        <v>474</v>
      </c>
      <c r="D230" s="85" t="s">
        <v>2494</v>
      </c>
      <c r="E230" s="24" t="s">
        <v>443</v>
      </c>
      <c r="F230" s="24"/>
      <c r="G230" t="str">
        <f>_xlfn.IFNA(VLOOKUP(Таблица112[[#This Row],[KKS]],'[1]DBID Analog'!$B:$D,3,FALSE),VLOOKUP(Таблица112[[#This Row],[KKS]],'[1]DBID Digital'!$B:$E,4,FALSE))</f>
        <v>МН ЖЕН-7А1 ВКЛ</v>
      </c>
    </row>
    <row r="231" spans="1:7" x14ac:dyDescent="0.3">
      <c r="A231" s="84">
        <v>230</v>
      </c>
      <c r="B231" s="82" t="s">
        <v>2846</v>
      </c>
      <c r="C231" s="85" t="s">
        <v>474</v>
      </c>
      <c r="D231" s="85" t="s">
        <v>2495</v>
      </c>
      <c r="E231" s="24" t="s">
        <v>443</v>
      </c>
      <c r="F231" s="24"/>
      <c r="G231" t="str">
        <f>_xlfn.IFNA(VLOOKUP(Таблица112[[#This Row],[KKS]],'[1]DBID Analog'!$B:$D,3,FALSE),VLOOKUP(Таблица112[[#This Row],[KKS]],'[1]DBID Digital'!$B:$E,4,FALSE))</f>
        <v>МН ЖЕН-7А1 ВІДКЛ</v>
      </c>
    </row>
    <row r="232" spans="1:7" x14ac:dyDescent="0.3">
      <c r="A232" s="84">
        <v>231</v>
      </c>
      <c r="B232" s="82" t="s">
        <v>2847</v>
      </c>
      <c r="C232" s="85" t="s">
        <v>474</v>
      </c>
      <c r="D232" s="85" t="s">
        <v>2562</v>
      </c>
      <c r="E232" s="24" t="s">
        <v>443</v>
      </c>
      <c r="F232" s="24"/>
      <c r="G232" t="str">
        <f>_xlfn.IFNA(VLOOKUP(Таблица112[[#This Row],[KKS]],'[1]DBID Analog'!$B:$D,3,FALSE),VLOOKUP(Таблица112[[#This Row],[KKS]],'[1]DBID Digital'!$B:$E,4,FALSE))</f>
        <v>МН ЖЕН-7А1 НЕСПР КІЛ КЕРУВ</v>
      </c>
    </row>
    <row r="233" spans="1:7" x14ac:dyDescent="0.3">
      <c r="A233" s="84">
        <v>232</v>
      </c>
      <c r="B233" s="82" t="s">
        <v>2848</v>
      </c>
      <c r="C233" s="85" t="s">
        <v>474</v>
      </c>
      <c r="D233" s="85" t="s">
        <v>2560</v>
      </c>
      <c r="E233" s="24" t="s">
        <v>443</v>
      </c>
      <c r="F233" s="24"/>
      <c r="G233" t="str">
        <f>_xlfn.IFNA(VLOOKUP(Таблица112[[#This Row],[KKS]],'[1]DBID Analog'!$B:$D,3,FALSE),VLOOKUP(Таблица112[[#This Row],[KKS]],'[1]DBID Digital'!$B:$E,4,FALSE))</f>
        <v>МН ЖЕН-7А1 ВІДКЛ АК</v>
      </c>
    </row>
    <row r="234" spans="1:7" x14ac:dyDescent="0.3">
      <c r="A234" s="84">
        <v>233</v>
      </c>
      <c r="B234" s="82" t="s">
        <v>2849</v>
      </c>
      <c r="C234" s="85" t="s">
        <v>474</v>
      </c>
      <c r="D234" s="85" t="s">
        <v>2499</v>
      </c>
      <c r="E234" s="24" t="s">
        <v>444</v>
      </c>
      <c r="F234" s="24"/>
      <c r="G234" t="str">
        <f>_xlfn.IFNA(VLOOKUP(Таблица112[[#This Row],[KKS]],'[1]DBID Analog'!$B:$D,3,FALSE),VLOOKUP(Таблица112[[#This Row],[KKS]],'[1]DBID Digital'!$B:$E,4,FALSE))</f>
        <v>МН ЖЕН-7А1 КВ</v>
      </c>
    </row>
    <row r="235" spans="1:7" x14ac:dyDescent="0.3">
      <c r="A235" s="84">
        <v>234</v>
      </c>
      <c r="B235" s="82" t="s">
        <v>2850</v>
      </c>
      <c r="C235" s="85" t="s">
        <v>474</v>
      </c>
      <c r="D235" s="85" t="s">
        <v>2500</v>
      </c>
      <c r="E235" s="24" t="s">
        <v>444</v>
      </c>
      <c r="F235" s="24"/>
      <c r="G235" t="str">
        <f>_xlfn.IFNA(VLOOKUP(Таблица112[[#This Row],[KKS]],'[1]DBID Analog'!$B:$D,3,FALSE),VLOOKUP(Таблица112[[#This Row],[KKS]],'[1]DBID Digital'!$B:$E,4,FALSE))</f>
        <v>МН ЖЕН-7А1 КО</v>
      </c>
    </row>
    <row r="236" spans="1:7" x14ac:dyDescent="0.3">
      <c r="A236" s="84">
        <v>235</v>
      </c>
      <c r="B236" s="82" t="s">
        <v>2851</v>
      </c>
      <c r="C236" s="85" t="s">
        <v>474</v>
      </c>
      <c r="D236" s="85" t="s">
        <v>2596</v>
      </c>
      <c r="E236" s="24" t="s">
        <v>444</v>
      </c>
      <c r="F236" s="24"/>
      <c r="G236" t="e">
        <f>_xlfn.IFNA(VLOOKUP(Таблица112[[#This Row],[KKS]],'[1]DBID Analog'!$B:$D,3,FALSE),VLOOKUP(Таблица112[[#This Row],[KKS]],'[1]DBID Digital'!$B:$E,4,FALSE))</f>
        <v>#N/A</v>
      </c>
    </row>
    <row r="237" spans="1:7" x14ac:dyDescent="0.3">
      <c r="A237" s="84">
        <v>236</v>
      </c>
      <c r="B237" s="82" t="s">
        <v>2587</v>
      </c>
      <c r="C237" s="85" t="s">
        <v>474</v>
      </c>
      <c r="D237" s="85" t="s">
        <v>2504</v>
      </c>
      <c r="E237" s="24" t="s">
        <v>497</v>
      </c>
      <c r="F237" s="24"/>
      <c r="G237" t="str">
        <f>_xlfn.IFNA(VLOOKUP(Таблица112[[#This Row],[KKS]],'[1]DBID Analog'!$B:$D,3,FALSE),VLOOKUP(Таблица112[[#This Row],[KKS]],'[1]DBID Digital'!$B:$E,4,FALSE))</f>
        <v>Струм ел/дв МН ЖЕН-7А1</v>
      </c>
    </row>
    <row r="238" spans="1:7" x14ac:dyDescent="0.3">
      <c r="A238" s="84">
        <v>237</v>
      </c>
      <c r="B238" s="82" t="s">
        <v>2852</v>
      </c>
      <c r="C238" s="85" t="s">
        <v>475</v>
      </c>
      <c r="D238" s="85" t="s">
        <v>2494</v>
      </c>
      <c r="E238" s="24" t="s">
        <v>443</v>
      </c>
      <c r="F238" s="24"/>
      <c r="G238" t="str">
        <f>_xlfn.IFNA(VLOOKUP(Таблица112[[#This Row],[KKS]],'[1]DBID Analog'!$B:$D,3,FALSE),VLOOKUP(Таблица112[[#This Row],[KKS]],'[1]DBID Digital'!$B:$E,4,FALSE))</f>
        <v>МН ЖЕН-7А2 ВКЛ</v>
      </c>
    </row>
    <row r="239" spans="1:7" x14ac:dyDescent="0.3">
      <c r="A239" s="84">
        <v>238</v>
      </c>
      <c r="B239" s="82" t="s">
        <v>2853</v>
      </c>
      <c r="C239" s="85" t="s">
        <v>475</v>
      </c>
      <c r="D239" s="85" t="s">
        <v>2495</v>
      </c>
      <c r="E239" s="24" t="s">
        <v>443</v>
      </c>
      <c r="F239" s="24"/>
      <c r="G239" t="str">
        <f>_xlfn.IFNA(VLOOKUP(Таблица112[[#This Row],[KKS]],'[1]DBID Analog'!$B:$D,3,FALSE),VLOOKUP(Таблица112[[#This Row],[KKS]],'[1]DBID Digital'!$B:$E,4,FALSE))</f>
        <v>МН ЖЕН-7А2 ВІДКЛ</v>
      </c>
    </row>
    <row r="240" spans="1:7" x14ac:dyDescent="0.3">
      <c r="A240" s="84">
        <v>239</v>
      </c>
      <c r="B240" s="82" t="s">
        <v>2854</v>
      </c>
      <c r="C240" s="85" t="s">
        <v>475</v>
      </c>
      <c r="D240" s="85" t="s">
        <v>2562</v>
      </c>
      <c r="E240" s="24" t="s">
        <v>443</v>
      </c>
      <c r="F240" s="24"/>
      <c r="G240" t="str">
        <f>_xlfn.IFNA(VLOOKUP(Таблица112[[#This Row],[KKS]],'[1]DBID Analog'!$B:$D,3,FALSE),VLOOKUP(Таблица112[[#This Row],[KKS]],'[1]DBID Digital'!$B:$E,4,FALSE))</f>
        <v>МН ЖЕН-7А2 НЕСПР КІЛ КЕРУВ</v>
      </c>
    </row>
    <row r="241" spans="1:7" x14ac:dyDescent="0.3">
      <c r="A241" s="84">
        <v>240</v>
      </c>
      <c r="B241" s="82" t="s">
        <v>2855</v>
      </c>
      <c r="C241" s="85" t="s">
        <v>475</v>
      </c>
      <c r="D241" s="85" t="s">
        <v>2560</v>
      </c>
      <c r="E241" s="24" t="s">
        <v>443</v>
      </c>
      <c r="F241" s="24"/>
      <c r="G241" t="str">
        <f>_xlfn.IFNA(VLOOKUP(Таблица112[[#This Row],[KKS]],'[1]DBID Analog'!$B:$D,3,FALSE),VLOOKUP(Таблица112[[#This Row],[KKS]],'[1]DBID Digital'!$B:$E,4,FALSE))</f>
        <v>МН ЖЕН-7А2 ВІДКЛ АК</v>
      </c>
    </row>
    <row r="242" spans="1:7" x14ac:dyDescent="0.3">
      <c r="A242" s="84">
        <v>241</v>
      </c>
      <c r="B242" s="82" t="s">
        <v>2856</v>
      </c>
      <c r="C242" s="85" t="s">
        <v>475</v>
      </c>
      <c r="D242" s="85" t="s">
        <v>2499</v>
      </c>
      <c r="E242" s="24" t="s">
        <v>444</v>
      </c>
      <c r="F242" s="24"/>
      <c r="G242" t="str">
        <f>_xlfn.IFNA(VLOOKUP(Таблица112[[#This Row],[KKS]],'[1]DBID Analog'!$B:$D,3,FALSE),VLOOKUP(Таблица112[[#This Row],[KKS]],'[1]DBID Digital'!$B:$E,4,FALSE))</f>
        <v>МН ЖЕН-7А2 КВ</v>
      </c>
    </row>
    <row r="243" spans="1:7" x14ac:dyDescent="0.3">
      <c r="A243" s="84">
        <v>242</v>
      </c>
      <c r="B243" s="82" t="s">
        <v>2857</v>
      </c>
      <c r="C243" s="85" t="s">
        <v>475</v>
      </c>
      <c r="D243" s="85" t="s">
        <v>2500</v>
      </c>
      <c r="E243" s="24" t="s">
        <v>444</v>
      </c>
      <c r="F243" s="24"/>
      <c r="G243" t="str">
        <f>_xlfn.IFNA(VLOOKUP(Таблица112[[#This Row],[KKS]],'[1]DBID Analog'!$B:$D,3,FALSE),VLOOKUP(Таблица112[[#This Row],[KKS]],'[1]DBID Digital'!$B:$E,4,FALSE))</f>
        <v>МН ЖЕН-7А2 КО</v>
      </c>
    </row>
    <row r="244" spans="1:7" x14ac:dyDescent="0.3">
      <c r="A244" s="84">
        <v>243</v>
      </c>
      <c r="B244" s="82" t="s">
        <v>2858</v>
      </c>
      <c r="C244" s="85" t="s">
        <v>475</v>
      </c>
      <c r="D244" s="85" t="s">
        <v>2596</v>
      </c>
      <c r="E244" s="24" t="s">
        <v>444</v>
      </c>
      <c r="F244" s="24"/>
      <c r="G244" t="e">
        <f>_xlfn.IFNA(VLOOKUP(Таблица112[[#This Row],[KKS]],'[1]DBID Analog'!$B:$D,3,FALSE),VLOOKUP(Таблица112[[#This Row],[KKS]],'[1]DBID Digital'!$B:$E,4,FALSE))</f>
        <v>#N/A</v>
      </c>
    </row>
    <row r="245" spans="1:7" x14ac:dyDescent="0.3">
      <c r="A245" s="84">
        <v>244</v>
      </c>
      <c r="B245" s="82" t="s">
        <v>2588</v>
      </c>
      <c r="C245" s="85" t="s">
        <v>475</v>
      </c>
      <c r="D245" s="85" t="s">
        <v>2504</v>
      </c>
      <c r="E245" s="24" t="s">
        <v>497</v>
      </c>
      <c r="F245" s="24"/>
      <c r="G245" t="str">
        <f>_xlfn.IFNA(VLOOKUP(Таблица112[[#This Row],[KKS]],'[1]DBID Analog'!$B:$D,3,FALSE),VLOOKUP(Таблица112[[#This Row],[KKS]],'[1]DBID Digital'!$B:$E,4,FALSE))</f>
        <v>Струм ел/дв МН ЖЕН-7А2</v>
      </c>
    </row>
    <row r="246" spans="1:7" x14ac:dyDescent="0.3">
      <c r="A246" s="84">
        <v>245</v>
      </c>
      <c r="B246" s="82" t="s">
        <v>2859</v>
      </c>
      <c r="C246" s="85" t="s">
        <v>476</v>
      </c>
      <c r="D246" s="85" t="s">
        <v>2494</v>
      </c>
      <c r="E246" s="24" t="s">
        <v>443</v>
      </c>
      <c r="F246" s="24"/>
      <c r="G246" t="str">
        <f>_xlfn.IFNA(VLOOKUP(Таблица112[[#This Row],[KKS]],'[1]DBID Analog'!$B:$D,3,FALSE),VLOOKUP(Таблица112[[#This Row],[KKS]],'[1]DBID Digital'!$B:$E,4,FALSE))</f>
        <v>МН ЖЕН-7Б1 ВКЛ</v>
      </c>
    </row>
    <row r="247" spans="1:7" x14ac:dyDescent="0.3">
      <c r="A247" s="84">
        <v>246</v>
      </c>
      <c r="B247" s="82" t="s">
        <v>2860</v>
      </c>
      <c r="C247" s="85" t="s">
        <v>476</v>
      </c>
      <c r="D247" s="85" t="s">
        <v>2495</v>
      </c>
      <c r="E247" s="24" t="s">
        <v>443</v>
      </c>
      <c r="F247" s="24"/>
      <c r="G247" t="str">
        <f>_xlfn.IFNA(VLOOKUP(Таблица112[[#This Row],[KKS]],'[1]DBID Analog'!$B:$D,3,FALSE),VLOOKUP(Таблица112[[#This Row],[KKS]],'[1]DBID Digital'!$B:$E,4,FALSE))</f>
        <v>МН ЖЕН-7Б1 ВІДКЛ</v>
      </c>
    </row>
    <row r="248" spans="1:7" x14ac:dyDescent="0.3">
      <c r="A248" s="84">
        <v>247</v>
      </c>
      <c r="B248" s="82" t="s">
        <v>2861</v>
      </c>
      <c r="C248" s="85" t="s">
        <v>476</v>
      </c>
      <c r="D248" s="85" t="s">
        <v>2562</v>
      </c>
      <c r="E248" s="24" t="s">
        <v>443</v>
      </c>
      <c r="F248" s="24"/>
      <c r="G248" t="str">
        <f>_xlfn.IFNA(VLOOKUP(Таблица112[[#This Row],[KKS]],'[1]DBID Analog'!$B:$D,3,FALSE),VLOOKUP(Таблица112[[#This Row],[KKS]],'[1]DBID Digital'!$B:$E,4,FALSE))</f>
        <v>МН ЖЕН-7Б1 НЕСПР КІЛ КЕРУВ</v>
      </c>
    </row>
    <row r="249" spans="1:7" x14ac:dyDescent="0.3">
      <c r="A249" s="84">
        <v>248</v>
      </c>
      <c r="B249" s="82" t="s">
        <v>2862</v>
      </c>
      <c r="C249" s="85" t="s">
        <v>476</v>
      </c>
      <c r="D249" s="85" t="s">
        <v>2560</v>
      </c>
      <c r="E249" s="24" t="s">
        <v>443</v>
      </c>
      <c r="F249" s="24"/>
      <c r="G249" t="str">
        <f>_xlfn.IFNA(VLOOKUP(Таблица112[[#This Row],[KKS]],'[1]DBID Analog'!$B:$D,3,FALSE),VLOOKUP(Таблица112[[#This Row],[KKS]],'[1]DBID Digital'!$B:$E,4,FALSE))</f>
        <v>МН ЖЕН-7Б1 ВІДКЛ АК</v>
      </c>
    </row>
    <row r="250" spans="1:7" x14ac:dyDescent="0.3">
      <c r="A250" s="84">
        <v>249</v>
      </c>
      <c r="B250" s="82" t="s">
        <v>2863</v>
      </c>
      <c r="C250" s="85" t="s">
        <v>476</v>
      </c>
      <c r="D250" s="85" t="s">
        <v>2499</v>
      </c>
      <c r="E250" s="24" t="s">
        <v>444</v>
      </c>
      <c r="F250" s="24"/>
      <c r="G250" t="str">
        <f>_xlfn.IFNA(VLOOKUP(Таблица112[[#This Row],[KKS]],'[1]DBID Analog'!$B:$D,3,FALSE),VLOOKUP(Таблица112[[#This Row],[KKS]],'[1]DBID Digital'!$B:$E,4,FALSE))</f>
        <v>МН ЖЕН-7Б1 КВ</v>
      </c>
    </row>
    <row r="251" spans="1:7" x14ac:dyDescent="0.3">
      <c r="A251" s="84">
        <v>250</v>
      </c>
      <c r="B251" s="82" t="s">
        <v>2864</v>
      </c>
      <c r="C251" s="85" t="s">
        <v>476</v>
      </c>
      <c r="D251" s="85" t="s">
        <v>2500</v>
      </c>
      <c r="E251" s="24" t="s">
        <v>444</v>
      </c>
      <c r="F251" s="24"/>
      <c r="G251" t="str">
        <f>_xlfn.IFNA(VLOOKUP(Таблица112[[#This Row],[KKS]],'[1]DBID Analog'!$B:$D,3,FALSE),VLOOKUP(Таблица112[[#This Row],[KKS]],'[1]DBID Digital'!$B:$E,4,FALSE))</f>
        <v>МН ЖЕН-7Б1 КО</v>
      </c>
    </row>
    <row r="252" spans="1:7" x14ac:dyDescent="0.3">
      <c r="A252" s="84">
        <v>251</v>
      </c>
      <c r="B252" s="82" t="s">
        <v>2865</v>
      </c>
      <c r="C252" s="85" t="s">
        <v>476</v>
      </c>
      <c r="D252" s="85" t="s">
        <v>2596</v>
      </c>
      <c r="E252" s="24" t="s">
        <v>444</v>
      </c>
      <c r="F252" s="24"/>
      <c r="G252" t="e">
        <f>_xlfn.IFNA(VLOOKUP(Таблица112[[#This Row],[KKS]],'[1]DBID Analog'!$B:$D,3,FALSE),VLOOKUP(Таблица112[[#This Row],[KKS]],'[1]DBID Digital'!$B:$E,4,FALSE))</f>
        <v>#N/A</v>
      </c>
    </row>
    <row r="253" spans="1:7" x14ac:dyDescent="0.3">
      <c r="A253" s="84">
        <v>252</v>
      </c>
      <c r="B253" s="82" t="s">
        <v>2589</v>
      </c>
      <c r="C253" s="85" t="s">
        <v>476</v>
      </c>
      <c r="D253" s="85" t="s">
        <v>2504</v>
      </c>
      <c r="E253" s="24" t="s">
        <v>497</v>
      </c>
      <c r="F253" s="24"/>
      <c r="G253" t="str">
        <f>_xlfn.IFNA(VLOOKUP(Таблица112[[#This Row],[KKS]],'[1]DBID Analog'!$B:$D,3,FALSE),VLOOKUP(Таблица112[[#This Row],[KKS]],'[1]DBID Digital'!$B:$E,4,FALSE))</f>
        <v>Струм ел/дв МН ЖЕН-7Б1</v>
      </c>
    </row>
    <row r="254" spans="1:7" x14ac:dyDescent="0.3">
      <c r="A254" s="84">
        <v>253</v>
      </c>
      <c r="B254" s="82" t="s">
        <v>2866</v>
      </c>
      <c r="C254" s="85" t="s">
        <v>477</v>
      </c>
      <c r="D254" s="85" t="s">
        <v>2494</v>
      </c>
      <c r="E254" s="24" t="s">
        <v>443</v>
      </c>
      <c r="F254" s="24"/>
      <c r="G254" t="str">
        <f>_xlfn.IFNA(VLOOKUP(Таблица112[[#This Row],[KKS]],'[1]DBID Analog'!$B:$D,3,FALSE),VLOOKUP(Таблица112[[#This Row],[KKS]],'[1]DBID Digital'!$B:$E,4,FALSE))</f>
        <v>МН ЖЕН-7Б2 ВКЛ</v>
      </c>
    </row>
    <row r="255" spans="1:7" x14ac:dyDescent="0.3">
      <c r="A255" s="84">
        <v>254</v>
      </c>
      <c r="B255" s="82" t="s">
        <v>2867</v>
      </c>
      <c r="C255" s="85" t="s">
        <v>477</v>
      </c>
      <c r="D255" s="85" t="s">
        <v>2495</v>
      </c>
      <c r="E255" s="24" t="s">
        <v>443</v>
      </c>
      <c r="F255" s="24"/>
      <c r="G255" t="str">
        <f>_xlfn.IFNA(VLOOKUP(Таблица112[[#This Row],[KKS]],'[1]DBID Analog'!$B:$D,3,FALSE),VLOOKUP(Таблица112[[#This Row],[KKS]],'[1]DBID Digital'!$B:$E,4,FALSE))</f>
        <v>МН ЖЕН-7Б2 ВІДКЛ</v>
      </c>
    </row>
    <row r="256" spans="1:7" x14ac:dyDescent="0.3">
      <c r="A256" s="84">
        <v>255</v>
      </c>
      <c r="B256" s="82" t="s">
        <v>2868</v>
      </c>
      <c r="C256" s="85" t="s">
        <v>477</v>
      </c>
      <c r="D256" s="85" t="s">
        <v>2562</v>
      </c>
      <c r="E256" s="24" t="s">
        <v>443</v>
      </c>
      <c r="F256" s="24"/>
      <c r="G256" t="str">
        <f>_xlfn.IFNA(VLOOKUP(Таблица112[[#This Row],[KKS]],'[1]DBID Analog'!$B:$D,3,FALSE),VLOOKUP(Таблица112[[#This Row],[KKS]],'[1]DBID Digital'!$B:$E,4,FALSE))</f>
        <v>МН ЖЕН-7Б2 НЕСПР КІЛ КЕРУВ</v>
      </c>
    </row>
    <row r="257" spans="1:7" x14ac:dyDescent="0.3">
      <c r="A257" s="84">
        <v>256</v>
      </c>
      <c r="B257" s="82" t="s">
        <v>2869</v>
      </c>
      <c r="C257" s="85" t="s">
        <v>477</v>
      </c>
      <c r="D257" s="85" t="s">
        <v>2560</v>
      </c>
      <c r="E257" s="24" t="s">
        <v>443</v>
      </c>
      <c r="F257" s="24"/>
      <c r="G257" t="str">
        <f>_xlfn.IFNA(VLOOKUP(Таблица112[[#This Row],[KKS]],'[1]DBID Analog'!$B:$D,3,FALSE),VLOOKUP(Таблица112[[#This Row],[KKS]],'[1]DBID Digital'!$B:$E,4,FALSE))</f>
        <v>МН ЖЕН-7Б2 ВІДКЛ АК</v>
      </c>
    </row>
    <row r="258" spans="1:7" x14ac:dyDescent="0.3">
      <c r="A258" s="84">
        <v>257</v>
      </c>
      <c r="B258" s="82" t="s">
        <v>2870</v>
      </c>
      <c r="C258" s="85" t="s">
        <v>477</v>
      </c>
      <c r="D258" s="85" t="s">
        <v>2499</v>
      </c>
      <c r="E258" s="24" t="s">
        <v>444</v>
      </c>
      <c r="F258" s="24"/>
      <c r="G258" t="str">
        <f>_xlfn.IFNA(VLOOKUP(Таблица112[[#This Row],[KKS]],'[1]DBID Analog'!$B:$D,3,FALSE),VLOOKUP(Таблица112[[#This Row],[KKS]],'[1]DBID Digital'!$B:$E,4,FALSE))</f>
        <v>МН ЖЕН-7Б2 КВ</v>
      </c>
    </row>
    <row r="259" spans="1:7" x14ac:dyDescent="0.3">
      <c r="A259" s="84">
        <v>258</v>
      </c>
      <c r="B259" s="82" t="s">
        <v>2871</v>
      </c>
      <c r="C259" s="85" t="s">
        <v>477</v>
      </c>
      <c r="D259" s="85" t="s">
        <v>2500</v>
      </c>
      <c r="E259" s="24" t="s">
        <v>444</v>
      </c>
      <c r="F259" s="24"/>
      <c r="G259" t="str">
        <f>_xlfn.IFNA(VLOOKUP(Таблица112[[#This Row],[KKS]],'[1]DBID Analog'!$B:$D,3,FALSE),VLOOKUP(Таблица112[[#This Row],[KKS]],'[1]DBID Digital'!$B:$E,4,FALSE))</f>
        <v>МН ЖЕН-7Б2 КО</v>
      </c>
    </row>
    <row r="260" spans="1:7" x14ac:dyDescent="0.3">
      <c r="A260" s="84">
        <v>259</v>
      </c>
      <c r="B260" s="82" t="s">
        <v>2872</v>
      </c>
      <c r="C260" s="85" t="s">
        <v>477</v>
      </c>
      <c r="D260" s="85" t="s">
        <v>2596</v>
      </c>
      <c r="E260" s="24" t="s">
        <v>444</v>
      </c>
      <c r="F260" s="24"/>
      <c r="G260" t="e">
        <f>_xlfn.IFNA(VLOOKUP(Таблица112[[#This Row],[KKS]],'[1]DBID Analog'!$B:$D,3,FALSE),VLOOKUP(Таблица112[[#This Row],[KKS]],'[1]DBID Digital'!$B:$E,4,FALSE))</f>
        <v>#N/A</v>
      </c>
    </row>
    <row r="261" spans="1:7" x14ac:dyDescent="0.3">
      <c r="A261" s="84">
        <v>260</v>
      </c>
      <c r="B261" s="82" t="s">
        <v>2590</v>
      </c>
      <c r="C261" s="85" t="s">
        <v>477</v>
      </c>
      <c r="D261" s="85" t="s">
        <v>2504</v>
      </c>
      <c r="E261" s="24" t="s">
        <v>497</v>
      </c>
      <c r="F261" s="24"/>
      <c r="G261" t="str">
        <f>_xlfn.IFNA(VLOOKUP(Таблица112[[#This Row],[KKS]],'[1]DBID Analog'!$B:$D,3,FALSE),VLOOKUP(Таблица112[[#This Row],[KKS]],'[1]DBID Digital'!$B:$E,4,FALSE))</f>
        <v>Струм ел/дв МН ЖЕН-7Б2</v>
      </c>
    </row>
    <row r="262" spans="1:7" x14ac:dyDescent="0.3">
      <c r="A262" s="84">
        <v>261</v>
      </c>
      <c r="B262" s="82" t="s">
        <v>2873</v>
      </c>
      <c r="C262" s="85" t="s">
        <v>479</v>
      </c>
      <c r="D262" s="85" t="s">
        <v>2503</v>
      </c>
      <c r="E262" s="24" t="s">
        <v>443</v>
      </c>
      <c r="F262" s="24"/>
      <c r="G262" t="str">
        <f>_xlfn.IFNA(VLOOKUP(Таблица112[[#This Row],[KKS]],'[1]DBID Analog'!$B:$D,3,FALSE),VLOOKUP(Таблица112[[#This Row],[KKS]],'[1]DBID Digital'!$B:$E,4,FALSE))</f>
        <v>ЖСВ М-11-1 АВАР ВІДКЛ</v>
      </c>
    </row>
    <row r="263" spans="1:7" x14ac:dyDescent="0.3">
      <c r="A263" s="84">
        <v>262</v>
      </c>
      <c r="B263" s="82" t="s">
        <v>2874</v>
      </c>
      <c r="C263" s="85" t="s">
        <v>479</v>
      </c>
      <c r="D263" s="85" t="s">
        <v>2499</v>
      </c>
      <c r="E263" s="24" t="s">
        <v>444</v>
      </c>
      <c r="F263" s="24"/>
      <c r="G263" t="str">
        <f>_xlfn.IFNA(VLOOKUP(Таблица112[[#This Row],[KKS]],'[1]DBID Analog'!$B:$D,3,FALSE),VLOOKUP(Таблица112[[#This Row],[KKS]],'[1]DBID Digital'!$B:$E,4,FALSE))</f>
        <v>ЖСВ М-11-1 КВ</v>
      </c>
    </row>
    <row r="264" spans="1:7" x14ac:dyDescent="0.3">
      <c r="A264" s="84">
        <v>263</v>
      </c>
      <c r="B264" s="82" t="s">
        <v>2532</v>
      </c>
      <c r="C264" s="85" t="s">
        <v>479</v>
      </c>
      <c r="D264" s="85" t="s">
        <v>2504</v>
      </c>
      <c r="E264" s="24" t="s">
        <v>497</v>
      </c>
      <c r="F264" s="24"/>
      <c r="G264" t="str">
        <f>_xlfn.IFNA(VLOOKUP(Таблица112[[#This Row],[KKS]],'[1]DBID Analog'!$B:$D,3,FALSE),VLOOKUP(Таблица112[[#This Row],[KKS]],'[1]DBID Digital'!$B:$E,4,FALSE))</f>
        <v>Струм ел/дв ЖСВ М-11-1</v>
      </c>
    </row>
    <row r="265" spans="1:7" x14ac:dyDescent="0.3">
      <c r="A265" s="84">
        <v>264</v>
      </c>
      <c r="B265" s="82" t="s">
        <v>2533</v>
      </c>
      <c r="C265" s="85" t="s">
        <v>479</v>
      </c>
      <c r="D265" s="85" t="s">
        <v>2640</v>
      </c>
      <c r="E265" s="24" t="s">
        <v>2505</v>
      </c>
      <c r="F265" s="24"/>
      <c r="G265" t="str">
        <f>_xlfn.IFNA(VLOOKUP(Таблица112[[#This Row],[KKS]],'[1]DBID Analog'!$B:$D,3,FALSE),VLOOKUP(Таблица112[[#This Row],[KKS]],'[1]DBID Digital'!$B:$E,4,FALSE))</f>
        <v>ЖСВ М-11-1 завд з швидкості</v>
      </c>
    </row>
    <row r="266" spans="1:7" x14ac:dyDescent="0.3">
      <c r="A266" s="84">
        <v>265</v>
      </c>
      <c r="B266" s="82" t="s">
        <v>2534</v>
      </c>
      <c r="C266" s="85" t="s">
        <v>479</v>
      </c>
      <c r="D266" s="85" t="s">
        <v>2508</v>
      </c>
      <c r="E266" s="24" t="s">
        <v>497</v>
      </c>
      <c r="F266" s="24"/>
      <c r="G266" t="str">
        <f>_xlfn.IFNA(VLOOKUP(Таблица112[[#This Row],[KKS]],'[1]DBID Analog'!$B:$D,3,FALSE),VLOOKUP(Таблица112[[#This Row],[KKS]],'[1]DBID Digital'!$B:$E,4,FALSE))</f>
        <v>ЖСВ М-11-1 швидкість</v>
      </c>
    </row>
    <row r="267" spans="1:7" x14ac:dyDescent="0.3">
      <c r="A267" s="84">
        <v>266</v>
      </c>
      <c r="B267" s="82" t="s">
        <v>2875</v>
      </c>
      <c r="C267" s="85" t="s">
        <v>480</v>
      </c>
      <c r="D267" s="85" t="s">
        <v>2503</v>
      </c>
      <c r="E267" s="24" t="s">
        <v>443</v>
      </c>
      <c r="F267" s="24"/>
      <c r="G267" t="str">
        <f>_xlfn.IFNA(VLOOKUP(Таблица112[[#This Row],[KKS]],'[1]DBID Analog'!$B:$D,3,FALSE),VLOOKUP(Таблица112[[#This Row],[KKS]],'[1]DBID Digital'!$B:$E,4,FALSE))</f>
        <v>ЖСВ М-11-2 АВАР ВІДКЛ</v>
      </c>
    </row>
    <row r="268" spans="1:7" x14ac:dyDescent="0.3">
      <c r="A268" s="84">
        <v>267</v>
      </c>
      <c r="B268" s="82" t="s">
        <v>2876</v>
      </c>
      <c r="C268" s="85" t="s">
        <v>480</v>
      </c>
      <c r="D268" s="85" t="s">
        <v>2499</v>
      </c>
      <c r="E268" s="24" t="s">
        <v>444</v>
      </c>
      <c r="F268" s="24"/>
      <c r="G268" t="str">
        <f>_xlfn.IFNA(VLOOKUP(Таблица112[[#This Row],[KKS]],'[1]DBID Analog'!$B:$D,3,FALSE),VLOOKUP(Таблица112[[#This Row],[KKS]],'[1]DBID Digital'!$B:$E,4,FALSE))</f>
        <v>ЖСВ М-11-2 КВ</v>
      </c>
    </row>
    <row r="269" spans="1:7" x14ac:dyDescent="0.3">
      <c r="A269" s="84">
        <v>268</v>
      </c>
      <c r="B269" s="82" t="s">
        <v>2535</v>
      </c>
      <c r="C269" s="85" t="s">
        <v>480</v>
      </c>
      <c r="D269" s="85" t="s">
        <v>2504</v>
      </c>
      <c r="E269" s="24" t="s">
        <v>497</v>
      </c>
      <c r="F269" s="24"/>
      <c r="G269" t="str">
        <f>_xlfn.IFNA(VLOOKUP(Таблица112[[#This Row],[KKS]],'[1]DBID Analog'!$B:$D,3,FALSE),VLOOKUP(Таблица112[[#This Row],[KKS]],'[1]DBID Digital'!$B:$E,4,FALSE))</f>
        <v>Струм ел/дв ЖСВ М-11-2</v>
      </c>
    </row>
    <row r="270" spans="1:7" x14ac:dyDescent="0.3">
      <c r="A270" s="84">
        <v>269</v>
      </c>
      <c r="B270" s="82" t="s">
        <v>2536</v>
      </c>
      <c r="C270" s="85" t="s">
        <v>480</v>
      </c>
      <c r="D270" s="85" t="s">
        <v>2640</v>
      </c>
      <c r="E270" s="24" t="s">
        <v>2505</v>
      </c>
      <c r="F270" s="24"/>
      <c r="G270" t="str">
        <f>_xlfn.IFNA(VLOOKUP(Таблица112[[#This Row],[KKS]],'[1]DBID Analog'!$B:$D,3,FALSE),VLOOKUP(Таблица112[[#This Row],[KKS]],'[1]DBID Digital'!$B:$E,4,FALSE))</f>
        <v>ЖСВ М-11-2 завд з швидкості</v>
      </c>
    </row>
    <row r="271" spans="1:7" x14ac:dyDescent="0.3">
      <c r="A271" s="84">
        <v>270</v>
      </c>
      <c r="B271" s="82" t="s">
        <v>2537</v>
      </c>
      <c r="C271" s="85" t="s">
        <v>480</v>
      </c>
      <c r="D271" s="85" t="s">
        <v>2508</v>
      </c>
      <c r="E271" s="24" t="s">
        <v>497</v>
      </c>
      <c r="F271" s="24"/>
      <c r="G271" t="str">
        <f>_xlfn.IFNA(VLOOKUP(Таблица112[[#This Row],[KKS]],'[1]DBID Analog'!$B:$D,3,FALSE),VLOOKUP(Таблица112[[#This Row],[KKS]],'[1]DBID Digital'!$B:$E,4,FALSE))</f>
        <v>ЖСВ М-11-2 швидкість</v>
      </c>
    </row>
    <row r="272" spans="1:7" x14ac:dyDescent="0.3">
      <c r="A272" s="84">
        <v>271</v>
      </c>
      <c r="B272" s="82" t="s">
        <v>2877</v>
      </c>
      <c r="C272" s="85" t="s">
        <v>481</v>
      </c>
      <c r="D272" s="85" t="s">
        <v>2503</v>
      </c>
      <c r="E272" s="24" t="s">
        <v>443</v>
      </c>
      <c r="F272" s="24"/>
      <c r="G272" t="str">
        <f>_xlfn.IFNA(VLOOKUP(Таблица112[[#This Row],[KKS]],'[1]DBID Analog'!$B:$D,3,FALSE),VLOOKUP(Таблица112[[#This Row],[KKS]],'[1]DBID Digital'!$B:$E,4,FALSE))</f>
        <v>ЖСВ М-11-3 АВАР ВІДКЛ</v>
      </c>
    </row>
    <row r="273" spans="1:7" x14ac:dyDescent="0.3">
      <c r="A273" s="84">
        <v>272</v>
      </c>
      <c r="B273" s="82" t="s">
        <v>2878</v>
      </c>
      <c r="C273" s="85" t="s">
        <v>481</v>
      </c>
      <c r="D273" s="85" t="s">
        <v>2499</v>
      </c>
      <c r="E273" s="24" t="s">
        <v>444</v>
      </c>
      <c r="F273" s="24"/>
      <c r="G273" t="str">
        <f>_xlfn.IFNA(VLOOKUP(Таблица112[[#This Row],[KKS]],'[1]DBID Analog'!$B:$D,3,FALSE),VLOOKUP(Таблица112[[#This Row],[KKS]],'[1]DBID Digital'!$B:$E,4,FALSE))</f>
        <v>ЖСВ М-11-3 КВ</v>
      </c>
    </row>
    <row r="274" spans="1:7" x14ac:dyDescent="0.3">
      <c r="A274" s="84">
        <v>273</v>
      </c>
      <c r="B274" s="82" t="s">
        <v>2538</v>
      </c>
      <c r="C274" s="85" t="s">
        <v>481</v>
      </c>
      <c r="D274" s="85" t="s">
        <v>2504</v>
      </c>
      <c r="E274" s="24" t="s">
        <v>497</v>
      </c>
      <c r="F274" s="24"/>
      <c r="G274" t="str">
        <f>_xlfn.IFNA(VLOOKUP(Таблица112[[#This Row],[KKS]],'[1]DBID Analog'!$B:$D,3,FALSE),VLOOKUP(Таблица112[[#This Row],[KKS]],'[1]DBID Digital'!$B:$E,4,FALSE))</f>
        <v>Струм ел/дв ЖСВ М-11-3</v>
      </c>
    </row>
    <row r="275" spans="1:7" x14ac:dyDescent="0.3">
      <c r="A275" s="84">
        <v>274</v>
      </c>
      <c r="B275" s="82" t="s">
        <v>2539</v>
      </c>
      <c r="C275" s="85" t="s">
        <v>481</v>
      </c>
      <c r="D275" s="85" t="s">
        <v>2640</v>
      </c>
      <c r="E275" s="24" t="s">
        <v>2505</v>
      </c>
      <c r="F275" s="24"/>
      <c r="G275" t="str">
        <f>_xlfn.IFNA(VLOOKUP(Таблица112[[#This Row],[KKS]],'[1]DBID Analog'!$B:$D,3,FALSE),VLOOKUP(Таблица112[[#This Row],[KKS]],'[1]DBID Digital'!$B:$E,4,FALSE))</f>
        <v>ЖСВ М-11-3 завд з швидкості</v>
      </c>
    </row>
    <row r="276" spans="1:7" x14ac:dyDescent="0.3">
      <c r="A276" s="84">
        <v>275</v>
      </c>
      <c r="B276" s="82" t="s">
        <v>2540</v>
      </c>
      <c r="C276" s="85" t="s">
        <v>481</v>
      </c>
      <c r="D276" s="85" t="s">
        <v>2508</v>
      </c>
      <c r="E276" s="24" t="s">
        <v>497</v>
      </c>
      <c r="F276" s="24"/>
      <c r="G276" t="str">
        <f>_xlfn.IFNA(VLOOKUP(Таблица112[[#This Row],[KKS]],'[1]DBID Analog'!$B:$D,3,FALSE),VLOOKUP(Таблица112[[#This Row],[KKS]],'[1]DBID Digital'!$B:$E,4,FALSE))</f>
        <v>ЖСВ М-11-3 швидкість</v>
      </c>
    </row>
    <row r="277" spans="1:7" x14ac:dyDescent="0.3">
      <c r="A277" s="84">
        <v>276</v>
      </c>
      <c r="B277" s="82" t="s">
        <v>2879</v>
      </c>
      <c r="C277" s="85" t="s">
        <v>482</v>
      </c>
      <c r="D277" s="85" t="s">
        <v>2503</v>
      </c>
      <c r="E277" s="24" t="s">
        <v>443</v>
      </c>
      <c r="F277" s="24"/>
      <c r="G277" t="str">
        <f>_xlfn.IFNA(VLOOKUP(Таблица112[[#This Row],[KKS]],'[1]DBID Analog'!$B:$D,3,FALSE),VLOOKUP(Таблица112[[#This Row],[KKS]],'[1]DBID Digital'!$B:$E,4,FALSE))</f>
        <v>ЖСВ М-11-4 АВАР ВІДКЛ</v>
      </c>
    </row>
    <row r="278" spans="1:7" x14ac:dyDescent="0.3">
      <c r="A278" s="84">
        <v>277</v>
      </c>
      <c r="B278" s="82" t="s">
        <v>2880</v>
      </c>
      <c r="C278" s="85" t="s">
        <v>482</v>
      </c>
      <c r="D278" s="85" t="s">
        <v>2499</v>
      </c>
      <c r="E278" s="24" t="s">
        <v>444</v>
      </c>
      <c r="F278" s="24"/>
      <c r="G278" t="str">
        <f>_xlfn.IFNA(VLOOKUP(Таблица112[[#This Row],[KKS]],'[1]DBID Analog'!$B:$D,3,FALSE),VLOOKUP(Таблица112[[#This Row],[KKS]],'[1]DBID Digital'!$B:$E,4,FALSE))</f>
        <v>ЖСВ М-11-4 КВ</v>
      </c>
    </row>
    <row r="279" spans="1:7" x14ac:dyDescent="0.3">
      <c r="A279" s="84">
        <v>278</v>
      </c>
      <c r="B279" s="82" t="s">
        <v>2541</v>
      </c>
      <c r="C279" s="85" t="s">
        <v>482</v>
      </c>
      <c r="D279" s="85" t="s">
        <v>2504</v>
      </c>
      <c r="E279" s="24" t="s">
        <v>497</v>
      </c>
      <c r="F279" s="24"/>
      <c r="G279" t="str">
        <f>_xlfn.IFNA(VLOOKUP(Таблица112[[#This Row],[KKS]],'[1]DBID Analog'!$B:$D,3,FALSE),VLOOKUP(Таблица112[[#This Row],[KKS]],'[1]DBID Digital'!$B:$E,4,FALSE))</f>
        <v>Струм ел/дв ЖСВ М-11-4</v>
      </c>
    </row>
    <row r="280" spans="1:7" x14ac:dyDescent="0.3">
      <c r="A280" s="84">
        <v>279</v>
      </c>
      <c r="B280" s="82" t="s">
        <v>2542</v>
      </c>
      <c r="C280" s="85" t="s">
        <v>482</v>
      </c>
      <c r="D280" s="85" t="s">
        <v>2640</v>
      </c>
      <c r="E280" s="24" t="s">
        <v>2505</v>
      </c>
      <c r="F280" s="24"/>
      <c r="G280" t="str">
        <f>_xlfn.IFNA(VLOOKUP(Таблица112[[#This Row],[KKS]],'[1]DBID Analog'!$B:$D,3,FALSE),VLOOKUP(Таблица112[[#This Row],[KKS]],'[1]DBID Digital'!$B:$E,4,FALSE))</f>
        <v>ЖСВ М-11-4 завд з швидкості</v>
      </c>
    </row>
    <row r="281" spans="1:7" x14ac:dyDescent="0.3">
      <c r="A281" s="84">
        <v>280</v>
      </c>
      <c r="B281" s="82" t="s">
        <v>2543</v>
      </c>
      <c r="C281" s="85" t="s">
        <v>482</v>
      </c>
      <c r="D281" s="85" t="s">
        <v>2508</v>
      </c>
      <c r="E281" s="24" t="s">
        <v>497</v>
      </c>
      <c r="F281" s="24"/>
      <c r="G281" t="str">
        <f>_xlfn.IFNA(VLOOKUP(Таблица112[[#This Row],[KKS]],'[1]DBID Analog'!$B:$D,3,FALSE),VLOOKUP(Таблица112[[#This Row],[KKS]],'[1]DBID Digital'!$B:$E,4,FALSE))</f>
        <v>ЖСВ М-11-4 швидкість</v>
      </c>
    </row>
    <row r="282" spans="1:7" x14ac:dyDescent="0.3">
      <c r="A282" s="84">
        <v>281</v>
      </c>
      <c r="B282" s="82" t="s">
        <v>2881</v>
      </c>
      <c r="C282" s="85" t="s">
        <v>483</v>
      </c>
      <c r="D282" s="85" t="s">
        <v>2503</v>
      </c>
      <c r="E282" s="24" t="s">
        <v>443</v>
      </c>
      <c r="F282" s="24"/>
      <c r="G282" t="str">
        <f>_xlfn.IFNA(VLOOKUP(Таблица112[[#This Row],[KKS]],'[1]DBID Analog'!$B:$D,3,FALSE),VLOOKUP(Таблица112[[#This Row],[KKS]],'[1]DBID Digital'!$B:$E,4,FALSE))</f>
        <v>ЖСВ М-11-5 АВАР ВІДКЛ</v>
      </c>
    </row>
    <row r="283" spans="1:7" x14ac:dyDescent="0.3">
      <c r="A283" s="84">
        <v>282</v>
      </c>
      <c r="B283" s="82" t="s">
        <v>2882</v>
      </c>
      <c r="C283" s="85" t="s">
        <v>483</v>
      </c>
      <c r="D283" s="85" t="s">
        <v>2499</v>
      </c>
      <c r="E283" s="24" t="s">
        <v>444</v>
      </c>
      <c r="F283" s="24"/>
      <c r="G283" t="str">
        <f>_xlfn.IFNA(VLOOKUP(Таблица112[[#This Row],[KKS]],'[1]DBID Analog'!$B:$D,3,FALSE),VLOOKUP(Таблица112[[#This Row],[KKS]],'[1]DBID Digital'!$B:$E,4,FALSE))</f>
        <v>ЖСВ М-11-5 КВ</v>
      </c>
    </row>
    <row r="284" spans="1:7" x14ac:dyDescent="0.3">
      <c r="A284" s="84">
        <v>283</v>
      </c>
      <c r="B284" s="82" t="s">
        <v>2544</v>
      </c>
      <c r="C284" s="85" t="s">
        <v>483</v>
      </c>
      <c r="D284" s="85" t="s">
        <v>2504</v>
      </c>
      <c r="E284" s="24" t="s">
        <v>497</v>
      </c>
      <c r="F284" s="24"/>
      <c r="G284" t="str">
        <f>_xlfn.IFNA(VLOOKUP(Таблица112[[#This Row],[KKS]],'[1]DBID Analog'!$B:$D,3,FALSE),VLOOKUP(Таблица112[[#This Row],[KKS]],'[1]DBID Digital'!$B:$E,4,FALSE))</f>
        <v>Струм ел/дв ЖСВ М-11-5</v>
      </c>
    </row>
    <row r="285" spans="1:7" x14ac:dyDescent="0.3">
      <c r="A285" s="84">
        <v>284</v>
      </c>
      <c r="B285" s="82" t="s">
        <v>2545</v>
      </c>
      <c r="C285" s="85" t="s">
        <v>483</v>
      </c>
      <c r="D285" s="85" t="s">
        <v>2640</v>
      </c>
      <c r="E285" s="24" t="s">
        <v>2505</v>
      </c>
      <c r="F285" s="24"/>
      <c r="G285" t="str">
        <f>_xlfn.IFNA(VLOOKUP(Таблица112[[#This Row],[KKS]],'[1]DBID Analog'!$B:$D,3,FALSE),VLOOKUP(Таблица112[[#This Row],[KKS]],'[1]DBID Digital'!$B:$E,4,FALSE))</f>
        <v>ЖСВ М-11-5 завд з швидкості</v>
      </c>
    </row>
    <row r="286" spans="1:7" x14ac:dyDescent="0.3">
      <c r="A286" s="84">
        <v>285</v>
      </c>
      <c r="B286" s="82" t="s">
        <v>2546</v>
      </c>
      <c r="C286" s="85" t="s">
        <v>483</v>
      </c>
      <c r="D286" s="85" t="s">
        <v>2508</v>
      </c>
      <c r="E286" s="24" t="s">
        <v>497</v>
      </c>
      <c r="F286" s="24"/>
      <c r="G286" t="str">
        <f>_xlfn.IFNA(VLOOKUP(Таблица112[[#This Row],[KKS]],'[1]DBID Analog'!$B:$D,3,FALSE),VLOOKUP(Таблица112[[#This Row],[KKS]],'[1]DBID Digital'!$B:$E,4,FALSE))</f>
        <v>ЖСВ М-11-5 швидкість</v>
      </c>
    </row>
    <row r="287" spans="1:7" x14ac:dyDescent="0.3">
      <c r="A287" s="84">
        <v>286</v>
      </c>
      <c r="B287" s="82" t="s">
        <v>2883</v>
      </c>
      <c r="C287" s="85" t="s">
        <v>484</v>
      </c>
      <c r="D287" s="85" t="s">
        <v>2503</v>
      </c>
      <c r="E287" s="24" t="s">
        <v>443</v>
      </c>
      <c r="F287" s="24"/>
      <c r="G287" t="str">
        <f>_xlfn.IFNA(VLOOKUP(Таблица112[[#This Row],[KKS]],'[1]DBID Analog'!$B:$D,3,FALSE),VLOOKUP(Таблица112[[#This Row],[KKS]],'[1]DBID Digital'!$B:$E,4,FALSE))</f>
        <v>ЖСВ М-11-6 АВАР ВІДКЛ</v>
      </c>
    </row>
    <row r="288" spans="1:7" x14ac:dyDescent="0.3">
      <c r="A288" s="84">
        <v>287</v>
      </c>
      <c r="B288" s="82" t="s">
        <v>2884</v>
      </c>
      <c r="C288" s="85" t="s">
        <v>484</v>
      </c>
      <c r="D288" s="85" t="s">
        <v>2499</v>
      </c>
      <c r="E288" s="24" t="s">
        <v>444</v>
      </c>
      <c r="F288" s="24"/>
      <c r="G288" t="str">
        <f>_xlfn.IFNA(VLOOKUP(Таблица112[[#This Row],[KKS]],'[1]DBID Analog'!$B:$D,3,FALSE),VLOOKUP(Таблица112[[#This Row],[KKS]],'[1]DBID Digital'!$B:$E,4,FALSE))</f>
        <v>ЖСВ М-11-6 КВ</v>
      </c>
    </row>
    <row r="289" spans="1:7" x14ac:dyDescent="0.3">
      <c r="A289" s="84">
        <v>288</v>
      </c>
      <c r="B289" s="82" t="s">
        <v>2547</v>
      </c>
      <c r="C289" s="85" t="s">
        <v>484</v>
      </c>
      <c r="D289" s="85" t="s">
        <v>2504</v>
      </c>
      <c r="E289" s="24" t="s">
        <v>497</v>
      </c>
      <c r="F289" s="24"/>
      <c r="G289" t="str">
        <f>_xlfn.IFNA(VLOOKUP(Таблица112[[#This Row],[KKS]],'[1]DBID Analog'!$B:$D,3,FALSE),VLOOKUP(Таблица112[[#This Row],[KKS]],'[1]DBID Digital'!$B:$E,4,FALSE))</f>
        <v>Струм ел/дв ЖСВ М-11-6</v>
      </c>
    </row>
    <row r="290" spans="1:7" x14ac:dyDescent="0.3">
      <c r="A290" s="84">
        <v>289</v>
      </c>
      <c r="B290" s="82" t="s">
        <v>2548</v>
      </c>
      <c r="C290" s="85" t="s">
        <v>484</v>
      </c>
      <c r="D290" s="85" t="s">
        <v>2640</v>
      </c>
      <c r="E290" s="24" t="s">
        <v>2505</v>
      </c>
      <c r="F290" s="24"/>
      <c r="G290" t="str">
        <f>_xlfn.IFNA(VLOOKUP(Таблица112[[#This Row],[KKS]],'[1]DBID Analog'!$B:$D,3,FALSE),VLOOKUP(Таблица112[[#This Row],[KKS]],'[1]DBID Digital'!$B:$E,4,FALSE))</f>
        <v>ЖСВ М-11-6 завд з швидкості</v>
      </c>
    </row>
    <row r="291" spans="1:7" x14ac:dyDescent="0.3">
      <c r="A291" s="84">
        <v>290</v>
      </c>
      <c r="B291" s="82" t="s">
        <v>2549</v>
      </c>
      <c r="C291" s="85" t="s">
        <v>484</v>
      </c>
      <c r="D291" s="85" t="s">
        <v>2508</v>
      </c>
      <c r="E291" s="24" t="s">
        <v>497</v>
      </c>
      <c r="F291" s="24"/>
      <c r="G291" t="str">
        <f>_xlfn.IFNA(VLOOKUP(Таблица112[[#This Row],[KKS]],'[1]DBID Analog'!$B:$D,3,FALSE),VLOOKUP(Таблица112[[#This Row],[KKS]],'[1]DBID Digital'!$B:$E,4,FALSE))</f>
        <v>ЖСВ М-11-6 швидкість</v>
      </c>
    </row>
    <row r="292" spans="1:7" x14ac:dyDescent="0.3">
      <c r="A292" s="84">
        <v>291</v>
      </c>
      <c r="B292" s="82" t="s">
        <v>2885</v>
      </c>
      <c r="C292" s="85" t="s">
        <v>486</v>
      </c>
      <c r="D292" s="85" t="s">
        <v>2494</v>
      </c>
      <c r="E292" s="24" t="s">
        <v>443</v>
      </c>
      <c r="F292" s="24"/>
      <c r="G292" t="str">
        <f>_xlfn.IFNA(VLOOKUP(Таблица112[[#This Row],[KKS]],'[1]DBID Analog'!$B:$D,3,FALSE),VLOOKUP(Таблица112[[#This Row],[KKS]],'[1]DBID Digital'!$B:$E,4,FALSE))</f>
        <v>ТЖСВ М-11-3 ВКЛ</v>
      </c>
    </row>
    <row r="293" spans="1:7" x14ac:dyDescent="0.3">
      <c r="A293" s="84">
        <v>292</v>
      </c>
      <c r="B293" s="82" t="s">
        <v>2886</v>
      </c>
      <c r="C293" s="85" t="s">
        <v>486</v>
      </c>
      <c r="D293" s="85" t="s">
        <v>2495</v>
      </c>
      <c r="E293" s="24" t="s">
        <v>443</v>
      </c>
      <c r="F293" s="24"/>
      <c r="G293" t="str">
        <f>_xlfn.IFNA(VLOOKUP(Таблица112[[#This Row],[KKS]],'[1]DBID Analog'!$B:$D,3,FALSE),VLOOKUP(Таблица112[[#This Row],[KKS]],'[1]DBID Digital'!$B:$E,4,FALSE))</f>
        <v>ТЖСВ М-11-3 ВІДКЛ</v>
      </c>
    </row>
    <row r="294" spans="1:7" x14ac:dyDescent="0.3">
      <c r="A294" s="84">
        <v>293</v>
      </c>
      <c r="B294" s="82" t="s">
        <v>2887</v>
      </c>
      <c r="C294" s="85" t="s">
        <v>486</v>
      </c>
      <c r="D294" s="85" t="s">
        <v>2562</v>
      </c>
      <c r="E294" s="24" t="s">
        <v>443</v>
      </c>
      <c r="F294" s="24"/>
      <c r="G294" t="str">
        <f>_xlfn.IFNA(VLOOKUP(Таблица112[[#This Row],[KKS]],'[1]DBID Analog'!$B:$D,3,FALSE),VLOOKUP(Таблица112[[#This Row],[KKS]],'[1]DBID Digital'!$B:$E,4,FALSE))</f>
        <v>ТЖСВ М-11-3 НЕСПР КІЛ КЕРУВ</v>
      </c>
    </row>
    <row r="295" spans="1:7" x14ac:dyDescent="0.3">
      <c r="A295" s="84">
        <v>294</v>
      </c>
      <c r="B295" s="82" t="s">
        <v>2888</v>
      </c>
      <c r="C295" s="85" t="s">
        <v>486</v>
      </c>
      <c r="D295" s="85" t="s">
        <v>2560</v>
      </c>
      <c r="E295" s="24" t="s">
        <v>443</v>
      </c>
      <c r="F295" s="24"/>
      <c r="G295" t="str">
        <f>_xlfn.IFNA(VLOOKUP(Таблица112[[#This Row],[KKS]],'[1]DBID Analog'!$B:$D,3,FALSE),VLOOKUP(Таблица112[[#This Row],[KKS]],'[1]DBID Digital'!$B:$E,4,FALSE))</f>
        <v>ТЖСВ М-11-3 АК</v>
      </c>
    </row>
    <row r="296" spans="1:7" x14ac:dyDescent="0.3">
      <c r="A296" s="84">
        <v>295</v>
      </c>
      <c r="B296" s="82" t="s">
        <v>2889</v>
      </c>
      <c r="C296" s="85" t="s">
        <v>486</v>
      </c>
      <c r="D296" s="85" t="s">
        <v>2499</v>
      </c>
      <c r="E296" s="24" t="s">
        <v>444</v>
      </c>
      <c r="F296" s="24"/>
      <c r="G296" t="str">
        <f>_xlfn.IFNA(VLOOKUP(Таблица112[[#This Row],[KKS]],'[1]DBID Analog'!$B:$D,3,FALSE),VLOOKUP(Таблица112[[#This Row],[KKS]],'[1]DBID Digital'!$B:$E,4,FALSE))</f>
        <v>ТЖСВ М-11-3 КВ</v>
      </c>
    </row>
    <row r="297" spans="1:7" x14ac:dyDescent="0.3">
      <c r="A297" s="84">
        <v>296</v>
      </c>
      <c r="B297" s="82" t="s">
        <v>2890</v>
      </c>
      <c r="C297" s="85" t="s">
        <v>486</v>
      </c>
      <c r="D297" s="85" t="s">
        <v>2500</v>
      </c>
      <c r="E297" s="24" t="s">
        <v>444</v>
      </c>
      <c r="F297" s="24"/>
      <c r="G297" t="str">
        <f>_xlfn.IFNA(VLOOKUP(Таблица112[[#This Row],[KKS]],'[1]DBID Analog'!$B:$D,3,FALSE),VLOOKUP(Таблица112[[#This Row],[KKS]],'[1]DBID Digital'!$B:$E,4,FALSE))</f>
        <v>ТЖСВ М-11-3 КО</v>
      </c>
    </row>
    <row r="298" spans="1:7" x14ac:dyDescent="0.3">
      <c r="A298" s="84">
        <v>297</v>
      </c>
      <c r="B298" s="82" t="s">
        <v>2569</v>
      </c>
      <c r="C298" s="85" t="s">
        <v>486</v>
      </c>
      <c r="D298" s="85" t="s">
        <v>2504</v>
      </c>
      <c r="E298" s="24" t="s">
        <v>497</v>
      </c>
      <c r="F298" s="24"/>
      <c r="G298" t="str">
        <f>_xlfn.IFNA(VLOOKUP(Таблица112[[#This Row],[KKS]],'[1]DBID Analog'!$B:$D,3,FALSE),VLOOKUP(Таблица112[[#This Row],[KKS]],'[1]DBID Digital'!$B:$E,4,FALSE))</f>
        <v>Струм ел/дв ТЖСВ М-11-3</v>
      </c>
    </row>
    <row r="299" spans="1:7" x14ac:dyDescent="0.3">
      <c r="A299" s="84">
        <v>298</v>
      </c>
      <c r="B299" s="82" t="s">
        <v>2891</v>
      </c>
      <c r="C299" s="85" t="s">
        <v>487</v>
      </c>
      <c r="D299" s="85" t="s">
        <v>2494</v>
      </c>
      <c r="E299" s="24" t="s">
        <v>443</v>
      </c>
      <c r="F299" s="24"/>
      <c r="G299" t="str">
        <f>_xlfn.IFNA(VLOOKUP(Таблица112[[#This Row],[KKS]],'[1]DBID Analog'!$B:$D,3,FALSE),VLOOKUP(Таблица112[[#This Row],[KKS]],'[1]DBID Digital'!$B:$E,4,FALSE))</f>
        <v>ТЖСВ М-11-4 ВКЛ</v>
      </c>
    </row>
    <row r="300" spans="1:7" x14ac:dyDescent="0.3">
      <c r="A300" s="84">
        <v>299</v>
      </c>
      <c r="B300" s="82" t="s">
        <v>2892</v>
      </c>
      <c r="C300" s="85" t="s">
        <v>487</v>
      </c>
      <c r="D300" s="85" t="s">
        <v>2495</v>
      </c>
      <c r="E300" s="24" t="s">
        <v>443</v>
      </c>
      <c r="F300" s="24"/>
      <c r="G300" t="str">
        <f>_xlfn.IFNA(VLOOKUP(Таблица112[[#This Row],[KKS]],'[1]DBID Analog'!$B:$D,3,FALSE),VLOOKUP(Таблица112[[#This Row],[KKS]],'[1]DBID Digital'!$B:$E,4,FALSE))</f>
        <v xml:space="preserve">ТЖСВ М-11-4 ВІДКЛ </v>
      </c>
    </row>
    <row r="301" spans="1:7" x14ac:dyDescent="0.3">
      <c r="A301" s="84">
        <v>300</v>
      </c>
      <c r="B301" s="82" t="s">
        <v>2893</v>
      </c>
      <c r="C301" s="85" t="s">
        <v>487</v>
      </c>
      <c r="D301" s="85" t="s">
        <v>2562</v>
      </c>
      <c r="E301" s="24" t="s">
        <v>443</v>
      </c>
      <c r="F301" s="24"/>
      <c r="G301" t="str">
        <f>_xlfn.IFNA(VLOOKUP(Таблица112[[#This Row],[KKS]],'[1]DBID Analog'!$B:$D,3,FALSE),VLOOKUP(Таблица112[[#This Row],[KKS]],'[1]DBID Digital'!$B:$E,4,FALSE))</f>
        <v>ТЖСВ М-11-4 НЕСПР КІЛ КЕРУВ</v>
      </c>
    </row>
    <row r="302" spans="1:7" x14ac:dyDescent="0.3">
      <c r="A302" s="84">
        <v>301</v>
      </c>
      <c r="B302" s="82" t="s">
        <v>2894</v>
      </c>
      <c r="C302" s="85" t="s">
        <v>487</v>
      </c>
      <c r="D302" s="85" t="s">
        <v>2560</v>
      </c>
      <c r="E302" s="24" t="s">
        <v>443</v>
      </c>
      <c r="F302" s="24"/>
      <c r="G302" t="str">
        <f>_xlfn.IFNA(VLOOKUP(Таблица112[[#This Row],[KKS]],'[1]DBID Analog'!$B:$D,3,FALSE),VLOOKUP(Таблица112[[#This Row],[KKS]],'[1]DBID Digital'!$B:$E,4,FALSE))</f>
        <v>ТЖСВ М-11-4 АК</v>
      </c>
    </row>
    <row r="303" spans="1:7" x14ac:dyDescent="0.3">
      <c r="A303" s="84">
        <v>302</v>
      </c>
      <c r="B303" s="82" t="s">
        <v>2895</v>
      </c>
      <c r="C303" s="85" t="s">
        <v>487</v>
      </c>
      <c r="D303" s="85" t="s">
        <v>2499</v>
      </c>
      <c r="E303" s="24" t="s">
        <v>444</v>
      </c>
      <c r="F303" s="24"/>
      <c r="G303" t="str">
        <f>_xlfn.IFNA(VLOOKUP(Таблица112[[#This Row],[KKS]],'[1]DBID Analog'!$B:$D,3,FALSE),VLOOKUP(Таблица112[[#This Row],[KKS]],'[1]DBID Digital'!$B:$E,4,FALSE))</f>
        <v>ТЖСВ М-11-4 КВ</v>
      </c>
    </row>
    <row r="304" spans="1:7" x14ac:dyDescent="0.3">
      <c r="A304" s="84">
        <v>303</v>
      </c>
      <c r="B304" s="82" t="s">
        <v>2896</v>
      </c>
      <c r="C304" s="85" t="s">
        <v>487</v>
      </c>
      <c r="D304" s="85" t="s">
        <v>2500</v>
      </c>
      <c r="E304" s="24" t="s">
        <v>444</v>
      </c>
      <c r="F304" s="24"/>
      <c r="G304" t="str">
        <f>_xlfn.IFNA(VLOOKUP(Таблица112[[#This Row],[KKS]],'[1]DBID Analog'!$B:$D,3,FALSE),VLOOKUP(Таблица112[[#This Row],[KKS]],'[1]DBID Digital'!$B:$E,4,FALSE))</f>
        <v>ТЖСВ М-11-4 КО</v>
      </c>
    </row>
    <row r="305" spans="1:7" x14ac:dyDescent="0.3">
      <c r="A305" s="84">
        <v>304</v>
      </c>
      <c r="B305" s="82" t="s">
        <v>2570</v>
      </c>
      <c r="C305" s="85" t="s">
        <v>487</v>
      </c>
      <c r="D305" s="85" t="s">
        <v>2504</v>
      </c>
      <c r="E305" s="24" t="s">
        <v>497</v>
      </c>
      <c r="F305" s="24"/>
      <c r="G305" t="str">
        <f>_xlfn.IFNA(VLOOKUP(Таблица112[[#This Row],[KKS]],'[1]DBID Analog'!$B:$D,3,FALSE),VLOOKUP(Таблица112[[#This Row],[KKS]],'[1]DBID Digital'!$B:$E,4,FALSE))</f>
        <v>Струм ел/дв ТЖСВ М-11-4</v>
      </c>
    </row>
    <row r="306" spans="1:7" x14ac:dyDescent="0.3">
      <c r="A306" s="84">
        <v>305</v>
      </c>
      <c r="B306" s="82" t="s">
        <v>2897</v>
      </c>
      <c r="C306" s="85" t="s">
        <v>488</v>
      </c>
      <c r="D306" s="85" t="s">
        <v>2494</v>
      </c>
      <c r="E306" s="24" t="s">
        <v>443</v>
      </c>
      <c r="F306" s="24"/>
      <c r="G306" t="str">
        <f>_xlfn.IFNA(VLOOKUP(Таблица112[[#This Row],[KKS]],'[1]DBID Analog'!$B:$D,3,FALSE),VLOOKUP(Таблица112[[#This Row],[KKS]],'[1]DBID Digital'!$B:$E,4,FALSE))</f>
        <v>Вент ущ пов М-11-1 ВКЛ</v>
      </c>
    </row>
    <row r="307" spans="1:7" x14ac:dyDescent="0.3">
      <c r="A307" s="84">
        <v>306</v>
      </c>
      <c r="B307" s="82" t="s">
        <v>2898</v>
      </c>
      <c r="C307" s="85" t="s">
        <v>488</v>
      </c>
      <c r="D307" s="85" t="s">
        <v>2495</v>
      </c>
      <c r="E307" s="24" t="s">
        <v>443</v>
      </c>
      <c r="F307" s="24"/>
      <c r="G307" t="str">
        <f>_xlfn.IFNA(VLOOKUP(Таблица112[[#This Row],[KKS]],'[1]DBID Analog'!$B:$D,3,FALSE),VLOOKUP(Таблица112[[#This Row],[KKS]],'[1]DBID Digital'!$B:$E,4,FALSE))</f>
        <v>Вент ущ пов М-11-1 ВІДКЛ</v>
      </c>
    </row>
    <row r="308" spans="1:7" x14ac:dyDescent="0.3">
      <c r="A308" s="84">
        <v>307</v>
      </c>
      <c r="B308" s="82" t="s">
        <v>2899</v>
      </c>
      <c r="C308" s="85" t="s">
        <v>488</v>
      </c>
      <c r="D308" s="85" t="s">
        <v>2562</v>
      </c>
      <c r="E308" s="24" t="s">
        <v>443</v>
      </c>
      <c r="F308" s="24"/>
      <c r="G308" t="str">
        <f>_xlfn.IFNA(VLOOKUP(Таблица112[[#This Row],[KKS]],'[1]DBID Analog'!$B:$D,3,FALSE),VLOOKUP(Таблица112[[#This Row],[KKS]],'[1]DBID Digital'!$B:$E,4,FALSE))</f>
        <v>Вент ущ пов М-11-1 НЕСПРАВН</v>
      </c>
    </row>
    <row r="309" spans="1:7" x14ac:dyDescent="0.3">
      <c r="A309" s="84">
        <v>308</v>
      </c>
      <c r="B309" s="82" t="s">
        <v>2900</v>
      </c>
      <c r="C309" s="85" t="s">
        <v>488</v>
      </c>
      <c r="D309" s="85" t="s">
        <v>2503</v>
      </c>
      <c r="E309" s="24" t="s">
        <v>443</v>
      </c>
      <c r="F309" s="24"/>
      <c r="G309" t="e">
        <f>_xlfn.IFNA(VLOOKUP(Таблица112[[#This Row],[KKS]],'[1]DBID Analog'!$B:$D,3,FALSE),VLOOKUP(Таблица112[[#This Row],[KKS]],'[1]DBID Digital'!$B:$E,4,FALSE))</f>
        <v>#N/A</v>
      </c>
    </row>
    <row r="310" spans="1:7" x14ac:dyDescent="0.3">
      <c r="A310" s="84">
        <v>309</v>
      </c>
      <c r="B310" s="82" t="s">
        <v>2901</v>
      </c>
      <c r="C310" s="85" t="s">
        <v>488</v>
      </c>
      <c r="D310" s="85" t="s">
        <v>2560</v>
      </c>
      <c r="E310" s="24" t="s">
        <v>443</v>
      </c>
      <c r="F310" s="24"/>
      <c r="G310" t="str">
        <f>_xlfn.IFNA(VLOOKUP(Таблица112[[#This Row],[KKS]],'[1]DBID Analog'!$B:$D,3,FALSE),VLOOKUP(Таблица112[[#This Row],[KKS]],'[1]DBID Digital'!$B:$E,4,FALSE))</f>
        <v>Вент ущ пов М-11-1 АК</v>
      </c>
    </row>
    <row r="311" spans="1:7" x14ac:dyDescent="0.3">
      <c r="A311" s="84">
        <v>310</v>
      </c>
      <c r="B311" s="82" t="s">
        <v>2902</v>
      </c>
      <c r="C311" s="85" t="s">
        <v>488</v>
      </c>
      <c r="D311" s="85" t="s">
        <v>2499</v>
      </c>
      <c r="E311" s="24" t="s">
        <v>444</v>
      </c>
      <c r="F311" s="24"/>
      <c r="G311" t="str">
        <f>_xlfn.IFNA(VLOOKUP(Таблица112[[#This Row],[KKS]],'[1]DBID Analog'!$B:$D,3,FALSE),VLOOKUP(Таблица112[[#This Row],[KKS]],'[1]DBID Digital'!$B:$E,4,FALSE))</f>
        <v>Вент ущ пов М-11-1 ВКЛ</v>
      </c>
    </row>
    <row r="312" spans="1:7" x14ac:dyDescent="0.3">
      <c r="A312" s="84">
        <v>311</v>
      </c>
      <c r="B312" s="82" t="s">
        <v>2903</v>
      </c>
      <c r="C312" s="85" t="s">
        <v>488</v>
      </c>
      <c r="D312" s="85" t="s">
        <v>2500</v>
      </c>
      <c r="E312" s="24" t="s">
        <v>444</v>
      </c>
      <c r="F312" s="24"/>
      <c r="G312" t="str">
        <f>_xlfn.IFNA(VLOOKUP(Таблица112[[#This Row],[KKS]],'[1]DBID Analog'!$B:$D,3,FALSE),VLOOKUP(Таблица112[[#This Row],[KKS]],'[1]DBID Digital'!$B:$E,4,FALSE))</f>
        <v>Вент ущ пов М-11-1 ВІДКЛ</v>
      </c>
    </row>
    <row r="313" spans="1:7" x14ac:dyDescent="0.3">
      <c r="A313" s="84">
        <v>312</v>
      </c>
      <c r="B313" s="82" t="s">
        <v>2571</v>
      </c>
      <c r="C313" s="85" t="s">
        <v>488</v>
      </c>
      <c r="D313" s="85" t="s">
        <v>2504</v>
      </c>
      <c r="E313" s="24" t="s">
        <v>497</v>
      </c>
      <c r="F313" s="24"/>
      <c r="G313" t="str">
        <f>_xlfn.IFNA(VLOOKUP(Таблица112[[#This Row],[KKS]],'[1]DBID Analog'!$B:$D,3,FALSE),VLOOKUP(Таблица112[[#This Row],[KKS]],'[1]DBID Digital'!$B:$E,4,FALSE))</f>
        <v>Струм вент ущ пов М-11-1</v>
      </c>
    </row>
    <row r="314" spans="1:7" x14ac:dyDescent="0.3">
      <c r="A314" s="84">
        <v>313</v>
      </c>
      <c r="B314" s="82" t="s">
        <v>2904</v>
      </c>
      <c r="C314" s="85" t="s">
        <v>489</v>
      </c>
      <c r="D314" s="85" t="s">
        <v>2494</v>
      </c>
      <c r="E314" s="24" t="s">
        <v>443</v>
      </c>
      <c r="F314" s="24"/>
      <c r="G314" t="str">
        <f>_xlfn.IFNA(VLOOKUP(Таблица112[[#This Row],[KKS]],'[1]DBID Analog'!$B:$D,3,FALSE),VLOOKUP(Таблица112[[#This Row],[KKS]],'[1]DBID Digital'!$B:$E,4,FALSE))</f>
        <v>Вент ущ пов М-11-2 ВКЛ</v>
      </c>
    </row>
    <row r="315" spans="1:7" x14ac:dyDescent="0.3">
      <c r="A315" s="84">
        <v>314</v>
      </c>
      <c r="B315" s="82" t="s">
        <v>2905</v>
      </c>
      <c r="C315" s="85" t="s">
        <v>489</v>
      </c>
      <c r="D315" s="85" t="s">
        <v>2495</v>
      </c>
      <c r="E315" s="24" t="s">
        <v>443</v>
      </c>
      <c r="F315" s="24"/>
      <c r="G315" t="str">
        <f>_xlfn.IFNA(VLOOKUP(Таблица112[[#This Row],[KKS]],'[1]DBID Analog'!$B:$D,3,FALSE),VLOOKUP(Таблица112[[#This Row],[KKS]],'[1]DBID Digital'!$B:$E,4,FALSE))</f>
        <v>Вент ущ пов М-11-2 ВІДКЛ</v>
      </c>
    </row>
    <row r="316" spans="1:7" x14ac:dyDescent="0.3">
      <c r="A316" s="84">
        <v>315</v>
      </c>
      <c r="B316" s="82" t="s">
        <v>2906</v>
      </c>
      <c r="C316" s="85" t="s">
        <v>489</v>
      </c>
      <c r="D316" s="85" t="s">
        <v>2562</v>
      </c>
      <c r="E316" s="24" t="s">
        <v>443</v>
      </c>
      <c r="F316" s="24"/>
      <c r="G316" t="str">
        <f>_xlfn.IFNA(VLOOKUP(Таблица112[[#This Row],[KKS]],'[1]DBID Analog'!$B:$D,3,FALSE),VLOOKUP(Таблица112[[#This Row],[KKS]],'[1]DBID Digital'!$B:$E,4,FALSE))</f>
        <v>Вент ущ пов М-11-2 НЕСПРАВН</v>
      </c>
    </row>
    <row r="317" spans="1:7" x14ac:dyDescent="0.3">
      <c r="A317" s="84">
        <v>316</v>
      </c>
      <c r="B317" s="82" t="s">
        <v>2907</v>
      </c>
      <c r="C317" s="85" t="s">
        <v>489</v>
      </c>
      <c r="D317" s="85" t="s">
        <v>2503</v>
      </c>
      <c r="E317" s="24" t="s">
        <v>443</v>
      </c>
      <c r="F317" s="24"/>
      <c r="G317" t="e">
        <f>_xlfn.IFNA(VLOOKUP(Таблица112[[#This Row],[KKS]],'[1]DBID Analog'!$B:$D,3,FALSE),VLOOKUP(Таблица112[[#This Row],[KKS]],'[1]DBID Digital'!$B:$E,4,FALSE))</f>
        <v>#N/A</v>
      </c>
    </row>
    <row r="318" spans="1:7" x14ac:dyDescent="0.3">
      <c r="A318" s="84">
        <v>317</v>
      </c>
      <c r="B318" s="82" t="s">
        <v>2908</v>
      </c>
      <c r="C318" s="85" t="s">
        <v>489</v>
      </c>
      <c r="D318" s="85" t="s">
        <v>2560</v>
      </c>
      <c r="E318" s="24" t="s">
        <v>443</v>
      </c>
      <c r="F318" s="24"/>
      <c r="G318" t="str">
        <f>_xlfn.IFNA(VLOOKUP(Таблица112[[#This Row],[KKS]],'[1]DBID Analog'!$B:$D,3,FALSE),VLOOKUP(Таблица112[[#This Row],[KKS]],'[1]DBID Digital'!$B:$E,4,FALSE))</f>
        <v>Вент ущ пов М-11-2 АК</v>
      </c>
    </row>
    <row r="319" spans="1:7" x14ac:dyDescent="0.3">
      <c r="A319" s="84">
        <v>318</v>
      </c>
      <c r="B319" s="82" t="s">
        <v>2909</v>
      </c>
      <c r="C319" s="85" t="s">
        <v>489</v>
      </c>
      <c r="D319" s="85" t="s">
        <v>2499</v>
      </c>
      <c r="E319" s="24" t="s">
        <v>444</v>
      </c>
      <c r="F319" s="24"/>
      <c r="G319" t="str">
        <f>_xlfn.IFNA(VLOOKUP(Таблица112[[#This Row],[KKS]],'[1]DBID Analog'!$B:$D,3,FALSE),VLOOKUP(Таблица112[[#This Row],[KKS]],'[1]DBID Digital'!$B:$E,4,FALSE))</f>
        <v>Вент ущ пов М-11-2 ВКЛ</v>
      </c>
    </row>
    <row r="320" spans="1:7" x14ac:dyDescent="0.3">
      <c r="A320" s="84">
        <v>319</v>
      </c>
      <c r="B320" s="82" t="s">
        <v>2910</v>
      </c>
      <c r="C320" s="85" t="s">
        <v>489</v>
      </c>
      <c r="D320" s="85" t="s">
        <v>2500</v>
      </c>
      <c r="E320" s="24" t="s">
        <v>444</v>
      </c>
      <c r="F320" s="24"/>
      <c r="G320" t="str">
        <f>_xlfn.IFNA(VLOOKUP(Таблица112[[#This Row],[KKS]],'[1]DBID Analog'!$B:$D,3,FALSE),VLOOKUP(Таблица112[[#This Row],[KKS]],'[1]DBID Digital'!$B:$E,4,FALSE))</f>
        <v>Вент ущ пов М-11-2 ВІДКЛ</v>
      </c>
    </row>
    <row r="321" spans="1:7" x14ac:dyDescent="0.3">
      <c r="A321" s="84">
        <v>320</v>
      </c>
      <c r="B321" s="82" t="s">
        <v>2572</v>
      </c>
      <c r="C321" s="85" t="s">
        <v>489</v>
      </c>
      <c r="D321" s="85" t="s">
        <v>2504</v>
      </c>
      <c r="E321" s="24" t="s">
        <v>497</v>
      </c>
      <c r="F321" s="24"/>
      <c r="G321" t="str">
        <f>_xlfn.IFNA(VLOOKUP(Таблица112[[#This Row],[KKS]],'[1]DBID Analog'!$B:$D,3,FALSE),VLOOKUP(Таблица112[[#This Row],[KKS]],'[1]DBID Digital'!$B:$E,4,FALSE))</f>
        <v>Струм вент ущ пов М-11-2</v>
      </c>
    </row>
    <row r="322" spans="1:7" x14ac:dyDescent="0.3">
      <c r="A322" s="84">
        <v>321</v>
      </c>
      <c r="B322" s="82" t="s">
        <v>2911</v>
      </c>
      <c r="C322" s="85" t="s">
        <v>490</v>
      </c>
      <c r="D322" s="85" t="s">
        <v>2494</v>
      </c>
      <c r="E322" s="24" t="s">
        <v>443</v>
      </c>
      <c r="F322" s="24"/>
      <c r="G322" t="str">
        <f>_xlfn.IFNA(VLOOKUP(Таблица112[[#This Row],[KKS]],'[1]DBID Analog'!$B:$D,3,FALSE),VLOOKUP(Таблица112[[#This Row],[KKS]],'[1]DBID Digital'!$B:$E,4,FALSE))</f>
        <v>Вент ущ пов М-11-3 ВКЛ</v>
      </c>
    </row>
    <row r="323" spans="1:7" x14ac:dyDescent="0.3">
      <c r="A323" s="84">
        <v>322</v>
      </c>
      <c r="B323" s="82" t="s">
        <v>2912</v>
      </c>
      <c r="C323" s="85" t="s">
        <v>490</v>
      </c>
      <c r="D323" s="85" t="s">
        <v>2495</v>
      </c>
      <c r="E323" s="24" t="s">
        <v>443</v>
      </c>
      <c r="F323" s="24"/>
      <c r="G323" t="str">
        <f>_xlfn.IFNA(VLOOKUP(Таблица112[[#This Row],[KKS]],'[1]DBID Analog'!$B:$D,3,FALSE),VLOOKUP(Таблица112[[#This Row],[KKS]],'[1]DBID Digital'!$B:$E,4,FALSE))</f>
        <v>Вент ущ пов М-11-3 ВІДКЛ</v>
      </c>
    </row>
    <row r="324" spans="1:7" x14ac:dyDescent="0.3">
      <c r="A324" s="84">
        <v>323</v>
      </c>
      <c r="B324" s="82" t="s">
        <v>2913</v>
      </c>
      <c r="C324" s="85" t="s">
        <v>490</v>
      </c>
      <c r="D324" s="85" t="s">
        <v>2562</v>
      </c>
      <c r="E324" s="24" t="s">
        <v>443</v>
      </c>
      <c r="F324" s="24"/>
      <c r="G324" t="str">
        <f>_xlfn.IFNA(VLOOKUP(Таблица112[[#This Row],[KKS]],'[1]DBID Analog'!$B:$D,3,FALSE),VLOOKUP(Таблица112[[#This Row],[KKS]],'[1]DBID Digital'!$B:$E,4,FALSE))</f>
        <v>Вент ущ пов М-11-3 НЕСПРАВН</v>
      </c>
    </row>
    <row r="325" spans="1:7" x14ac:dyDescent="0.3">
      <c r="A325" s="84">
        <v>324</v>
      </c>
      <c r="B325" s="82" t="s">
        <v>2914</v>
      </c>
      <c r="C325" s="85" t="s">
        <v>490</v>
      </c>
      <c r="D325" s="85" t="s">
        <v>2503</v>
      </c>
      <c r="E325" s="24" t="s">
        <v>443</v>
      </c>
      <c r="F325" s="24"/>
      <c r="G325" t="e">
        <f>_xlfn.IFNA(VLOOKUP(Таблица112[[#This Row],[KKS]],'[1]DBID Analog'!$B:$D,3,FALSE),VLOOKUP(Таблица112[[#This Row],[KKS]],'[1]DBID Digital'!$B:$E,4,FALSE))</f>
        <v>#N/A</v>
      </c>
    </row>
    <row r="326" spans="1:7" x14ac:dyDescent="0.3">
      <c r="A326" s="84">
        <v>325</v>
      </c>
      <c r="B326" s="82" t="s">
        <v>2915</v>
      </c>
      <c r="C326" s="85" t="s">
        <v>490</v>
      </c>
      <c r="D326" s="85" t="s">
        <v>2560</v>
      </c>
      <c r="E326" s="24" t="s">
        <v>443</v>
      </c>
      <c r="F326" s="24"/>
      <c r="G326" t="str">
        <f>_xlfn.IFNA(VLOOKUP(Таблица112[[#This Row],[KKS]],'[1]DBID Analog'!$B:$D,3,FALSE),VLOOKUP(Таблица112[[#This Row],[KKS]],'[1]DBID Digital'!$B:$E,4,FALSE))</f>
        <v>Вент ущ пов М-11-3 АК</v>
      </c>
    </row>
    <row r="327" spans="1:7" x14ac:dyDescent="0.3">
      <c r="A327" s="84">
        <v>326</v>
      </c>
      <c r="B327" s="82" t="s">
        <v>2916</v>
      </c>
      <c r="C327" s="85" t="s">
        <v>490</v>
      </c>
      <c r="D327" s="85" t="s">
        <v>2499</v>
      </c>
      <c r="E327" s="24" t="s">
        <v>444</v>
      </c>
      <c r="F327" s="24"/>
      <c r="G327" t="str">
        <f>_xlfn.IFNA(VLOOKUP(Таблица112[[#This Row],[KKS]],'[1]DBID Analog'!$B:$D,3,FALSE),VLOOKUP(Таблица112[[#This Row],[KKS]],'[1]DBID Digital'!$B:$E,4,FALSE))</f>
        <v>Вент ущ пов М-11-3 ВКЛ</v>
      </c>
    </row>
    <row r="328" spans="1:7" x14ac:dyDescent="0.3">
      <c r="A328" s="84">
        <v>327</v>
      </c>
      <c r="B328" s="82" t="s">
        <v>2917</v>
      </c>
      <c r="C328" s="85" t="s">
        <v>490</v>
      </c>
      <c r="D328" s="85" t="s">
        <v>2500</v>
      </c>
      <c r="E328" s="24" t="s">
        <v>444</v>
      </c>
      <c r="F328" s="24"/>
      <c r="G328" t="str">
        <f>_xlfn.IFNA(VLOOKUP(Таблица112[[#This Row],[KKS]],'[1]DBID Analog'!$B:$D,3,FALSE),VLOOKUP(Таблица112[[#This Row],[KKS]],'[1]DBID Digital'!$B:$E,4,FALSE))</f>
        <v>Вент ущ пов М-11-3 ВІДКЛ</v>
      </c>
    </row>
    <row r="329" spans="1:7" x14ac:dyDescent="0.3">
      <c r="A329" s="84">
        <v>328</v>
      </c>
      <c r="B329" s="82" t="s">
        <v>2573</v>
      </c>
      <c r="C329" s="85" t="s">
        <v>490</v>
      </c>
      <c r="D329" s="85" t="s">
        <v>2504</v>
      </c>
      <c r="E329" s="24" t="s">
        <v>497</v>
      </c>
      <c r="F329" s="24"/>
      <c r="G329" t="str">
        <f>_xlfn.IFNA(VLOOKUP(Таблица112[[#This Row],[KKS]],'[1]DBID Analog'!$B:$D,3,FALSE),VLOOKUP(Таблица112[[#This Row],[KKS]],'[1]DBID Digital'!$B:$E,4,FALSE))</f>
        <v>Струм вент ущ пов М-11-3</v>
      </c>
    </row>
    <row r="330" spans="1:7" x14ac:dyDescent="0.3">
      <c r="A330" s="84">
        <v>329</v>
      </c>
      <c r="B330" s="82" t="s">
        <v>2918</v>
      </c>
      <c r="C330" s="85" t="s">
        <v>491</v>
      </c>
      <c r="D330" s="85" t="s">
        <v>2494</v>
      </c>
      <c r="E330" s="24" t="s">
        <v>443</v>
      </c>
      <c r="F330" s="24"/>
      <c r="G330" t="str">
        <f>_xlfn.IFNA(VLOOKUP(Таблица112[[#This Row],[KKS]],'[1]DBID Analog'!$B:$D,3,FALSE),VLOOKUP(Таблица112[[#This Row],[KKS]],'[1]DBID Digital'!$B:$E,4,FALSE))</f>
        <v>Вент ущ пов М-11-4 ВКЛ</v>
      </c>
    </row>
    <row r="331" spans="1:7" x14ac:dyDescent="0.3">
      <c r="A331" s="84">
        <v>330</v>
      </c>
      <c r="B331" s="82" t="s">
        <v>2919</v>
      </c>
      <c r="C331" s="85" t="s">
        <v>491</v>
      </c>
      <c r="D331" s="85" t="s">
        <v>2495</v>
      </c>
      <c r="E331" s="24" t="s">
        <v>443</v>
      </c>
      <c r="F331" s="24"/>
      <c r="G331" t="str">
        <f>_xlfn.IFNA(VLOOKUP(Таблица112[[#This Row],[KKS]],'[1]DBID Analog'!$B:$D,3,FALSE),VLOOKUP(Таблица112[[#This Row],[KKS]],'[1]DBID Digital'!$B:$E,4,FALSE))</f>
        <v>Вент ущ пов М-11-4 ВІДКЛ</v>
      </c>
    </row>
    <row r="332" spans="1:7" x14ac:dyDescent="0.3">
      <c r="A332" s="84">
        <v>331</v>
      </c>
      <c r="B332" s="82" t="s">
        <v>2920</v>
      </c>
      <c r="C332" s="85" t="s">
        <v>491</v>
      </c>
      <c r="D332" s="85" t="s">
        <v>2562</v>
      </c>
      <c r="E332" s="24" t="s">
        <v>443</v>
      </c>
      <c r="F332" s="24"/>
      <c r="G332" t="str">
        <f>_xlfn.IFNA(VLOOKUP(Таблица112[[#This Row],[KKS]],'[1]DBID Analog'!$B:$D,3,FALSE),VLOOKUP(Таблица112[[#This Row],[KKS]],'[1]DBID Digital'!$B:$E,4,FALSE))</f>
        <v>Вент ущ пов М-11-4 НЕСПРАВН</v>
      </c>
    </row>
    <row r="333" spans="1:7" x14ac:dyDescent="0.3">
      <c r="A333" s="84">
        <v>332</v>
      </c>
      <c r="B333" s="82" t="s">
        <v>2921</v>
      </c>
      <c r="C333" s="85" t="s">
        <v>491</v>
      </c>
      <c r="D333" s="85" t="s">
        <v>2503</v>
      </c>
      <c r="E333" s="24" t="s">
        <v>443</v>
      </c>
      <c r="F333" s="24"/>
      <c r="G333" t="e">
        <f>_xlfn.IFNA(VLOOKUP(Таблица112[[#This Row],[KKS]],'[1]DBID Analog'!$B:$D,3,FALSE),VLOOKUP(Таблица112[[#This Row],[KKS]],'[1]DBID Digital'!$B:$E,4,FALSE))</f>
        <v>#N/A</v>
      </c>
    </row>
    <row r="334" spans="1:7" x14ac:dyDescent="0.3">
      <c r="A334" s="84">
        <v>333</v>
      </c>
      <c r="B334" s="82" t="s">
        <v>2922</v>
      </c>
      <c r="C334" s="85" t="s">
        <v>491</v>
      </c>
      <c r="D334" s="85" t="s">
        <v>2560</v>
      </c>
      <c r="E334" s="24" t="s">
        <v>443</v>
      </c>
      <c r="F334" s="24"/>
      <c r="G334" t="str">
        <f>_xlfn.IFNA(VLOOKUP(Таблица112[[#This Row],[KKS]],'[1]DBID Analog'!$B:$D,3,FALSE),VLOOKUP(Таблица112[[#This Row],[KKS]],'[1]DBID Digital'!$B:$E,4,FALSE))</f>
        <v>Вент ущ пов М-11-4 АК</v>
      </c>
    </row>
    <row r="335" spans="1:7" x14ac:dyDescent="0.3">
      <c r="A335" s="84">
        <v>334</v>
      </c>
      <c r="B335" s="82" t="s">
        <v>2923</v>
      </c>
      <c r="C335" s="85" t="s">
        <v>491</v>
      </c>
      <c r="D335" s="85" t="s">
        <v>2499</v>
      </c>
      <c r="E335" s="24" t="s">
        <v>444</v>
      </c>
      <c r="F335" s="24"/>
      <c r="G335" t="str">
        <f>_xlfn.IFNA(VLOOKUP(Таблица112[[#This Row],[KKS]],'[1]DBID Analog'!$B:$D,3,FALSE),VLOOKUP(Таблица112[[#This Row],[KKS]],'[1]DBID Digital'!$B:$E,4,FALSE))</f>
        <v>Вент ущ пов М-11-4 ВКЛ</v>
      </c>
    </row>
    <row r="336" spans="1:7" x14ac:dyDescent="0.3">
      <c r="A336" s="84">
        <v>335</v>
      </c>
      <c r="B336" s="82" t="s">
        <v>2924</v>
      </c>
      <c r="C336" s="85" t="s">
        <v>491</v>
      </c>
      <c r="D336" s="85" t="s">
        <v>2500</v>
      </c>
      <c r="E336" s="24" t="s">
        <v>444</v>
      </c>
      <c r="F336" s="24"/>
      <c r="G336" t="str">
        <f>_xlfn.IFNA(VLOOKUP(Таблица112[[#This Row],[KKS]],'[1]DBID Analog'!$B:$D,3,FALSE),VLOOKUP(Таблица112[[#This Row],[KKS]],'[1]DBID Digital'!$B:$E,4,FALSE))</f>
        <v>Вент ущ пов М-11-4 ВІДКЛ</v>
      </c>
    </row>
    <row r="337" spans="1:7" x14ac:dyDescent="0.3">
      <c r="A337" s="84">
        <v>336</v>
      </c>
      <c r="B337" s="82" t="s">
        <v>2574</v>
      </c>
      <c r="C337" s="85" t="s">
        <v>491</v>
      </c>
      <c r="D337" s="85" t="s">
        <v>2504</v>
      </c>
      <c r="E337" s="24" t="s">
        <v>497</v>
      </c>
      <c r="F337" s="24"/>
      <c r="G337" t="str">
        <f>_xlfn.IFNA(VLOOKUP(Таблица112[[#This Row],[KKS]],'[1]DBID Analog'!$B:$D,3,FALSE),VLOOKUP(Таблица112[[#This Row],[KKS]],'[1]DBID Digital'!$B:$E,4,FALSE))</f>
        <v>Струм вент ущ пов М-11-4</v>
      </c>
    </row>
    <row r="338" spans="1:7" x14ac:dyDescent="0.3">
      <c r="A338" s="84">
        <v>337</v>
      </c>
      <c r="B338" s="82" t="s">
        <v>2925</v>
      </c>
      <c r="C338" s="85" t="s">
        <v>492</v>
      </c>
      <c r="D338" s="85" t="s">
        <v>2494</v>
      </c>
      <c r="E338" s="24" t="s">
        <v>443</v>
      </c>
      <c r="F338" s="24"/>
      <c r="G338" t="str">
        <f>_xlfn.IFNA(VLOOKUP(Таблица112[[#This Row],[KKS]],'[1]DBID Analog'!$B:$D,3,FALSE),VLOOKUP(Таблица112[[#This Row],[KKS]],'[1]DBID Digital'!$B:$E,4,FALSE))</f>
        <v>Вент ущ пов М-11-5 ВКЛ</v>
      </c>
    </row>
    <row r="339" spans="1:7" x14ac:dyDescent="0.3">
      <c r="A339" s="84">
        <v>338</v>
      </c>
      <c r="B339" s="82" t="s">
        <v>2926</v>
      </c>
      <c r="C339" s="85" t="s">
        <v>492</v>
      </c>
      <c r="D339" s="85" t="s">
        <v>2495</v>
      </c>
      <c r="E339" s="24" t="s">
        <v>443</v>
      </c>
      <c r="F339" s="24"/>
      <c r="G339" t="str">
        <f>_xlfn.IFNA(VLOOKUP(Таблица112[[#This Row],[KKS]],'[1]DBID Analog'!$B:$D,3,FALSE),VLOOKUP(Таблица112[[#This Row],[KKS]],'[1]DBID Digital'!$B:$E,4,FALSE))</f>
        <v>Вент ущ пов М-11-5 ВІДКЛ</v>
      </c>
    </row>
    <row r="340" spans="1:7" x14ac:dyDescent="0.3">
      <c r="A340" s="84">
        <v>339</v>
      </c>
      <c r="B340" s="82" t="s">
        <v>2927</v>
      </c>
      <c r="C340" s="85" t="s">
        <v>492</v>
      </c>
      <c r="D340" s="85" t="s">
        <v>2562</v>
      </c>
      <c r="E340" s="24" t="s">
        <v>443</v>
      </c>
      <c r="F340" s="24"/>
      <c r="G340" t="str">
        <f>_xlfn.IFNA(VLOOKUP(Таблица112[[#This Row],[KKS]],'[1]DBID Analog'!$B:$D,3,FALSE),VLOOKUP(Таблица112[[#This Row],[KKS]],'[1]DBID Digital'!$B:$E,4,FALSE))</f>
        <v>Вент ущ пов М-11-5 НЕСПРАВН</v>
      </c>
    </row>
    <row r="341" spans="1:7" x14ac:dyDescent="0.3">
      <c r="A341" s="84">
        <v>340</v>
      </c>
      <c r="B341" s="82" t="s">
        <v>2928</v>
      </c>
      <c r="C341" s="85" t="s">
        <v>492</v>
      </c>
      <c r="D341" s="85" t="s">
        <v>2503</v>
      </c>
      <c r="E341" s="24" t="s">
        <v>443</v>
      </c>
      <c r="F341" s="24"/>
      <c r="G341" t="e">
        <f>_xlfn.IFNA(VLOOKUP(Таблица112[[#This Row],[KKS]],'[1]DBID Analog'!$B:$D,3,FALSE),VLOOKUP(Таблица112[[#This Row],[KKS]],'[1]DBID Digital'!$B:$E,4,FALSE))</f>
        <v>#N/A</v>
      </c>
    </row>
    <row r="342" spans="1:7" x14ac:dyDescent="0.3">
      <c r="A342" s="84">
        <v>341</v>
      </c>
      <c r="B342" s="82" t="s">
        <v>2929</v>
      </c>
      <c r="C342" s="85" t="s">
        <v>492</v>
      </c>
      <c r="D342" s="85" t="s">
        <v>2560</v>
      </c>
      <c r="E342" s="24" t="s">
        <v>443</v>
      </c>
      <c r="F342" s="24"/>
      <c r="G342" t="str">
        <f>_xlfn.IFNA(VLOOKUP(Таблица112[[#This Row],[KKS]],'[1]DBID Analog'!$B:$D,3,FALSE),VLOOKUP(Таблица112[[#This Row],[KKS]],'[1]DBID Digital'!$B:$E,4,FALSE))</f>
        <v>Вент ущ пов М-11-5 АК</v>
      </c>
    </row>
    <row r="343" spans="1:7" x14ac:dyDescent="0.3">
      <c r="A343" s="84">
        <v>342</v>
      </c>
      <c r="B343" s="82" t="s">
        <v>2930</v>
      </c>
      <c r="C343" s="85" t="s">
        <v>492</v>
      </c>
      <c r="D343" s="85" t="s">
        <v>2499</v>
      </c>
      <c r="E343" s="24" t="s">
        <v>444</v>
      </c>
      <c r="F343" s="24"/>
      <c r="G343" t="str">
        <f>_xlfn.IFNA(VLOOKUP(Таблица112[[#This Row],[KKS]],'[1]DBID Analog'!$B:$D,3,FALSE),VLOOKUP(Таблица112[[#This Row],[KKS]],'[1]DBID Digital'!$B:$E,4,FALSE))</f>
        <v>Вент ущ пов М-11-5 ВКЛ</v>
      </c>
    </row>
    <row r="344" spans="1:7" x14ac:dyDescent="0.3">
      <c r="A344" s="84">
        <v>343</v>
      </c>
      <c r="B344" s="82" t="s">
        <v>2931</v>
      </c>
      <c r="C344" s="85" t="s">
        <v>492</v>
      </c>
      <c r="D344" s="85" t="s">
        <v>2500</v>
      </c>
      <c r="E344" s="24" t="s">
        <v>444</v>
      </c>
      <c r="F344" s="24"/>
      <c r="G344" t="str">
        <f>_xlfn.IFNA(VLOOKUP(Таблица112[[#This Row],[KKS]],'[1]DBID Analog'!$B:$D,3,FALSE),VLOOKUP(Таблица112[[#This Row],[KKS]],'[1]DBID Digital'!$B:$E,4,FALSE))</f>
        <v>Вент ущ пов М-11-5 ВІДКЛ</v>
      </c>
    </row>
    <row r="345" spans="1:7" x14ac:dyDescent="0.3">
      <c r="A345" s="84">
        <v>344</v>
      </c>
      <c r="B345" s="82" t="s">
        <v>2575</v>
      </c>
      <c r="C345" s="85" t="s">
        <v>492</v>
      </c>
      <c r="D345" s="85" t="s">
        <v>2504</v>
      </c>
      <c r="E345" s="24" t="s">
        <v>497</v>
      </c>
      <c r="F345" s="24"/>
      <c r="G345" t="str">
        <f>_xlfn.IFNA(VLOOKUP(Таблица112[[#This Row],[KKS]],'[1]DBID Analog'!$B:$D,3,FALSE),VLOOKUP(Таблица112[[#This Row],[KKS]],'[1]DBID Digital'!$B:$E,4,FALSE))</f>
        <v>Струм вент ущ пов М-11-5</v>
      </c>
    </row>
    <row r="346" spans="1:7" x14ac:dyDescent="0.3">
      <c r="A346" s="84">
        <v>345</v>
      </c>
      <c r="B346" s="82" t="s">
        <v>2932</v>
      </c>
      <c r="C346" s="85" t="s">
        <v>493</v>
      </c>
      <c r="D346" s="85" t="s">
        <v>2494</v>
      </c>
      <c r="E346" s="24" t="s">
        <v>443</v>
      </c>
      <c r="F346" s="24"/>
      <c r="G346" t="str">
        <f>_xlfn.IFNA(VLOOKUP(Таблица112[[#This Row],[KKS]],'[1]DBID Analog'!$B:$D,3,FALSE),VLOOKUP(Таблица112[[#This Row],[KKS]],'[1]DBID Digital'!$B:$E,4,FALSE))</f>
        <v>Вент ущ пов М-11-6 ВКЛ</v>
      </c>
    </row>
    <row r="347" spans="1:7" x14ac:dyDescent="0.3">
      <c r="A347" s="84">
        <v>346</v>
      </c>
      <c r="B347" s="82" t="s">
        <v>2933</v>
      </c>
      <c r="C347" s="85" t="s">
        <v>493</v>
      </c>
      <c r="D347" s="85" t="s">
        <v>2495</v>
      </c>
      <c r="E347" s="24" t="s">
        <v>443</v>
      </c>
      <c r="F347" s="24"/>
      <c r="G347" t="str">
        <f>_xlfn.IFNA(VLOOKUP(Таблица112[[#This Row],[KKS]],'[1]DBID Analog'!$B:$D,3,FALSE),VLOOKUP(Таблица112[[#This Row],[KKS]],'[1]DBID Digital'!$B:$E,4,FALSE))</f>
        <v>Вент ущ пов М-11-6 ВІДКЛ</v>
      </c>
    </row>
    <row r="348" spans="1:7" x14ac:dyDescent="0.3">
      <c r="A348" s="84">
        <v>347</v>
      </c>
      <c r="B348" s="82" t="s">
        <v>2934</v>
      </c>
      <c r="C348" s="85" t="s">
        <v>493</v>
      </c>
      <c r="D348" s="85" t="s">
        <v>2562</v>
      </c>
      <c r="E348" s="24" t="s">
        <v>443</v>
      </c>
      <c r="F348" s="24"/>
      <c r="G348" t="str">
        <f>_xlfn.IFNA(VLOOKUP(Таблица112[[#This Row],[KKS]],'[1]DBID Analog'!$B:$D,3,FALSE),VLOOKUP(Таблица112[[#This Row],[KKS]],'[1]DBID Digital'!$B:$E,4,FALSE))</f>
        <v>Вент ущ пов М-11-6 НЕСПРАВН</v>
      </c>
    </row>
    <row r="349" spans="1:7" x14ac:dyDescent="0.3">
      <c r="A349" s="84">
        <v>348</v>
      </c>
      <c r="B349" s="82" t="s">
        <v>2935</v>
      </c>
      <c r="C349" s="85" t="s">
        <v>493</v>
      </c>
      <c r="D349" s="85" t="s">
        <v>2503</v>
      </c>
      <c r="E349" s="24" t="s">
        <v>443</v>
      </c>
      <c r="F349" s="24"/>
      <c r="G349" t="e">
        <f>_xlfn.IFNA(VLOOKUP(Таблица112[[#This Row],[KKS]],'[1]DBID Analog'!$B:$D,3,FALSE),VLOOKUP(Таблица112[[#This Row],[KKS]],'[1]DBID Digital'!$B:$E,4,FALSE))</f>
        <v>#N/A</v>
      </c>
    </row>
    <row r="350" spans="1:7" x14ac:dyDescent="0.3">
      <c r="A350" s="84">
        <v>349</v>
      </c>
      <c r="B350" s="82" t="s">
        <v>2936</v>
      </c>
      <c r="C350" s="85" t="s">
        <v>493</v>
      </c>
      <c r="D350" s="85" t="s">
        <v>2560</v>
      </c>
      <c r="E350" s="24" t="s">
        <v>443</v>
      </c>
      <c r="F350" s="24"/>
      <c r="G350" t="str">
        <f>_xlfn.IFNA(VLOOKUP(Таблица112[[#This Row],[KKS]],'[1]DBID Analog'!$B:$D,3,FALSE),VLOOKUP(Таблица112[[#This Row],[KKS]],'[1]DBID Digital'!$B:$E,4,FALSE))</f>
        <v>Вент ущ пов М-11-6 АК</v>
      </c>
    </row>
    <row r="351" spans="1:7" x14ac:dyDescent="0.3">
      <c r="A351" s="84">
        <v>350</v>
      </c>
      <c r="B351" s="82" t="s">
        <v>2937</v>
      </c>
      <c r="C351" s="85" t="s">
        <v>493</v>
      </c>
      <c r="D351" s="85" t="s">
        <v>2499</v>
      </c>
      <c r="E351" s="24" t="s">
        <v>444</v>
      </c>
      <c r="F351" s="24"/>
      <c r="G351" t="str">
        <f>_xlfn.IFNA(VLOOKUP(Таблица112[[#This Row],[KKS]],'[1]DBID Analog'!$B:$D,3,FALSE),VLOOKUP(Таблица112[[#This Row],[KKS]],'[1]DBID Digital'!$B:$E,4,FALSE))</f>
        <v>Вент ущ пов М-11-6 ВКЛ</v>
      </c>
    </row>
    <row r="352" spans="1:7" x14ac:dyDescent="0.3">
      <c r="A352" s="84">
        <v>351</v>
      </c>
      <c r="B352" s="82" t="s">
        <v>2938</v>
      </c>
      <c r="C352" s="85" t="s">
        <v>493</v>
      </c>
      <c r="D352" s="85" t="s">
        <v>2500</v>
      </c>
      <c r="E352" s="24" t="s">
        <v>444</v>
      </c>
      <c r="F352" s="24"/>
      <c r="G352" t="str">
        <f>_xlfn.IFNA(VLOOKUP(Таблица112[[#This Row],[KKS]],'[1]DBID Analog'!$B:$D,3,FALSE),VLOOKUP(Таблица112[[#This Row],[KKS]],'[1]DBID Digital'!$B:$E,4,FALSE))</f>
        <v>Вент ущ пов М-11-6 ВІДКЛ</v>
      </c>
    </row>
    <row r="353" spans="1:7" x14ac:dyDescent="0.3">
      <c r="A353" s="84">
        <v>352</v>
      </c>
      <c r="B353" s="82" t="s">
        <v>2576</v>
      </c>
      <c r="C353" s="85" t="s">
        <v>493</v>
      </c>
      <c r="D353" s="85" t="s">
        <v>2504</v>
      </c>
      <c r="E353" s="24" t="s">
        <v>497</v>
      </c>
      <c r="F353" s="24"/>
      <c r="G353" t="str">
        <f>_xlfn.IFNA(VLOOKUP(Таблица112[[#This Row],[KKS]],'[1]DBID Analog'!$B:$D,3,FALSE),VLOOKUP(Таблица112[[#This Row],[KKS]],'[1]DBID Digital'!$B:$E,4,FALSE))</f>
        <v>Струм вент ущ пов М-11-6</v>
      </c>
    </row>
    <row r="354" spans="1:7" x14ac:dyDescent="0.3">
      <c r="A354" s="84">
        <v>353</v>
      </c>
      <c r="B354" s="82" t="s">
        <v>2939</v>
      </c>
      <c r="C354" s="85" t="s">
        <v>2441</v>
      </c>
      <c r="D354" s="85" t="s">
        <v>2494</v>
      </c>
      <c r="E354" s="24" t="s">
        <v>443</v>
      </c>
      <c r="F354" s="24"/>
      <c r="G354" t="str">
        <f>_xlfn.IFNA(VLOOKUP(Таблица112[[#This Row],[KKS]],'[1]DBID Analog'!$B:$D,3,FALSE),VLOOKUP(Таблица112[[#This Row],[KKS]],'[1]DBID Digital'!$B:$E,4,FALSE))</f>
        <v>НГО-7А ВКЛ</v>
      </c>
    </row>
    <row r="355" spans="1:7" x14ac:dyDescent="0.3">
      <c r="A355" s="84">
        <v>354</v>
      </c>
      <c r="B355" s="82" t="s">
        <v>2940</v>
      </c>
      <c r="C355" s="85" t="s">
        <v>2441</v>
      </c>
      <c r="D355" s="85" t="s">
        <v>2495</v>
      </c>
      <c r="E355" s="24" t="s">
        <v>443</v>
      </c>
      <c r="F355" s="24"/>
      <c r="G355" t="str">
        <f>_xlfn.IFNA(VLOOKUP(Таблица112[[#This Row],[KKS]],'[1]DBID Analog'!$B:$D,3,FALSE),VLOOKUP(Таблица112[[#This Row],[KKS]],'[1]DBID Digital'!$B:$E,4,FALSE))</f>
        <v>НГО-7А ВІДКЛ</v>
      </c>
    </row>
    <row r="356" spans="1:7" x14ac:dyDescent="0.3">
      <c r="A356" s="84">
        <v>355</v>
      </c>
      <c r="B356" s="82" t="s">
        <v>2941</v>
      </c>
      <c r="C356" s="85" t="s">
        <v>2441</v>
      </c>
      <c r="D356" s="85" t="s">
        <v>2562</v>
      </c>
      <c r="E356" s="24" t="s">
        <v>443</v>
      </c>
      <c r="F356" s="24"/>
      <c r="G356" t="str">
        <f>_xlfn.IFNA(VLOOKUP(Таблица112[[#This Row],[KKS]],'[1]DBID Analog'!$B:$D,3,FALSE),VLOOKUP(Таблица112[[#This Row],[KKS]],'[1]DBID Digital'!$B:$E,4,FALSE))</f>
        <v>НГО-7А НЕСПР КІЛ КЕРУВ</v>
      </c>
    </row>
    <row r="357" spans="1:7" x14ac:dyDescent="0.3">
      <c r="A357" s="84">
        <v>356</v>
      </c>
      <c r="B357" s="82" t="s">
        <v>2942</v>
      </c>
      <c r="C357" s="85" t="s">
        <v>2441</v>
      </c>
      <c r="D357" s="85" t="s">
        <v>2560</v>
      </c>
      <c r="E357" s="24" t="s">
        <v>443</v>
      </c>
      <c r="F357" s="24"/>
      <c r="G357" t="str">
        <f>_xlfn.IFNA(VLOOKUP(Таблица112[[#This Row],[KKS]],'[1]DBID Analog'!$B:$D,3,FALSE),VLOOKUP(Таблица112[[#This Row],[KKS]],'[1]DBID Digital'!$B:$E,4,FALSE))</f>
        <v>НГО-7А ВІДКЛ АК</v>
      </c>
    </row>
    <row r="358" spans="1:7" x14ac:dyDescent="0.3">
      <c r="A358" s="84">
        <v>357</v>
      </c>
      <c r="B358" s="82" t="s">
        <v>2943</v>
      </c>
      <c r="C358" s="85" t="s">
        <v>2441</v>
      </c>
      <c r="D358" s="85" t="s">
        <v>2499</v>
      </c>
      <c r="E358" s="24" t="s">
        <v>444</v>
      </c>
      <c r="F358" s="24"/>
      <c r="G358" t="str">
        <f>_xlfn.IFNA(VLOOKUP(Таблица112[[#This Row],[KKS]],'[1]DBID Analog'!$B:$D,3,FALSE),VLOOKUP(Таблица112[[#This Row],[KKS]],'[1]DBID Digital'!$B:$E,4,FALSE))</f>
        <v>НГО-7А КВ</v>
      </c>
    </row>
    <row r="359" spans="1:7" x14ac:dyDescent="0.3">
      <c r="A359" s="84">
        <v>358</v>
      </c>
      <c r="B359" s="82" t="s">
        <v>2944</v>
      </c>
      <c r="C359" s="85" t="s">
        <v>2441</v>
      </c>
      <c r="D359" s="85" t="s">
        <v>2500</v>
      </c>
      <c r="E359" s="24" t="s">
        <v>444</v>
      </c>
      <c r="F359" s="24"/>
      <c r="G359" t="str">
        <f>_xlfn.IFNA(VLOOKUP(Таблица112[[#This Row],[KKS]],'[1]DBID Analog'!$B:$D,3,FALSE),VLOOKUP(Таблица112[[#This Row],[KKS]],'[1]DBID Digital'!$B:$E,4,FALSE))</f>
        <v>НГО-7А КО</v>
      </c>
    </row>
    <row r="360" spans="1:7" x14ac:dyDescent="0.3">
      <c r="A360" s="84">
        <v>359</v>
      </c>
      <c r="B360" s="82" t="s">
        <v>2577</v>
      </c>
      <c r="C360" s="85" t="s">
        <v>2441</v>
      </c>
      <c r="D360" s="85" t="s">
        <v>2504</v>
      </c>
      <c r="E360" s="24" t="s">
        <v>497</v>
      </c>
      <c r="F360" s="24"/>
      <c r="G360" t="str">
        <f>_xlfn.IFNA(VLOOKUP(Таблица112[[#This Row],[KKS]],'[1]DBID Analog'!$B:$D,3,FALSE),VLOOKUP(Таблица112[[#This Row],[KKS]],'[1]DBID Digital'!$B:$E,4,FALSE))</f>
        <v>Струм ел/дв НГО-7А</v>
      </c>
    </row>
    <row r="361" spans="1:7" x14ac:dyDescent="0.3">
      <c r="A361" s="84">
        <v>360</v>
      </c>
      <c r="B361" s="82" t="s">
        <v>2945</v>
      </c>
      <c r="C361" s="85" t="s">
        <v>2442</v>
      </c>
      <c r="D361" s="85" t="s">
        <v>2494</v>
      </c>
      <c r="E361" s="24" t="s">
        <v>443</v>
      </c>
      <c r="F361" s="24"/>
      <c r="G361" t="str">
        <f>_xlfn.IFNA(VLOOKUP(Таблица112[[#This Row],[KKS]],'[1]DBID Analog'!$B:$D,3,FALSE),VLOOKUP(Таблица112[[#This Row],[KKS]],'[1]DBID Digital'!$B:$E,4,FALSE))</f>
        <v>НГО-7Б ВКЛ</v>
      </c>
    </row>
    <row r="362" spans="1:7" x14ac:dyDescent="0.3">
      <c r="A362" s="84">
        <v>361</v>
      </c>
      <c r="B362" s="82" t="s">
        <v>2946</v>
      </c>
      <c r="C362" s="85" t="s">
        <v>2442</v>
      </c>
      <c r="D362" s="85" t="s">
        <v>2495</v>
      </c>
      <c r="E362" s="24" t="s">
        <v>443</v>
      </c>
      <c r="F362" s="24"/>
      <c r="G362" t="str">
        <f>_xlfn.IFNA(VLOOKUP(Таблица112[[#This Row],[KKS]],'[1]DBID Analog'!$B:$D,3,FALSE),VLOOKUP(Таблица112[[#This Row],[KKS]],'[1]DBID Digital'!$B:$E,4,FALSE))</f>
        <v>НГО-7Б ВІДКЛ</v>
      </c>
    </row>
    <row r="363" spans="1:7" x14ac:dyDescent="0.3">
      <c r="A363" s="84">
        <v>362</v>
      </c>
      <c r="B363" s="82" t="s">
        <v>2947</v>
      </c>
      <c r="C363" s="85" t="s">
        <v>2442</v>
      </c>
      <c r="D363" s="85" t="s">
        <v>2562</v>
      </c>
      <c r="E363" s="24" t="s">
        <v>443</v>
      </c>
      <c r="F363" s="24"/>
      <c r="G363" t="str">
        <f>_xlfn.IFNA(VLOOKUP(Таблица112[[#This Row],[KKS]],'[1]DBID Analog'!$B:$D,3,FALSE),VLOOKUP(Таблица112[[#This Row],[KKS]],'[1]DBID Digital'!$B:$E,4,FALSE))</f>
        <v>НГО-7Б НЕСПР КІЛ КЕРУВ</v>
      </c>
    </row>
    <row r="364" spans="1:7" x14ac:dyDescent="0.3">
      <c r="A364" s="84">
        <v>363</v>
      </c>
      <c r="B364" s="82" t="s">
        <v>2948</v>
      </c>
      <c r="C364" s="85" t="s">
        <v>2442</v>
      </c>
      <c r="D364" s="85" t="s">
        <v>2560</v>
      </c>
      <c r="E364" s="24" t="s">
        <v>443</v>
      </c>
      <c r="F364" s="24"/>
      <c r="G364" t="str">
        <f>_xlfn.IFNA(VLOOKUP(Таблица112[[#This Row],[KKS]],'[1]DBID Analog'!$B:$D,3,FALSE),VLOOKUP(Таблица112[[#This Row],[KKS]],'[1]DBID Digital'!$B:$E,4,FALSE))</f>
        <v>НГО-7Б ВІДКЛ АК</v>
      </c>
    </row>
    <row r="365" spans="1:7" x14ac:dyDescent="0.3">
      <c r="A365" s="84">
        <v>364</v>
      </c>
      <c r="B365" s="82" t="s">
        <v>2949</v>
      </c>
      <c r="C365" s="85" t="s">
        <v>2442</v>
      </c>
      <c r="D365" s="85" t="s">
        <v>2499</v>
      </c>
      <c r="E365" s="24" t="s">
        <v>444</v>
      </c>
      <c r="F365" s="24"/>
      <c r="G365" t="str">
        <f>_xlfn.IFNA(VLOOKUP(Таблица112[[#This Row],[KKS]],'[1]DBID Analog'!$B:$D,3,FALSE),VLOOKUP(Таблица112[[#This Row],[KKS]],'[1]DBID Digital'!$B:$E,4,FALSE))</f>
        <v>НГО-7Б КВ</v>
      </c>
    </row>
    <row r="366" spans="1:7" x14ac:dyDescent="0.3">
      <c r="A366" s="84">
        <v>365</v>
      </c>
      <c r="B366" s="82" t="s">
        <v>2950</v>
      </c>
      <c r="C366" s="85" t="s">
        <v>2442</v>
      </c>
      <c r="D366" s="85" t="s">
        <v>2500</v>
      </c>
      <c r="E366" s="24" t="s">
        <v>444</v>
      </c>
      <c r="F366" s="24"/>
      <c r="G366" t="str">
        <f>_xlfn.IFNA(VLOOKUP(Таблица112[[#This Row],[KKS]],'[1]DBID Analog'!$B:$D,3,FALSE),VLOOKUP(Таблица112[[#This Row],[KKS]],'[1]DBID Digital'!$B:$E,4,FALSE))</f>
        <v>НГО-7Б КО</v>
      </c>
    </row>
    <row r="367" spans="1:7" x14ac:dyDescent="0.3">
      <c r="A367" s="84">
        <v>366</v>
      </c>
      <c r="B367" s="82" t="s">
        <v>2578</v>
      </c>
      <c r="C367" s="85" t="s">
        <v>2442</v>
      </c>
      <c r="D367" s="85" t="s">
        <v>2504</v>
      </c>
      <c r="E367" s="24" t="s">
        <v>497</v>
      </c>
      <c r="F367" s="24"/>
      <c r="G367" t="str">
        <f>_xlfn.IFNA(VLOOKUP(Таблица112[[#This Row],[KKS]],'[1]DBID Analog'!$B:$D,3,FALSE),VLOOKUP(Таблица112[[#This Row],[KKS]],'[1]DBID Digital'!$B:$E,4,FALSE))</f>
        <v>Струм ел/дв НГО-7Б</v>
      </c>
    </row>
    <row r="368" spans="1:7" x14ac:dyDescent="0.3">
      <c r="A368" s="84">
        <v>367</v>
      </c>
      <c r="B368" s="82" t="s">
        <v>2951</v>
      </c>
      <c r="C368" s="85" t="s">
        <v>2443</v>
      </c>
      <c r="D368" s="85" t="s">
        <v>2494</v>
      </c>
      <c r="E368" s="24" t="s">
        <v>443</v>
      </c>
      <c r="F368" s="24"/>
      <c r="G368" t="str">
        <f>_xlfn.IFNA(VLOOKUP(Таблица112[[#This Row],[KKS]],'[1]DBID Analog'!$B:$D,3,FALSE),VLOOKUP(Таблица112[[#This Row],[KKS]],'[1]DBID Digital'!$B:$E,4,FALSE))</f>
        <v>НООС-7А ВКЛ</v>
      </c>
    </row>
    <row r="369" spans="1:7" x14ac:dyDescent="0.3">
      <c r="A369" s="84">
        <v>368</v>
      </c>
      <c r="B369" s="82" t="s">
        <v>2952</v>
      </c>
      <c r="C369" s="85" t="s">
        <v>2443</v>
      </c>
      <c r="D369" s="85" t="s">
        <v>2495</v>
      </c>
      <c r="E369" s="24" t="s">
        <v>443</v>
      </c>
      <c r="F369" s="24"/>
      <c r="G369" t="str">
        <f>_xlfn.IFNA(VLOOKUP(Таблица112[[#This Row],[KKS]],'[1]DBID Analog'!$B:$D,3,FALSE),VLOOKUP(Таблица112[[#This Row],[KKS]],'[1]DBID Digital'!$B:$E,4,FALSE))</f>
        <v>НООС-7А ВІДКЛ</v>
      </c>
    </row>
    <row r="370" spans="1:7" x14ac:dyDescent="0.3">
      <c r="A370" s="84">
        <v>369</v>
      </c>
      <c r="B370" s="82" t="s">
        <v>2953</v>
      </c>
      <c r="C370" s="85" t="s">
        <v>2443</v>
      </c>
      <c r="D370" s="85" t="s">
        <v>2562</v>
      </c>
      <c r="E370" s="24" t="s">
        <v>443</v>
      </c>
      <c r="F370" s="24"/>
      <c r="G370" t="str">
        <f>_xlfn.IFNA(VLOOKUP(Таблица112[[#This Row],[KKS]],'[1]DBID Analog'!$B:$D,3,FALSE),VLOOKUP(Таблица112[[#This Row],[KKS]],'[1]DBID Digital'!$B:$E,4,FALSE))</f>
        <v>НООС-7А НЕСПР КІЛ КЕРУВ</v>
      </c>
    </row>
    <row r="371" spans="1:7" x14ac:dyDescent="0.3">
      <c r="A371" s="84">
        <v>370</v>
      </c>
      <c r="B371" s="82" t="s">
        <v>2954</v>
      </c>
      <c r="C371" s="85" t="s">
        <v>2443</v>
      </c>
      <c r="D371" s="85" t="s">
        <v>2560</v>
      </c>
      <c r="E371" s="24" t="s">
        <v>443</v>
      </c>
      <c r="F371" s="24"/>
      <c r="G371" t="str">
        <f>_xlfn.IFNA(VLOOKUP(Таблица112[[#This Row],[KKS]],'[1]DBID Analog'!$B:$D,3,FALSE),VLOOKUP(Таблица112[[#This Row],[KKS]],'[1]DBID Digital'!$B:$E,4,FALSE))</f>
        <v>НООС-7А ВІДКЛ АК</v>
      </c>
    </row>
    <row r="372" spans="1:7" x14ac:dyDescent="0.3">
      <c r="A372" s="84">
        <v>371</v>
      </c>
      <c r="B372" s="82" t="s">
        <v>2955</v>
      </c>
      <c r="C372" s="85" t="s">
        <v>2443</v>
      </c>
      <c r="D372" s="85" t="s">
        <v>2499</v>
      </c>
      <c r="E372" s="24" t="s">
        <v>444</v>
      </c>
      <c r="F372" s="24"/>
      <c r="G372" t="str">
        <f>_xlfn.IFNA(VLOOKUP(Таблица112[[#This Row],[KKS]],'[1]DBID Analog'!$B:$D,3,FALSE),VLOOKUP(Таблица112[[#This Row],[KKS]],'[1]DBID Digital'!$B:$E,4,FALSE))</f>
        <v>НООС-7А КВ</v>
      </c>
    </row>
    <row r="373" spans="1:7" x14ac:dyDescent="0.3">
      <c r="A373" s="84">
        <v>372</v>
      </c>
      <c r="B373" s="82" t="s">
        <v>2956</v>
      </c>
      <c r="C373" s="85" t="s">
        <v>2443</v>
      </c>
      <c r="D373" s="85" t="s">
        <v>2500</v>
      </c>
      <c r="E373" s="24" t="s">
        <v>444</v>
      </c>
      <c r="F373" s="24"/>
      <c r="G373" t="str">
        <f>_xlfn.IFNA(VLOOKUP(Таблица112[[#This Row],[KKS]],'[1]DBID Analog'!$B:$D,3,FALSE),VLOOKUP(Таблица112[[#This Row],[KKS]],'[1]DBID Digital'!$B:$E,4,FALSE))</f>
        <v>НООС-7А КО</v>
      </c>
    </row>
    <row r="374" spans="1:7" x14ac:dyDescent="0.3">
      <c r="A374" s="84">
        <v>373</v>
      </c>
      <c r="B374" s="82" t="s">
        <v>2579</v>
      </c>
      <c r="C374" s="85" t="s">
        <v>2443</v>
      </c>
      <c r="D374" s="85" t="s">
        <v>2504</v>
      </c>
      <c r="E374" s="24" t="s">
        <v>497</v>
      </c>
      <c r="F374" s="24"/>
      <c r="G374" t="str">
        <f>_xlfn.IFNA(VLOOKUP(Таблица112[[#This Row],[KKS]],'[1]DBID Analog'!$B:$D,3,FALSE),VLOOKUP(Таблица112[[#This Row],[KKS]],'[1]DBID Digital'!$B:$E,4,FALSE))</f>
        <v>Струм ел/дв НООС-7А</v>
      </c>
    </row>
    <row r="375" spans="1:7" x14ac:dyDescent="0.3">
      <c r="A375" s="84">
        <v>374</v>
      </c>
      <c r="B375" s="82" t="s">
        <v>2957</v>
      </c>
      <c r="C375" s="85" t="s">
        <v>2444</v>
      </c>
      <c r="D375" s="85" t="s">
        <v>2494</v>
      </c>
      <c r="E375" s="24" t="s">
        <v>443</v>
      </c>
      <c r="F375" s="24"/>
      <c r="G375" t="str">
        <f>_xlfn.IFNA(VLOOKUP(Таблица112[[#This Row],[KKS]],'[1]DBID Analog'!$B:$D,3,FALSE),VLOOKUP(Таблица112[[#This Row],[KKS]],'[1]DBID Digital'!$B:$E,4,FALSE))</f>
        <v>НООС-7Б ВКЛ</v>
      </c>
    </row>
    <row r="376" spans="1:7" x14ac:dyDescent="0.3">
      <c r="A376" s="84">
        <v>375</v>
      </c>
      <c r="B376" s="82" t="s">
        <v>2958</v>
      </c>
      <c r="C376" s="85" t="s">
        <v>2444</v>
      </c>
      <c r="D376" s="85" t="s">
        <v>2495</v>
      </c>
      <c r="E376" s="24" t="s">
        <v>443</v>
      </c>
      <c r="F376" s="24"/>
      <c r="G376" t="str">
        <f>_xlfn.IFNA(VLOOKUP(Таблица112[[#This Row],[KKS]],'[1]DBID Analog'!$B:$D,3,FALSE),VLOOKUP(Таблица112[[#This Row],[KKS]],'[1]DBID Digital'!$B:$E,4,FALSE))</f>
        <v>НООС-7Б ВІДКЛ</v>
      </c>
    </row>
    <row r="377" spans="1:7" x14ac:dyDescent="0.3">
      <c r="A377" s="84">
        <v>376</v>
      </c>
      <c r="B377" s="82" t="s">
        <v>2959</v>
      </c>
      <c r="C377" s="85" t="s">
        <v>2444</v>
      </c>
      <c r="D377" s="85" t="s">
        <v>2562</v>
      </c>
      <c r="E377" s="24" t="s">
        <v>443</v>
      </c>
      <c r="F377" s="24"/>
      <c r="G377" t="str">
        <f>_xlfn.IFNA(VLOOKUP(Таблица112[[#This Row],[KKS]],'[1]DBID Analog'!$B:$D,3,FALSE),VLOOKUP(Таблица112[[#This Row],[KKS]],'[1]DBID Digital'!$B:$E,4,FALSE))</f>
        <v>НООС-7Б НЕСПР КІЛ КЕРУВ</v>
      </c>
    </row>
    <row r="378" spans="1:7" x14ac:dyDescent="0.3">
      <c r="A378" s="84">
        <v>377</v>
      </c>
      <c r="B378" s="82" t="s">
        <v>2960</v>
      </c>
      <c r="C378" s="85" t="s">
        <v>2444</v>
      </c>
      <c r="D378" s="85" t="s">
        <v>2560</v>
      </c>
      <c r="E378" s="24" t="s">
        <v>443</v>
      </c>
      <c r="F378" s="24"/>
      <c r="G378" t="str">
        <f>_xlfn.IFNA(VLOOKUP(Таблица112[[#This Row],[KKS]],'[1]DBID Analog'!$B:$D,3,FALSE),VLOOKUP(Таблица112[[#This Row],[KKS]],'[1]DBID Digital'!$B:$E,4,FALSE))</f>
        <v>НООС-7Б ВІДКЛ АК</v>
      </c>
    </row>
    <row r="379" spans="1:7" x14ac:dyDescent="0.3">
      <c r="A379" s="84">
        <v>378</v>
      </c>
      <c r="B379" s="82" t="s">
        <v>2961</v>
      </c>
      <c r="C379" s="85" t="s">
        <v>2444</v>
      </c>
      <c r="D379" s="85" t="s">
        <v>2499</v>
      </c>
      <c r="E379" s="24" t="s">
        <v>444</v>
      </c>
      <c r="F379" s="24"/>
      <c r="G379" t="str">
        <f>_xlfn.IFNA(VLOOKUP(Таблица112[[#This Row],[KKS]],'[1]DBID Analog'!$B:$D,3,FALSE),VLOOKUP(Таблица112[[#This Row],[KKS]],'[1]DBID Digital'!$B:$E,4,FALSE))</f>
        <v>НООС-7Б КВ</v>
      </c>
    </row>
    <row r="380" spans="1:7" x14ac:dyDescent="0.3">
      <c r="A380" s="84">
        <v>379</v>
      </c>
      <c r="B380" s="82" t="s">
        <v>2962</v>
      </c>
      <c r="C380" s="85" t="s">
        <v>2444</v>
      </c>
      <c r="D380" s="85" t="s">
        <v>2500</v>
      </c>
      <c r="E380" s="24" t="s">
        <v>444</v>
      </c>
      <c r="F380" s="24"/>
      <c r="G380" t="str">
        <f>_xlfn.IFNA(VLOOKUP(Таблица112[[#This Row],[KKS]],'[1]DBID Analog'!$B:$D,3,FALSE),VLOOKUP(Таблица112[[#This Row],[KKS]],'[1]DBID Digital'!$B:$E,4,FALSE))</f>
        <v>НООС-7Б КО</v>
      </c>
    </row>
    <row r="381" spans="1:7" x14ac:dyDescent="0.3">
      <c r="A381" s="84">
        <v>380</v>
      </c>
      <c r="B381" s="82" t="s">
        <v>2580</v>
      </c>
      <c r="C381" s="85" t="s">
        <v>2444</v>
      </c>
      <c r="D381" s="85" t="s">
        <v>2504</v>
      </c>
      <c r="E381" s="24" t="s">
        <v>497</v>
      </c>
      <c r="F381" s="24"/>
      <c r="G381" t="str">
        <f>_xlfn.IFNA(VLOOKUP(Таблица112[[#This Row],[KKS]],'[1]DBID Analog'!$B:$D,3,FALSE),VLOOKUP(Таблица112[[#This Row],[KKS]],'[1]DBID Digital'!$B:$E,4,FALSE))</f>
        <v>Струм ел/дв НООС-7Б</v>
      </c>
    </row>
    <row r="382" spans="1:7" x14ac:dyDescent="0.3">
      <c r="A382" s="84">
        <v>381</v>
      </c>
      <c r="B382" s="82" t="s">
        <v>2963</v>
      </c>
      <c r="C382" s="85" t="s">
        <v>2453</v>
      </c>
      <c r="D382" s="85" t="s">
        <v>2494</v>
      </c>
      <c r="E382" s="24" t="s">
        <v>443</v>
      </c>
      <c r="F382" s="24"/>
      <c r="G382" t="str">
        <f>_xlfn.IFNA(VLOOKUP(Таблица112[[#This Row],[KKS]],'[1]DBID Analog'!$B:$D,3,FALSE),VLOOKUP(Таблица112[[#This Row],[KKS]],'[1]DBID Digital'!$B:$E,4,FALSE))</f>
        <v>РЕМН АМП ТГ-7 ВКЛ</v>
      </c>
    </row>
    <row r="383" spans="1:7" x14ac:dyDescent="0.3">
      <c r="A383" s="84">
        <v>382</v>
      </c>
      <c r="B383" s="82" t="s">
        <v>2964</v>
      </c>
      <c r="C383" s="85" t="s">
        <v>2453</v>
      </c>
      <c r="D383" s="85" t="s">
        <v>2495</v>
      </c>
      <c r="E383" s="24" t="s">
        <v>443</v>
      </c>
      <c r="F383" s="24"/>
      <c r="G383" t="str">
        <f>_xlfn.IFNA(VLOOKUP(Таблица112[[#This Row],[KKS]],'[1]DBID Analog'!$B:$D,3,FALSE),VLOOKUP(Таблица112[[#This Row],[KKS]],'[1]DBID Digital'!$B:$E,4,FALSE))</f>
        <v>РЕМН АМП ТГ-7 ВІДКЛ</v>
      </c>
    </row>
    <row r="384" spans="1:7" x14ac:dyDescent="0.3">
      <c r="A384" s="84">
        <v>383</v>
      </c>
      <c r="B384" s="82" t="s">
        <v>2965</v>
      </c>
      <c r="C384" s="85" t="s">
        <v>2453</v>
      </c>
      <c r="D384" s="85" t="s">
        <v>2562</v>
      </c>
      <c r="E384" s="24" t="s">
        <v>443</v>
      </c>
      <c r="F384" s="24"/>
      <c r="G384" t="str">
        <f>_xlfn.IFNA(VLOOKUP(Таблица112[[#This Row],[KKS]],'[1]DBID Analog'!$B:$D,3,FALSE),VLOOKUP(Таблица112[[#This Row],[KKS]],'[1]DBID Digital'!$B:$E,4,FALSE))</f>
        <v>РЕМН АМП ТГ-7 НЕСПР КІЛ КЕРУВ</v>
      </c>
    </row>
    <row r="385" spans="1:7" x14ac:dyDescent="0.3">
      <c r="A385" s="84">
        <v>384</v>
      </c>
      <c r="B385" s="82" t="s">
        <v>2966</v>
      </c>
      <c r="C385" s="85" t="s">
        <v>2453</v>
      </c>
      <c r="D385" s="85" t="s">
        <v>2560</v>
      </c>
      <c r="E385" s="24" t="s">
        <v>443</v>
      </c>
      <c r="F385" s="24"/>
      <c r="G385" t="str">
        <f>_xlfn.IFNA(VLOOKUP(Таблица112[[#This Row],[KKS]],'[1]DBID Analog'!$B:$D,3,FALSE),VLOOKUP(Таблица112[[#This Row],[KKS]],'[1]DBID Digital'!$B:$E,4,FALSE))</f>
        <v>РЕМН АМП ТГ-7 ВІДКЛ АК</v>
      </c>
    </row>
    <row r="386" spans="1:7" x14ac:dyDescent="0.3">
      <c r="A386" s="84">
        <v>385</v>
      </c>
      <c r="B386" s="82" t="s">
        <v>2967</v>
      </c>
      <c r="C386" s="85" t="s">
        <v>2453</v>
      </c>
      <c r="D386" s="85" t="s">
        <v>2499</v>
      </c>
      <c r="E386" s="24" t="s">
        <v>444</v>
      </c>
      <c r="F386" s="24"/>
      <c r="G386" t="str">
        <f>_xlfn.IFNA(VLOOKUP(Таблица112[[#This Row],[KKS]],'[1]DBID Analog'!$B:$D,3,FALSE),VLOOKUP(Таблица112[[#This Row],[KKS]],'[1]DBID Digital'!$B:$E,4,FALSE))</f>
        <v>РЕМН АМП ТГ-7 КВ</v>
      </c>
    </row>
    <row r="387" spans="1:7" x14ac:dyDescent="0.3">
      <c r="A387" s="84">
        <v>386</v>
      </c>
      <c r="B387" s="82" t="s">
        <v>2968</v>
      </c>
      <c r="C387" s="85" t="s">
        <v>2453</v>
      </c>
      <c r="D387" s="85" t="s">
        <v>2500</v>
      </c>
      <c r="E387" s="24" t="s">
        <v>444</v>
      </c>
      <c r="F387" s="24"/>
      <c r="G387" t="str">
        <f>_xlfn.IFNA(VLOOKUP(Таблица112[[#This Row],[KKS]],'[1]DBID Analog'!$B:$D,3,FALSE),VLOOKUP(Таблица112[[#This Row],[KKS]],'[1]DBID Digital'!$B:$E,4,FALSE))</f>
        <v>РЕМН АМП ТГ-7 КО</v>
      </c>
    </row>
    <row r="388" spans="1:7" x14ac:dyDescent="0.3">
      <c r="A388" s="84">
        <v>387</v>
      </c>
      <c r="B388" s="82" t="s">
        <v>2581</v>
      </c>
      <c r="C388" s="85" t="s">
        <v>2453</v>
      </c>
      <c r="D388" s="85" t="s">
        <v>2504</v>
      </c>
      <c r="E388" s="24" t="s">
        <v>497</v>
      </c>
      <c r="F388" s="24"/>
      <c r="G388" t="str">
        <f>_xlfn.IFNA(VLOOKUP(Таблица112[[#This Row],[KKS]],'[1]DBID Analog'!$B:$D,3,FALSE),VLOOKUP(Таблица112[[#This Row],[KKS]],'[1]DBID Digital'!$B:$E,4,FALSE))</f>
        <v>Струм ел/дв РЕМН АМП</v>
      </c>
    </row>
    <row r="389" spans="1:7" x14ac:dyDescent="0.3">
      <c r="A389" s="84">
        <v>388</v>
      </c>
      <c r="B389" s="82" t="s">
        <v>2969</v>
      </c>
      <c r="C389" s="85" t="s">
        <v>2454</v>
      </c>
      <c r="D389" s="85" t="s">
        <v>2494</v>
      </c>
      <c r="E389" s="24" t="s">
        <v>443</v>
      </c>
      <c r="F389" s="24"/>
      <c r="G389" t="str">
        <f>_xlfn.IFNA(VLOOKUP(Таблица112[[#This Row],[KKS]],'[1]DBID Analog'!$B:$D,3,FALSE),VLOOKUP(Таблица112[[#This Row],[KKS]],'[1]DBID Digital'!$B:$E,4,FALSE))</f>
        <v>АЕМН АМП ТГ-7 ВКЛ</v>
      </c>
    </row>
    <row r="390" spans="1:7" x14ac:dyDescent="0.3">
      <c r="A390" s="84">
        <v>389</v>
      </c>
      <c r="B390" s="82" t="s">
        <v>2970</v>
      </c>
      <c r="C390" s="85" t="s">
        <v>2454</v>
      </c>
      <c r="D390" s="85" t="s">
        <v>2495</v>
      </c>
      <c r="E390" s="24" t="s">
        <v>443</v>
      </c>
      <c r="F390" s="24"/>
      <c r="G390" t="str">
        <f>_xlfn.IFNA(VLOOKUP(Таблица112[[#This Row],[KKS]],'[1]DBID Analog'!$B:$D,3,FALSE),VLOOKUP(Таблица112[[#This Row],[KKS]],'[1]DBID Digital'!$B:$E,4,FALSE))</f>
        <v>АЕМН АМП ТГ-7 ВІДКЛ</v>
      </c>
    </row>
    <row r="391" spans="1:7" x14ac:dyDescent="0.3">
      <c r="A391" s="84">
        <v>390</v>
      </c>
      <c r="B391" s="82" t="s">
        <v>2971</v>
      </c>
      <c r="C391" s="85" t="s">
        <v>2454</v>
      </c>
      <c r="D391" s="85" t="s">
        <v>2562</v>
      </c>
      <c r="E391" s="24" t="s">
        <v>443</v>
      </c>
      <c r="F391" s="24"/>
      <c r="G391" t="str">
        <f>_xlfn.IFNA(VLOOKUP(Таблица112[[#This Row],[KKS]],'[1]DBID Analog'!$B:$D,3,FALSE),VLOOKUP(Таблица112[[#This Row],[KKS]],'[1]DBID Digital'!$B:$E,4,FALSE))</f>
        <v>АЕМН АМП ТГ-7 НЕСПР КІЛ КЕРУВ</v>
      </c>
    </row>
    <row r="392" spans="1:7" x14ac:dyDescent="0.3">
      <c r="A392" s="84">
        <v>391</v>
      </c>
      <c r="B392" s="82" t="s">
        <v>2972</v>
      </c>
      <c r="C392" s="85" t="s">
        <v>2454</v>
      </c>
      <c r="D392" s="85" t="s">
        <v>2503</v>
      </c>
      <c r="E392" s="24" t="s">
        <v>443</v>
      </c>
      <c r="F392" s="24"/>
      <c r="G392" t="e">
        <f>_xlfn.IFNA(VLOOKUP(Таблица112[[#This Row],[KKS]],'[1]DBID Analog'!$B:$D,3,FALSE),VLOOKUP(Таблица112[[#This Row],[KKS]],'[1]DBID Digital'!$B:$E,4,FALSE))</f>
        <v>#N/A</v>
      </c>
    </row>
    <row r="393" spans="1:7" x14ac:dyDescent="0.3">
      <c r="A393" s="84">
        <v>392</v>
      </c>
      <c r="B393" s="82" t="s">
        <v>2973</v>
      </c>
      <c r="C393" s="85" t="s">
        <v>2454</v>
      </c>
      <c r="D393" s="85" t="s">
        <v>2560</v>
      </c>
      <c r="E393" s="24" t="s">
        <v>443</v>
      </c>
      <c r="F393" s="24"/>
      <c r="G393" t="str">
        <f>_xlfn.IFNA(VLOOKUP(Таблица112[[#This Row],[KKS]],'[1]DBID Analog'!$B:$D,3,FALSE),VLOOKUP(Таблица112[[#This Row],[KKS]],'[1]DBID Digital'!$B:$E,4,FALSE))</f>
        <v>АЕМН АМП ТГ-7 ВІДКЛ АК</v>
      </c>
    </row>
    <row r="394" spans="1:7" x14ac:dyDescent="0.3">
      <c r="A394" s="84">
        <v>393</v>
      </c>
      <c r="B394" s="82" t="s">
        <v>2974</v>
      </c>
      <c r="C394" s="85" t="s">
        <v>2454</v>
      </c>
      <c r="D394" s="85" t="s">
        <v>2499</v>
      </c>
      <c r="E394" s="24" t="s">
        <v>444</v>
      </c>
      <c r="F394" s="24"/>
      <c r="G394" t="str">
        <f>_xlfn.IFNA(VLOOKUP(Таблица112[[#This Row],[KKS]],'[1]DBID Analog'!$B:$D,3,FALSE),VLOOKUP(Таблица112[[#This Row],[KKS]],'[1]DBID Digital'!$B:$E,4,FALSE))</f>
        <v>АЕМН АМП ТГ-7 КВ</v>
      </c>
    </row>
    <row r="395" spans="1:7" x14ac:dyDescent="0.3">
      <c r="A395" s="84">
        <v>394</v>
      </c>
      <c r="B395" s="82" t="s">
        <v>2975</v>
      </c>
      <c r="C395" s="85" t="s">
        <v>2454</v>
      </c>
      <c r="D395" s="85" t="s">
        <v>2500</v>
      </c>
      <c r="E395" s="24" t="s">
        <v>444</v>
      </c>
      <c r="F395" s="24"/>
      <c r="G395" t="str">
        <f>_xlfn.IFNA(VLOOKUP(Таблица112[[#This Row],[KKS]],'[1]DBID Analog'!$B:$D,3,FALSE),VLOOKUP(Таблица112[[#This Row],[KKS]],'[1]DBID Digital'!$B:$E,4,FALSE))</f>
        <v>АЕМН АМП ТГ-7 КО</v>
      </c>
    </row>
    <row r="396" spans="1:7" x14ac:dyDescent="0.3">
      <c r="A396" s="84">
        <v>395</v>
      </c>
      <c r="B396" s="82" t="s">
        <v>2582</v>
      </c>
      <c r="C396" s="85" t="s">
        <v>2454</v>
      </c>
      <c r="D396" s="85" t="s">
        <v>2504</v>
      </c>
      <c r="E396" s="24" t="s">
        <v>497</v>
      </c>
      <c r="F396" s="24"/>
      <c r="G396" t="str">
        <f>_xlfn.IFNA(VLOOKUP(Таблица112[[#This Row],[KKS]],'[1]DBID Analog'!$B:$D,3,FALSE),VLOOKUP(Таблица112[[#This Row],[KKS]],'[1]DBID Digital'!$B:$E,4,FALSE))</f>
        <v>Струм ел/дв АЕМН АМП</v>
      </c>
    </row>
    <row r="397" spans="1:7" x14ac:dyDescent="0.3">
      <c r="A397" s="84">
        <v>396</v>
      </c>
      <c r="B397" s="82" t="s">
        <v>2976</v>
      </c>
      <c r="C397" s="85" t="s">
        <v>2455</v>
      </c>
      <c r="D397" s="85" t="s">
        <v>2494</v>
      </c>
      <c r="E397" s="24" t="s">
        <v>443</v>
      </c>
      <c r="F397" s="24"/>
      <c r="G397" t="e">
        <f>_xlfn.IFNA(VLOOKUP(Таблица112[[#This Row],[KKS]],'[1]DBID Analog'!$B:$D,3,FALSE),VLOOKUP(Таблица112[[#This Row],[KKS]],'[1]DBID Digital'!$B:$E,4,FALSE))</f>
        <v>#N/A</v>
      </c>
    </row>
    <row r="398" spans="1:7" x14ac:dyDescent="0.3">
      <c r="A398" s="84">
        <v>397</v>
      </c>
      <c r="B398" s="82" t="s">
        <v>2977</v>
      </c>
      <c r="C398" s="85" t="s">
        <v>2455</v>
      </c>
      <c r="D398" s="85" t="s">
        <v>2495</v>
      </c>
      <c r="E398" s="24" t="s">
        <v>443</v>
      </c>
      <c r="F398" s="24"/>
      <c r="G398" t="e">
        <f>_xlfn.IFNA(VLOOKUP(Таблица112[[#This Row],[KKS]],'[1]DBID Analog'!$B:$D,3,FALSE),VLOOKUP(Таблица112[[#This Row],[KKS]],'[1]DBID Digital'!$B:$E,4,FALSE))</f>
        <v>#N/A</v>
      </c>
    </row>
    <row r="399" spans="1:7" x14ac:dyDescent="0.3">
      <c r="A399" s="84">
        <v>398</v>
      </c>
      <c r="B399" s="82" t="s">
        <v>2978</v>
      </c>
      <c r="C399" s="85" t="s">
        <v>2595</v>
      </c>
      <c r="D399" s="85" t="s">
        <v>2494</v>
      </c>
      <c r="E399" s="24" t="s">
        <v>443</v>
      </c>
      <c r="F399" s="24"/>
      <c r="G399" t="str">
        <f>_xlfn.IFNA(VLOOKUP(Таблица112[[#This Row],[KKS]],'[1]DBID Analog'!$B:$D,3,FALSE),VLOOKUP(Таблица112[[#This Row],[KKS]],'[1]DBID Digital'!$B:$E,4,FALSE))</f>
        <v>ВЕНТИЛЯТОР МБ ВКЛ</v>
      </c>
    </row>
    <row r="400" spans="1:7" x14ac:dyDescent="0.3">
      <c r="A400" s="84">
        <v>399</v>
      </c>
      <c r="B400" s="82" t="s">
        <v>2979</v>
      </c>
      <c r="C400" s="85" t="s">
        <v>2595</v>
      </c>
      <c r="D400" s="85" t="s">
        <v>2495</v>
      </c>
      <c r="E400" s="24" t="s">
        <v>443</v>
      </c>
      <c r="F400" s="24"/>
      <c r="G400" t="str">
        <f>_xlfn.IFNA(VLOOKUP(Таблица112[[#This Row],[KKS]],'[1]DBID Analog'!$B:$D,3,FALSE),VLOOKUP(Таблица112[[#This Row],[KKS]],'[1]DBID Digital'!$B:$E,4,FALSE))</f>
        <v>ВЕНТИЛЯТОР МБ ВІДКЛ</v>
      </c>
    </row>
    <row r="401" spans="1:7" x14ac:dyDescent="0.3">
      <c r="A401" s="84">
        <v>400</v>
      </c>
      <c r="B401" s="82"/>
      <c r="C401" s="85"/>
      <c r="D401" s="85"/>
      <c r="E401" s="24"/>
      <c r="F401" s="24"/>
      <c r="G401">
        <f>_xlfn.IFNA(VLOOKUP(Таблица112[[#This Row],[KKS]],'[1]DBID Analog'!$B:$D,3,FALSE),VLOOKUP(Таблица112[[#This Row],[KKS]],'[1]DBID Digital'!$B:$E,4,FALSE))</f>
        <v>0</v>
      </c>
    </row>
    <row r="402" spans="1:7" x14ac:dyDescent="0.3">
      <c r="A402" s="84">
        <v>401</v>
      </c>
      <c r="B402" s="82"/>
      <c r="C402" s="85"/>
      <c r="D402" s="85"/>
      <c r="E402" s="24"/>
      <c r="F402" s="24"/>
      <c r="G402">
        <f>_xlfn.IFNA(VLOOKUP(Таблица112[[#This Row],[KKS]],'[1]DBID Analog'!$B:$D,3,FALSE),VLOOKUP(Таблица112[[#This Row],[KKS]],'[1]DBID Digital'!$B:$E,4,FALSE))</f>
        <v>0</v>
      </c>
    </row>
    <row r="403" spans="1:7" x14ac:dyDescent="0.3">
      <c r="A403" s="84">
        <v>402</v>
      </c>
      <c r="B403" s="82"/>
      <c r="C403" s="85"/>
      <c r="D403" s="85"/>
      <c r="E403" s="24"/>
      <c r="F403" s="24"/>
      <c r="G403">
        <f>_xlfn.IFNA(VLOOKUP(Таблица112[[#This Row],[KKS]],'[1]DBID Analog'!$B:$D,3,FALSE),VLOOKUP(Таблица112[[#This Row],[KKS]],'[1]DBID Digital'!$B:$E,4,FALSE))</f>
        <v>0</v>
      </c>
    </row>
    <row r="404" spans="1:7" x14ac:dyDescent="0.3">
      <c r="A404" s="84">
        <v>403</v>
      </c>
      <c r="B404" s="82"/>
      <c r="C404" s="85"/>
      <c r="D404" s="85"/>
      <c r="E404" s="24"/>
      <c r="F404" s="24"/>
      <c r="G404">
        <f>_xlfn.IFNA(VLOOKUP(Таблица112[[#This Row],[KKS]],'[1]DBID Analog'!$B:$D,3,FALSE),VLOOKUP(Таблица112[[#This Row],[KKS]],'[1]DBID Digital'!$B:$E,4,FALSE))</f>
        <v>0</v>
      </c>
    </row>
    <row r="405" spans="1:7" x14ac:dyDescent="0.3">
      <c r="A405" s="84">
        <v>404</v>
      </c>
      <c r="B405" s="82"/>
      <c r="C405" s="85"/>
      <c r="D405" s="85"/>
      <c r="E405" s="24"/>
      <c r="F405" s="24"/>
      <c r="G405">
        <f>_xlfn.IFNA(VLOOKUP(Таблица112[[#This Row],[KKS]],'[1]DBID Analog'!$B:$D,3,FALSE),VLOOKUP(Таблица112[[#This Row],[KKS]],'[1]DBID Digital'!$B:$E,4,FALSE))</f>
        <v>0</v>
      </c>
    </row>
    <row r="406" spans="1:7" x14ac:dyDescent="0.3">
      <c r="A406" s="84">
        <v>405</v>
      </c>
      <c r="B406" s="82"/>
      <c r="C406" s="85"/>
      <c r="D406" s="85"/>
      <c r="E406" s="24"/>
      <c r="F406" s="24"/>
      <c r="G406">
        <f>_xlfn.IFNA(VLOOKUP(Таблица112[[#This Row],[KKS]],'[1]DBID Analog'!$B:$D,3,FALSE),VLOOKUP(Таблица112[[#This Row],[KKS]],'[1]DBID Digital'!$B:$E,4,FALSE))</f>
        <v>0</v>
      </c>
    </row>
    <row r="407" spans="1:7" x14ac:dyDescent="0.3">
      <c r="A407" s="84">
        <v>406</v>
      </c>
      <c r="B407" s="82"/>
      <c r="C407" s="85"/>
      <c r="D407" s="85"/>
      <c r="E407" s="24"/>
      <c r="F407" s="24"/>
      <c r="G407">
        <f>_xlfn.IFNA(VLOOKUP(Таблица112[[#This Row],[KKS]],'[1]DBID Analog'!$B:$D,3,FALSE),VLOOKUP(Таблица112[[#This Row],[KKS]],'[1]DBID Digital'!$B:$E,4,FALSE))</f>
        <v>0</v>
      </c>
    </row>
    <row r="408" spans="1:7" x14ac:dyDescent="0.3">
      <c r="A408" s="84">
        <v>407</v>
      </c>
      <c r="B408" s="82"/>
      <c r="C408" s="85"/>
      <c r="D408" s="85"/>
      <c r="E408" s="24"/>
      <c r="F408" s="24"/>
      <c r="G408">
        <f>_xlfn.IFNA(VLOOKUP(Таблица112[[#This Row],[KKS]],'[1]DBID Analog'!$B:$D,3,FALSE),VLOOKUP(Таблица112[[#This Row],[KKS]],'[1]DBID Digital'!$B:$E,4,FALSE))</f>
        <v>0</v>
      </c>
    </row>
    <row r="409" spans="1:7" x14ac:dyDescent="0.3">
      <c r="A409" s="84">
        <v>408</v>
      </c>
      <c r="B409" s="82"/>
      <c r="C409" s="85"/>
      <c r="D409" s="85"/>
      <c r="E409" s="24"/>
      <c r="F409" s="24"/>
      <c r="G409">
        <f>_xlfn.IFNA(VLOOKUP(Таблица112[[#This Row],[KKS]],'[1]DBID Analog'!$B:$D,3,FALSE),VLOOKUP(Таблица112[[#This Row],[KKS]],'[1]DBID Digital'!$B:$E,4,FALSE))</f>
        <v>0</v>
      </c>
    </row>
    <row r="410" spans="1:7" x14ac:dyDescent="0.3">
      <c r="A410" s="84">
        <v>409</v>
      </c>
      <c r="B410" s="82"/>
      <c r="C410" s="85"/>
      <c r="D410" s="85"/>
      <c r="E410" s="24"/>
      <c r="F410" s="24"/>
      <c r="G410">
        <f>_xlfn.IFNA(VLOOKUP(Таблица112[[#This Row],[KKS]],'[1]DBID Analog'!$B:$D,3,FALSE),VLOOKUP(Таблица112[[#This Row],[KKS]],'[1]DBID Digital'!$B:$E,4,FALSE))</f>
        <v>0</v>
      </c>
    </row>
    <row r="411" spans="1:7" x14ac:dyDescent="0.3">
      <c r="A411" s="84">
        <v>410</v>
      </c>
      <c r="B411" s="82"/>
      <c r="C411" s="85"/>
      <c r="D411" s="85"/>
      <c r="E411" s="24"/>
      <c r="F411" s="24"/>
      <c r="G411">
        <f>_xlfn.IFNA(VLOOKUP(Таблица112[[#This Row],[KKS]],'[1]DBID Analog'!$B:$D,3,FALSE),VLOOKUP(Таблица112[[#This Row],[KKS]],'[1]DBID Digital'!$B:$E,4,FALSE))</f>
        <v>0</v>
      </c>
    </row>
  </sheetData>
  <autoFilter ref="G1:G411" xr:uid="{00000000-0009-0000-0000-000001000000}"/>
  <mergeCells count="6">
    <mergeCell ref="J77:J78"/>
    <mergeCell ref="K77:K78"/>
    <mergeCell ref="L77:L78"/>
    <mergeCell ref="J71:J72"/>
    <mergeCell ref="K71:K72"/>
    <mergeCell ref="L71:L72"/>
  </mergeCells>
  <phoneticPr fontId="14" type="noConversion"/>
  <conditionalFormatting sqref="B1:B1048576">
    <cfRule type="duplicateValues" dxfId="42" priority="3"/>
  </conditionalFormatting>
  <conditionalFormatting sqref="N79:X92">
    <cfRule type="cellIs" dxfId="41" priority="2" operator="equal">
      <formula>1</formula>
    </cfRule>
  </conditionalFormatting>
  <conditionalFormatting sqref="N73:U73">
    <cfRule type="cellIs" dxfId="40" priority="1" operator="equal">
      <formula>1</formula>
    </cfRule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theme="7" tint="-0.249977111117893"/>
  </sheetPr>
  <dimension ref="A1:J112"/>
  <sheetViews>
    <sheetView zoomScale="90" zoomScaleNormal="90" workbookViewId="0">
      <selection activeCell="H10" sqref="H10"/>
    </sheetView>
  </sheetViews>
  <sheetFormatPr defaultRowHeight="14.4" x14ac:dyDescent="0.3"/>
  <cols>
    <col min="1" max="1" width="7.21875" customWidth="1"/>
    <col min="2" max="2" width="14.21875" customWidth="1"/>
    <col min="3" max="3" width="28.5546875" customWidth="1"/>
    <col min="4" max="4" width="15" customWidth="1"/>
    <col min="5" max="6" width="11.44140625" customWidth="1"/>
    <col min="7" max="7" width="13" customWidth="1"/>
    <col min="9" max="9" width="14.88671875" customWidth="1"/>
    <col min="10" max="10" width="45.44140625" customWidth="1"/>
  </cols>
  <sheetData>
    <row r="1" spans="1:10" ht="43.2" x14ac:dyDescent="0.3">
      <c r="A1" s="26" t="s">
        <v>507</v>
      </c>
      <c r="B1" s="26" t="s">
        <v>1020</v>
      </c>
      <c r="C1" s="26" t="s">
        <v>512</v>
      </c>
      <c r="D1" s="26" t="s">
        <v>868</v>
      </c>
      <c r="E1" s="26" t="s">
        <v>441</v>
      </c>
      <c r="F1" s="26" t="s">
        <v>874</v>
      </c>
      <c r="G1" s="26" t="s">
        <v>742</v>
      </c>
      <c r="I1" s="77" t="s">
        <v>742</v>
      </c>
      <c r="J1" s="78" t="s">
        <v>2465</v>
      </c>
    </row>
    <row r="2" spans="1:10" ht="15" customHeight="1" x14ac:dyDescent="0.3">
      <c r="A2">
        <v>1</v>
      </c>
      <c r="B2" s="24" t="s">
        <v>1021</v>
      </c>
      <c r="C2" s="24" t="s">
        <v>846</v>
      </c>
      <c r="D2" s="24" t="s">
        <v>873</v>
      </c>
      <c r="E2" s="24" t="s">
        <v>497</v>
      </c>
      <c r="F2" s="24" t="s">
        <v>875</v>
      </c>
      <c r="G2" s="24" t="s">
        <v>754</v>
      </c>
      <c r="I2" s="72" t="s">
        <v>754</v>
      </c>
      <c r="J2" s="14" t="s">
        <v>2466</v>
      </c>
    </row>
    <row r="3" spans="1:10" ht="15" customHeight="1" x14ac:dyDescent="0.3">
      <c r="A3">
        <v>2</v>
      </c>
      <c r="B3" s="24" t="s">
        <v>1022</v>
      </c>
      <c r="C3" s="24" t="s">
        <v>847</v>
      </c>
      <c r="D3" s="24" t="s">
        <v>870</v>
      </c>
      <c r="E3" s="24" t="s">
        <v>443</v>
      </c>
      <c r="F3" s="24" t="s">
        <v>876</v>
      </c>
      <c r="G3" s="24" t="s">
        <v>754</v>
      </c>
      <c r="I3" s="72" t="s">
        <v>743</v>
      </c>
      <c r="J3" s="14" t="s">
        <v>2467</v>
      </c>
    </row>
    <row r="4" spans="1:10" ht="15" customHeight="1" x14ac:dyDescent="0.3">
      <c r="A4">
        <v>3</v>
      </c>
      <c r="B4" s="24" t="s">
        <v>1023</v>
      </c>
      <c r="C4" s="24" t="s">
        <v>848</v>
      </c>
      <c r="D4" s="24" t="s">
        <v>871</v>
      </c>
      <c r="E4" s="24" t="s">
        <v>443</v>
      </c>
      <c r="F4" s="24" t="s">
        <v>876</v>
      </c>
      <c r="G4" s="24" t="s">
        <v>754</v>
      </c>
      <c r="I4" s="72" t="s">
        <v>787</v>
      </c>
      <c r="J4" s="14" t="s">
        <v>2468</v>
      </c>
    </row>
    <row r="5" spans="1:10" ht="15" customHeight="1" x14ac:dyDescent="0.3">
      <c r="A5">
        <v>4</v>
      </c>
      <c r="B5" s="24" t="s">
        <v>815</v>
      </c>
      <c r="C5" s="24" t="s">
        <v>849</v>
      </c>
      <c r="D5" s="24" t="s">
        <v>878</v>
      </c>
      <c r="E5" s="24" t="s">
        <v>443</v>
      </c>
      <c r="F5" s="24" t="s">
        <v>876</v>
      </c>
      <c r="G5" s="24" t="s">
        <v>754</v>
      </c>
      <c r="I5" s="74" t="s">
        <v>744</v>
      </c>
      <c r="J5" s="75" t="s">
        <v>2469</v>
      </c>
    </row>
    <row r="6" spans="1:10" ht="15" customHeight="1" x14ac:dyDescent="0.3">
      <c r="A6">
        <v>5</v>
      </c>
      <c r="B6" s="24" t="s">
        <v>985</v>
      </c>
      <c r="C6" s="24" t="s">
        <v>851</v>
      </c>
      <c r="D6" s="24" t="s">
        <v>869</v>
      </c>
      <c r="E6" s="24" t="s">
        <v>444</v>
      </c>
      <c r="F6" s="24" t="s">
        <v>877</v>
      </c>
      <c r="G6" s="24" t="s">
        <v>754</v>
      </c>
      <c r="I6" s="74" t="s">
        <v>793</v>
      </c>
      <c r="J6" s="75" t="s">
        <v>2474</v>
      </c>
    </row>
    <row r="7" spans="1:10" x14ac:dyDescent="0.3">
      <c r="A7">
        <v>6</v>
      </c>
      <c r="B7" s="24" t="s">
        <v>983</v>
      </c>
      <c r="C7" s="24" t="s">
        <v>850</v>
      </c>
      <c r="D7" s="24" t="s">
        <v>872</v>
      </c>
      <c r="E7" s="24" t="s">
        <v>444</v>
      </c>
      <c r="F7" s="24" t="s">
        <v>877</v>
      </c>
      <c r="G7" s="24" t="s">
        <v>754</v>
      </c>
      <c r="I7" s="76" t="s">
        <v>745</v>
      </c>
      <c r="J7" s="75" t="s">
        <v>2475</v>
      </c>
    </row>
    <row r="8" spans="1:10" x14ac:dyDescent="0.3">
      <c r="A8">
        <v>7</v>
      </c>
      <c r="B8" s="24" t="s">
        <v>1021</v>
      </c>
      <c r="C8" s="24" t="s">
        <v>846</v>
      </c>
      <c r="D8" s="24" t="s">
        <v>873</v>
      </c>
      <c r="E8" s="24" t="s">
        <v>497</v>
      </c>
      <c r="F8" s="24" t="s">
        <v>875</v>
      </c>
      <c r="G8" s="24" t="s">
        <v>743</v>
      </c>
      <c r="I8" s="76" t="s">
        <v>797</v>
      </c>
      <c r="J8" s="75" t="s">
        <v>2476</v>
      </c>
    </row>
    <row r="9" spans="1:10" x14ac:dyDescent="0.3">
      <c r="A9">
        <v>8</v>
      </c>
      <c r="B9" s="24" t="s">
        <v>1022</v>
      </c>
      <c r="C9" s="24" t="s">
        <v>847</v>
      </c>
      <c r="D9" s="24" t="s">
        <v>870</v>
      </c>
      <c r="E9" s="24" t="s">
        <v>443</v>
      </c>
      <c r="F9" s="24" t="s">
        <v>876</v>
      </c>
      <c r="G9" s="24" t="s">
        <v>743</v>
      </c>
      <c r="I9" s="76" t="s">
        <v>785</v>
      </c>
      <c r="J9" s="75" t="s">
        <v>2477</v>
      </c>
    </row>
    <row r="10" spans="1:10" x14ac:dyDescent="0.3">
      <c r="A10">
        <v>9</v>
      </c>
      <c r="B10" s="24" t="s">
        <v>1023</v>
      </c>
      <c r="C10" s="24" t="s">
        <v>848</v>
      </c>
      <c r="D10" s="24" t="s">
        <v>871</v>
      </c>
      <c r="E10" s="24" t="s">
        <v>443</v>
      </c>
      <c r="F10" s="24" t="s">
        <v>876</v>
      </c>
      <c r="G10" s="24" t="s">
        <v>743</v>
      </c>
      <c r="I10" s="76" t="s">
        <v>747</v>
      </c>
      <c r="J10" s="75" t="s">
        <v>2469</v>
      </c>
    </row>
    <row r="11" spans="1:10" x14ac:dyDescent="0.3">
      <c r="A11">
        <v>10</v>
      </c>
      <c r="B11" s="24" t="s">
        <v>815</v>
      </c>
      <c r="C11" s="24" t="s">
        <v>849</v>
      </c>
      <c r="D11" s="24" t="s">
        <v>878</v>
      </c>
      <c r="E11" s="24" t="s">
        <v>443</v>
      </c>
      <c r="F11" s="24" t="s">
        <v>876</v>
      </c>
      <c r="G11" s="24" t="s">
        <v>743</v>
      </c>
      <c r="I11" s="76" t="s">
        <v>788</v>
      </c>
      <c r="J11" s="75" t="s">
        <v>2474</v>
      </c>
    </row>
    <row r="12" spans="1:10" x14ac:dyDescent="0.3">
      <c r="A12">
        <v>11</v>
      </c>
      <c r="B12" s="24" t="s">
        <v>1024</v>
      </c>
      <c r="C12" s="24" t="s">
        <v>852</v>
      </c>
      <c r="D12" s="24" t="s">
        <v>883</v>
      </c>
      <c r="E12" s="24" t="s">
        <v>443</v>
      </c>
      <c r="F12" s="24" t="s">
        <v>876</v>
      </c>
      <c r="G12" s="24" t="s">
        <v>743</v>
      </c>
      <c r="I12" s="76" t="s">
        <v>796</v>
      </c>
      <c r="J12" s="75" t="s">
        <v>2476</v>
      </c>
    </row>
    <row r="13" spans="1:10" x14ac:dyDescent="0.3">
      <c r="A13">
        <v>12</v>
      </c>
      <c r="B13" s="24" t="s">
        <v>1025</v>
      </c>
      <c r="C13" s="24" t="s">
        <v>853</v>
      </c>
      <c r="D13" s="24" t="s">
        <v>879</v>
      </c>
      <c r="E13" s="24" t="s">
        <v>443</v>
      </c>
      <c r="F13" s="24" t="s">
        <v>876</v>
      </c>
      <c r="G13" s="24" t="s">
        <v>743</v>
      </c>
      <c r="I13" s="76" t="s">
        <v>789</v>
      </c>
      <c r="J13" s="75" t="s">
        <v>2478</v>
      </c>
    </row>
    <row r="14" spans="1:10" x14ac:dyDescent="0.3">
      <c r="A14">
        <v>13</v>
      </c>
      <c r="B14" s="24" t="s">
        <v>985</v>
      </c>
      <c r="C14" s="24" t="s">
        <v>851</v>
      </c>
      <c r="D14" s="24" t="s">
        <v>869</v>
      </c>
      <c r="E14" s="24" t="s">
        <v>444</v>
      </c>
      <c r="F14" s="24" t="s">
        <v>877</v>
      </c>
      <c r="G14" s="24" t="s">
        <v>743</v>
      </c>
      <c r="I14" s="76" t="s">
        <v>783</v>
      </c>
      <c r="J14" s="14" t="s">
        <v>2480</v>
      </c>
    </row>
    <row r="15" spans="1:10" x14ac:dyDescent="0.3">
      <c r="A15">
        <v>14</v>
      </c>
      <c r="B15" s="24" t="s">
        <v>983</v>
      </c>
      <c r="C15" s="24" t="s">
        <v>850</v>
      </c>
      <c r="D15" s="24" t="s">
        <v>872</v>
      </c>
      <c r="E15" s="24" t="s">
        <v>444</v>
      </c>
      <c r="F15" s="24" t="s">
        <v>877</v>
      </c>
      <c r="G15" s="24" t="s">
        <v>743</v>
      </c>
      <c r="I15" s="76" t="s">
        <v>784</v>
      </c>
      <c r="J15" s="14" t="s">
        <v>2479</v>
      </c>
    </row>
    <row r="16" spans="1:10" x14ac:dyDescent="0.3">
      <c r="A16">
        <v>15</v>
      </c>
      <c r="B16" s="24" t="s">
        <v>1021</v>
      </c>
      <c r="C16" s="24" t="s">
        <v>846</v>
      </c>
      <c r="D16" s="24" t="s">
        <v>873</v>
      </c>
      <c r="E16" s="24" t="s">
        <v>497</v>
      </c>
      <c r="F16" s="24" t="s">
        <v>875</v>
      </c>
      <c r="G16" s="24" t="s">
        <v>787</v>
      </c>
    </row>
    <row r="17" spans="1:7" x14ac:dyDescent="0.3">
      <c r="A17">
        <v>16</v>
      </c>
      <c r="B17" s="24" t="s">
        <v>1022</v>
      </c>
      <c r="C17" s="24" t="s">
        <v>847</v>
      </c>
      <c r="D17" s="24" t="s">
        <v>870</v>
      </c>
      <c r="E17" s="24" t="s">
        <v>443</v>
      </c>
      <c r="F17" s="24" t="s">
        <v>876</v>
      </c>
      <c r="G17" s="24" t="s">
        <v>787</v>
      </c>
    </row>
    <row r="18" spans="1:7" x14ac:dyDescent="0.3">
      <c r="A18">
        <v>17</v>
      </c>
      <c r="B18" s="24" t="s">
        <v>1023</v>
      </c>
      <c r="C18" s="24" t="s">
        <v>848</v>
      </c>
      <c r="D18" s="24" t="s">
        <v>871</v>
      </c>
      <c r="E18" s="24" t="s">
        <v>443</v>
      </c>
      <c r="F18" s="24" t="s">
        <v>876</v>
      </c>
      <c r="G18" s="24" t="s">
        <v>787</v>
      </c>
    </row>
    <row r="19" spans="1:7" x14ac:dyDescent="0.3">
      <c r="A19">
        <v>18</v>
      </c>
      <c r="B19" s="24" t="s">
        <v>815</v>
      </c>
      <c r="C19" s="24" t="s">
        <v>849</v>
      </c>
      <c r="D19" s="24" t="s">
        <v>878</v>
      </c>
      <c r="E19" s="24" t="s">
        <v>443</v>
      </c>
      <c r="F19" s="24" t="s">
        <v>876</v>
      </c>
      <c r="G19" s="24" t="s">
        <v>787</v>
      </c>
    </row>
    <row r="20" spans="1:7" x14ac:dyDescent="0.3">
      <c r="A20">
        <v>19</v>
      </c>
      <c r="B20" s="24" t="s">
        <v>985</v>
      </c>
      <c r="C20" s="24" t="s">
        <v>851</v>
      </c>
      <c r="D20" s="24" t="s">
        <v>869</v>
      </c>
      <c r="E20" s="24" t="s">
        <v>444</v>
      </c>
      <c r="F20" s="24" t="s">
        <v>877</v>
      </c>
      <c r="G20" s="24" t="s">
        <v>787</v>
      </c>
    </row>
    <row r="21" spans="1:7" x14ac:dyDescent="0.3">
      <c r="A21">
        <v>20</v>
      </c>
      <c r="B21" s="24" t="s">
        <v>983</v>
      </c>
      <c r="C21" s="24" t="s">
        <v>850</v>
      </c>
      <c r="D21" s="24" t="s">
        <v>872</v>
      </c>
      <c r="E21" s="24" t="s">
        <v>444</v>
      </c>
      <c r="F21" s="24" t="s">
        <v>877</v>
      </c>
      <c r="G21" s="24" t="s">
        <v>787</v>
      </c>
    </row>
    <row r="22" spans="1:7" x14ac:dyDescent="0.3">
      <c r="A22">
        <v>21</v>
      </c>
      <c r="B22" s="24" t="s">
        <v>1022</v>
      </c>
      <c r="C22" s="24" t="s">
        <v>854</v>
      </c>
      <c r="D22" s="24" t="s">
        <v>870</v>
      </c>
      <c r="E22" s="24" t="s">
        <v>443</v>
      </c>
      <c r="F22" s="24" t="s">
        <v>876</v>
      </c>
      <c r="G22" s="24" t="s">
        <v>744</v>
      </c>
    </row>
    <row r="23" spans="1:7" x14ac:dyDescent="0.3">
      <c r="A23">
        <v>22</v>
      </c>
      <c r="B23" s="24" t="s">
        <v>1023</v>
      </c>
      <c r="C23" s="24" t="s">
        <v>855</v>
      </c>
      <c r="D23" s="24" t="s">
        <v>871</v>
      </c>
      <c r="E23" s="24" t="s">
        <v>443</v>
      </c>
      <c r="F23" s="24" t="s">
        <v>876</v>
      </c>
      <c r="G23" s="24" t="s">
        <v>744</v>
      </c>
    </row>
    <row r="24" spans="1:7" x14ac:dyDescent="0.3">
      <c r="A24">
        <v>23</v>
      </c>
      <c r="B24" s="24" t="s">
        <v>1026</v>
      </c>
      <c r="C24" s="24" t="s">
        <v>857</v>
      </c>
      <c r="D24" s="24" t="s">
        <v>881</v>
      </c>
      <c r="E24" s="24" t="s">
        <v>443</v>
      </c>
      <c r="F24" s="24" t="s">
        <v>876</v>
      </c>
      <c r="G24" s="24" t="s">
        <v>744</v>
      </c>
    </row>
    <row r="25" spans="1:7" x14ac:dyDescent="0.3">
      <c r="A25">
        <v>24</v>
      </c>
      <c r="B25" s="24" t="s">
        <v>815</v>
      </c>
      <c r="C25" s="24" t="s">
        <v>856</v>
      </c>
      <c r="D25" s="24" t="s">
        <v>878</v>
      </c>
      <c r="E25" s="24" t="s">
        <v>443</v>
      </c>
      <c r="F25" s="24" t="s">
        <v>876</v>
      </c>
      <c r="G25" s="24" t="s">
        <v>744</v>
      </c>
    </row>
    <row r="26" spans="1:7" x14ac:dyDescent="0.3">
      <c r="A26">
        <v>25</v>
      </c>
      <c r="B26" s="24" t="s">
        <v>985</v>
      </c>
      <c r="C26" s="24" t="s">
        <v>851</v>
      </c>
      <c r="D26" s="24" t="s">
        <v>869</v>
      </c>
      <c r="E26" s="24" t="s">
        <v>444</v>
      </c>
      <c r="F26" s="24" t="s">
        <v>877</v>
      </c>
      <c r="G26" s="24" t="s">
        <v>744</v>
      </c>
    </row>
    <row r="27" spans="1:7" x14ac:dyDescent="0.3">
      <c r="A27">
        <v>26</v>
      </c>
      <c r="B27" s="24" t="s">
        <v>983</v>
      </c>
      <c r="C27" s="24" t="s">
        <v>850</v>
      </c>
      <c r="D27" s="24" t="s">
        <v>872</v>
      </c>
      <c r="E27" s="24" t="s">
        <v>444</v>
      </c>
      <c r="F27" s="24" t="s">
        <v>877</v>
      </c>
      <c r="G27" s="24" t="s">
        <v>744</v>
      </c>
    </row>
    <row r="28" spans="1:7" x14ac:dyDescent="0.3">
      <c r="A28">
        <v>27</v>
      </c>
      <c r="B28" s="24" t="s">
        <v>1022</v>
      </c>
      <c r="C28" s="24" t="s">
        <v>854</v>
      </c>
      <c r="D28" s="24" t="s">
        <v>870</v>
      </c>
      <c r="E28" s="24" t="s">
        <v>443</v>
      </c>
      <c r="F28" s="24" t="s">
        <v>876</v>
      </c>
      <c r="G28" s="24" t="s">
        <v>793</v>
      </c>
    </row>
    <row r="29" spans="1:7" x14ac:dyDescent="0.3">
      <c r="A29">
        <v>28</v>
      </c>
      <c r="B29" s="24" t="s">
        <v>1023</v>
      </c>
      <c r="C29" s="24" t="s">
        <v>855</v>
      </c>
      <c r="D29" s="24" t="s">
        <v>871</v>
      </c>
      <c r="E29" s="24" t="s">
        <v>443</v>
      </c>
      <c r="F29" s="24" t="s">
        <v>876</v>
      </c>
      <c r="G29" s="24" t="s">
        <v>793</v>
      </c>
    </row>
    <row r="30" spans="1:7" x14ac:dyDescent="0.3">
      <c r="A30">
        <v>29</v>
      </c>
      <c r="B30" s="24" t="s">
        <v>1026</v>
      </c>
      <c r="C30" s="24" t="s">
        <v>857</v>
      </c>
      <c r="D30" s="24" t="s">
        <v>881</v>
      </c>
      <c r="E30" s="24" t="s">
        <v>443</v>
      </c>
      <c r="F30" s="24" t="s">
        <v>876</v>
      </c>
      <c r="G30" s="24" t="s">
        <v>793</v>
      </c>
    </row>
    <row r="31" spans="1:7" x14ac:dyDescent="0.3">
      <c r="A31">
        <v>30</v>
      </c>
      <c r="B31" s="24" t="s">
        <v>815</v>
      </c>
      <c r="C31" s="24" t="s">
        <v>856</v>
      </c>
      <c r="D31" s="24" t="s">
        <v>878</v>
      </c>
      <c r="E31" s="24" t="s">
        <v>443</v>
      </c>
      <c r="F31" s="24" t="s">
        <v>876</v>
      </c>
      <c r="G31" s="24" t="s">
        <v>793</v>
      </c>
    </row>
    <row r="32" spans="1:7" x14ac:dyDescent="0.3">
      <c r="A32">
        <v>31</v>
      </c>
      <c r="B32" s="24" t="s">
        <v>985</v>
      </c>
      <c r="C32" s="24" t="s">
        <v>851</v>
      </c>
      <c r="D32" s="24" t="s">
        <v>869</v>
      </c>
      <c r="E32" s="24" t="s">
        <v>444</v>
      </c>
      <c r="F32" s="24" t="s">
        <v>877</v>
      </c>
      <c r="G32" s="24" t="s">
        <v>793</v>
      </c>
    </row>
    <row r="33" spans="1:7" x14ac:dyDescent="0.3">
      <c r="A33">
        <v>32</v>
      </c>
      <c r="B33" s="24" t="s">
        <v>983</v>
      </c>
      <c r="C33" s="24" t="s">
        <v>850</v>
      </c>
      <c r="D33" s="24" t="s">
        <v>872</v>
      </c>
      <c r="E33" s="24" t="s">
        <v>444</v>
      </c>
      <c r="F33" s="24" t="s">
        <v>877</v>
      </c>
      <c r="G33" s="24" t="s">
        <v>793</v>
      </c>
    </row>
    <row r="34" spans="1:7" x14ac:dyDescent="0.3">
      <c r="A34">
        <v>33</v>
      </c>
      <c r="B34" s="24" t="s">
        <v>1027</v>
      </c>
      <c r="C34" s="24" t="s">
        <v>858</v>
      </c>
      <c r="D34" s="24" t="s">
        <v>880</v>
      </c>
      <c r="E34" s="24" t="s">
        <v>444</v>
      </c>
      <c r="F34" s="24" t="s">
        <v>877</v>
      </c>
      <c r="G34" s="24" t="s">
        <v>793</v>
      </c>
    </row>
    <row r="35" spans="1:7" x14ac:dyDescent="0.3">
      <c r="A35">
        <v>34</v>
      </c>
      <c r="B35" s="24" t="s">
        <v>1022</v>
      </c>
      <c r="C35" s="24" t="s">
        <v>854</v>
      </c>
      <c r="D35" s="24" t="s">
        <v>870</v>
      </c>
      <c r="E35" s="24" t="s">
        <v>443</v>
      </c>
      <c r="F35" s="24" t="s">
        <v>876</v>
      </c>
      <c r="G35" s="24" t="s">
        <v>745</v>
      </c>
    </row>
    <row r="36" spans="1:7" x14ac:dyDescent="0.3">
      <c r="A36">
        <v>35</v>
      </c>
      <c r="B36" s="24" t="s">
        <v>1023</v>
      </c>
      <c r="C36" s="24" t="s">
        <v>855</v>
      </c>
      <c r="D36" s="24" t="s">
        <v>871</v>
      </c>
      <c r="E36" s="24" t="s">
        <v>443</v>
      </c>
      <c r="F36" s="24" t="s">
        <v>876</v>
      </c>
      <c r="G36" s="24" t="s">
        <v>745</v>
      </c>
    </row>
    <row r="37" spans="1:7" x14ac:dyDescent="0.3">
      <c r="A37">
        <v>36</v>
      </c>
      <c r="B37" s="24" t="s">
        <v>1026</v>
      </c>
      <c r="C37" s="24" t="s">
        <v>857</v>
      </c>
      <c r="D37" s="24" t="s">
        <v>881</v>
      </c>
      <c r="E37" s="24" t="s">
        <v>443</v>
      </c>
      <c r="F37" s="24" t="s">
        <v>876</v>
      </c>
      <c r="G37" s="24" t="s">
        <v>745</v>
      </c>
    </row>
    <row r="38" spans="1:7" x14ac:dyDescent="0.3">
      <c r="A38">
        <v>37</v>
      </c>
      <c r="B38" s="24" t="s">
        <v>815</v>
      </c>
      <c r="C38" s="24" t="s">
        <v>856</v>
      </c>
      <c r="D38" s="24" t="s">
        <v>878</v>
      </c>
      <c r="E38" s="24" t="s">
        <v>443</v>
      </c>
      <c r="F38" s="24" t="s">
        <v>876</v>
      </c>
      <c r="G38" s="24" t="s">
        <v>745</v>
      </c>
    </row>
    <row r="39" spans="1:7" ht="15" customHeight="1" x14ac:dyDescent="0.3">
      <c r="A39">
        <v>38</v>
      </c>
      <c r="B39" s="24" t="s">
        <v>985</v>
      </c>
      <c r="C39" s="24" t="s">
        <v>851</v>
      </c>
      <c r="D39" s="24" t="s">
        <v>869</v>
      </c>
      <c r="E39" s="24" t="s">
        <v>444</v>
      </c>
      <c r="F39" s="24" t="s">
        <v>877</v>
      </c>
      <c r="G39" s="24" t="s">
        <v>745</v>
      </c>
    </row>
    <row r="40" spans="1:7" ht="15" customHeight="1" x14ac:dyDescent="0.3">
      <c r="A40">
        <v>39</v>
      </c>
      <c r="B40" s="24" t="s">
        <v>983</v>
      </c>
      <c r="C40" s="24" t="s">
        <v>850</v>
      </c>
      <c r="D40" s="24" t="s">
        <v>872</v>
      </c>
      <c r="E40" s="24" t="s">
        <v>444</v>
      </c>
      <c r="F40" s="24" t="s">
        <v>877</v>
      </c>
      <c r="G40" s="24" t="s">
        <v>745</v>
      </c>
    </row>
    <row r="41" spans="1:7" ht="15" customHeight="1" x14ac:dyDescent="0.3">
      <c r="A41">
        <v>40</v>
      </c>
      <c r="B41" s="24"/>
      <c r="C41" s="24" t="s">
        <v>2471</v>
      </c>
      <c r="D41" s="24"/>
      <c r="E41" s="24" t="s">
        <v>443</v>
      </c>
      <c r="F41" s="24" t="s">
        <v>877</v>
      </c>
      <c r="G41" s="24" t="s">
        <v>745</v>
      </c>
    </row>
    <row r="42" spans="1:7" ht="15" customHeight="1" x14ac:dyDescent="0.3">
      <c r="A42">
        <v>41</v>
      </c>
      <c r="B42" s="24"/>
      <c r="C42" s="24" t="s">
        <v>2470</v>
      </c>
      <c r="D42" s="24"/>
      <c r="E42" s="24" t="s">
        <v>444</v>
      </c>
      <c r="F42" s="24" t="s">
        <v>877</v>
      </c>
      <c r="G42" s="24" t="s">
        <v>745</v>
      </c>
    </row>
    <row r="43" spans="1:7" ht="15" customHeight="1" x14ac:dyDescent="0.3">
      <c r="A43">
        <v>42</v>
      </c>
      <c r="B43" s="24" t="s">
        <v>1022</v>
      </c>
      <c r="C43" s="24" t="s">
        <v>854</v>
      </c>
      <c r="D43" s="24" t="s">
        <v>870</v>
      </c>
      <c r="E43" s="24" t="s">
        <v>443</v>
      </c>
      <c r="F43" s="24" t="s">
        <v>876</v>
      </c>
      <c r="G43" s="24" t="s">
        <v>797</v>
      </c>
    </row>
    <row r="44" spans="1:7" ht="15" customHeight="1" x14ac:dyDescent="0.3">
      <c r="A44">
        <v>43</v>
      </c>
      <c r="B44" s="24" t="s">
        <v>1023</v>
      </c>
      <c r="C44" s="24" t="s">
        <v>855</v>
      </c>
      <c r="D44" s="24" t="s">
        <v>871</v>
      </c>
      <c r="E44" s="24" t="s">
        <v>443</v>
      </c>
      <c r="F44" s="24" t="s">
        <v>876</v>
      </c>
      <c r="G44" s="24" t="s">
        <v>797</v>
      </c>
    </row>
    <row r="45" spans="1:7" ht="15" customHeight="1" x14ac:dyDescent="0.3">
      <c r="A45">
        <v>44</v>
      </c>
      <c r="B45" s="24" t="s">
        <v>1026</v>
      </c>
      <c r="C45" s="24" t="s">
        <v>857</v>
      </c>
      <c r="D45" s="24" t="s">
        <v>881</v>
      </c>
      <c r="E45" s="24" t="s">
        <v>443</v>
      </c>
      <c r="F45" s="24" t="s">
        <v>876</v>
      </c>
      <c r="G45" s="24" t="s">
        <v>797</v>
      </c>
    </row>
    <row r="46" spans="1:7" ht="15" customHeight="1" x14ac:dyDescent="0.3">
      <c r="A46">
        <v>45</v>
      </c>
      <c r="B46" s="24" t="s">
        <v>815</v>
      </c>
      <c r="C46" s="24" t="s">
        <v>856</v>
      </c>
      <c r="D46" s="24" t="s">
        <v>878</v>
      </c>
      <c r="E46" s="24" t="s">
        <v>443</v>
      </c>
      <c r="F46" s="24" t="s">
        <v>876</v>
      </c>
      <c r="G46" s="24" t="s">
        <v>797</v>
      </c>
    </row>
    <row r="47" spans="1:7" ht="15" customHeight="1" x14ac:dyDescent="0.3">
      <c r="A47">
        <v>46</v>
      </c>
      <c r="B47" s="24" t="s">
        <v>985</v>
      </c>
      <c r="C47" s="24" t="s">
        <v>851</v>
      </c>
      <c r="D47" s="24" t="s">
        <v>869</v>
      </c>
      <c r="E47" s="24" t="s">
        <v>444</v>
      </c>
      <c r="F47" s="24" t="s">
        <v>877</v>
      </c>
      <c r="G47" s="24" t="s">
        <v>797</v>
      </c>
    </row>
    <row r="48" spans="1:7" ht="15" customHeight="1" x14ac:dyDescent="0.3">
      <c r="A48">
        <v>47</v>
      </c>
      <c r="B48" s="24" t="s">
        <v>983</v>
      </c>
      <c r="C48" s="24" t="s">
        <v>850</v>
      </c>
      <c r="D48" s="24" t="s">
        <v>872</v>
      </c>
      <c r="E48" s="24" t="s">
        <v>444</v>
      </c>
      <c r="F48" s="24" t="s">
        <v>877</v>
      </c>
      <c r="G48" s="24" t="s">
        <v>797</v>
      </c>
    </row>
    <row r="49" spans="1:7" ht="15" customHeight="1" x14ac:dyDescent="0.3">
      <c r="A49">
        <v>48</v>
      </c>
      <c r="B49" s="24"/>
      <c r="C49" s="24" t="s">
        <v>2473</v>
      </c>
      <c r="D49" s="24"/>
      <c r="E49" s="24" t="s">
        <v>443</v>
      </c>
      <c r="F49" s="24" t="s">
        <v>877</v>
      </c>
      <c r="G49" s="24" t="s">
        <v>797</v>
      </c>
    </row>
    <row r="50" spans="1:7" ht="15" customHeight="1" x14ac:dyDescent="0.3">
      <c r="A50">
        <v>49</v>
      </c>
      <c r="B50" s="24"/>
      <c r="C50" s="24" t="s">
        <v>2472</v>
      </c>
      <c r="D50" s="24"/>
      <c r="E50" s="24" t="s">
        <v>444</v>
      </c>
      <c r="F50" s="24" t="s">
        <v>877</v>
      </c>
      <c r="G50" s="24" t="s">
        <v>797</v>
      </c>
    </row>
    <row r="51" spans="1:7" ht="15" customHeight="1" x14ac:dyDescent="0.3">
      <c r="A51">
        <v>50</v>
      </c>
      <c r="B51" s="24" t="s">
        <v>1021</v>
      </c>
      <c r="C51" s="24" t="s">
        <v>846</v>
      </c>
      <c r="D51" s="24" t="s">
        <v>873</v>
      </c>
      <c r="E51" s="24" t="s">
        <v>497</v>
      </c>
      <c r="F51" s="24" t="s">
        <v>875</v>
      </c>
      <c r="G51" s="24" t="s">
        <v>785</v>
      </c>
    </row>
    <row r="52" spans="1:7" ht="15" customHeight="1" x14ac:dyDescent="0.3">
      <c r="A52">
        <v>51</v>
      </c>
      <c r="B52" s="24" t="s">
        <v>1022</v>
      </c>
      <c r="C52" s="24" t="s">
        <v>854</v>
      </c>
      <c r="D52" s="24" t="s">
        <v>870</v>
      </c>
      <c r="E52" s="24" t="s">
        <v>443</v>
      </c>
      <c r="F52" s="24" t="s">
        <v>876</v>
      </c>
      <c r="G52" s="24" t="s">
        <v>785</v>
      </c>
    </row>
    <row r="53" spans="1:7" ht="15" customHeight="1" x14ac:dyDescent="0.3">
      <c r="A53">
        <v>52</v>
      </c>
      <c r="B53" s="24" t="s">
        <v>1023</v>
      </c>
      <c r="C53" s="24" t="s">
        <v>855</v>
      </c>
      <c r="D53" s="24" t="s">
        <v>871</v>
      </c>
      <c r="E53" s="24" t="s">
        <v>443</v>
      </c>
      <c r="F53" s="24" t="s">
        <v>876</v>
      </c>
      <c r="G53" s="24" t="s">
        <v>785</v>
      </c>
    </row>
    <row r="54" spans="1:7" ht="15" customHeight="1" x14ac:dyDescent="0.3">
      <c r="A54">
        <v>53</v>
      </c>
      <c r="B54" s="24" t="s">
        <v>1026</v>
      </c>
      <c r="C54" s="24" t="s">
        <v>857</v>
      </c>
      <c r="D54" s="24" t="s">
        <v>881</v>
      </c>
      <c r="E54" s="24" t="s">
        <v>443</v>
      </c>
      <c r="F54" s="24" t="s">
        <v>876</v>
      </c>
      <c r="G54" s="24" t="s">
        <v>785</v>
      </c>
    </row>
    <row r="55" spans="1:7" ht="15" customHeight="1" x14ac:dyDescent="0.3">
      <c r="A55">
        <v>54</v>
      </c>
      <c r="B55" s="24" t="s">
        <v>815</v>
      </c>
      <c r="C55" s="24" t="s">
        <v>856</v>
      </c>
      <c r="D55" s="24" t="s">
        <v>878</v>
      </c>
      <c r="E55" s="24" t="s">
        <v>443</v>
      </c>
      <c r="F55" s="24" t="s">
        <v>876</v>
      </c>
      <c r="G55" s="24" t="s">
        <v>785</v>
      </c>
    </row>
    <row r="56" spans="1:7" ht="15" customHeight="1" x14ac:dyDescent="0.3">
      <c r="A56">
        <v>55</v>
      </c>
      <c r="B56" s="24" t="s">
        <v>985</v>
      </c>
      <c r="C56" s="24" t="s">
        <v>851</v>
      </c>
      <c r="D56" s="24" t="s">
        <v>869</v>
      </c>
      <c r="E56" s="24" t="s">
        <v>444</v>
      </c>
      <c r="F56" s="24" t="s">
        <v>877</v>
      </c>
      <c r="G56" s="24" t="s">
        <v>785</v>
      </c>
    </row>
    <row r="57" spans="1:7" ht="15" customHeight="1" x14ac:dyDescent="0.3">
      <c r="A57">
        <v>56</v>
      </c>
      <c r="B57" s="24" t="s">
        <v>983</v>
      </c>
      <c r="C57" s="24" t="s">
        <v>850</v>
      </c>
      <c r="D57" s="24" t="s">
        <v>872</v>
      </c>
      <c r="E57" s="24" t="s">
        <v>444</v>
      </c>
      <c r="F57" s="24" t="s">
        <v>877</v>
      </c>
      <c r="G57" s="24" t="s">
        <v>785</v>
      </c>
    </row>
    <row r="58" spans="1:7" ht="15" customHeight="1" x14ac:dyDescent="0.3">
      <c r="A58">
        <v>57</v>
      </c>
      <c r="B58" s="24" t="s">
        <v>1022</v>
      </c>
      <c r="C58" s="24" t="s">
        <v>854</v>
      </c>
      <c r="D58" s="24" t="s">
        <v>870</v>
      </c>
      <c r="E58" s="24" t="s">
        <v>443</v>
      </c>
      <c r="F58" s="24" t="s">
        <v>876</v>
      </c>
      <c r="G58" s="24" t="s">
        <v>747</v>
      </c>
    </row>
    <row r="59" spans="1:7" ht="15" customHeight="1" x14ac:dyDescent="0.3">
      <c r="A59">
        <v>58</v>
      </c>
      <c r="B59" s="24" t="s">
        <v>1023</v>
      </c>
      <c r="C59" s="24" t="s">
        <v>855</v>
      </c>
      <c r="D59" s="24" t="s">
        <v>871</v>
      </c>
      <c r="E59" s="24" t="s">
        <v>443</v>
      </c>
      <c r="F59" s="24" t="s">
        <v>876</v>
      </c>
      <c r="G59" s="24" t="s">
        <v>747</v>
      </c>
    </row>
    <row r="60" spans="1:7" ht="15" customHeight="1" x14ac:dyDescent="0.3">
      <c r="A60">
        <v>59</v>
      </c>
      <c r="B60" s="24" t="s">
        <v>1026</v>
      </c>
      <c r="C60" s="24" t="s">
        <v>857</v>
      </c>
      <c r="D60" s="24" t="s">
        <v>881</v>
      </c>
      <c r="E60" s="24" t="s">
        <v>443</v>
      </c>
      <c r="F60" s="24" t="s">
        <v>876</v>
      </c>
      <c r="G60" s="24" t="s">
        <v>747</v>
      </c>
    </row>
    <row r="61" spans="1:7" ht="15" customHeight="1" x14ac:dyDescent="0.3">
      <c r="A61">
        <v>60</v>
      </c>
      <c r="B61" s="24" t="s">
        <v>815</v>
      </c>
      <c r="C61" s="24" t="s">
        <v>856</v>
      </c>
      <c r="D61" s="24" t="s">
        <v>878</v>
      </c>
      <c r="E61" s="24" t="s">
        <v>443</v>
      </c>
      <c r="F61" s="24" t="s">
        <v>876</v>
      </c>
      <c r="G61" s="24" t="s">
        <v>747</v>
      </c>
    </row>
    <row r="62" spans="1:7" ht="15" customHeight="1" x14ac:dyDescent="0.3">
      <c r="A62">
        <v>61</v>
      </c>
      <c r="B62" s="24" t="s">
        <v>985</v>
      </c>
      <c r="C62" s="24" t="s">
        <v>851</v>
      </c>
      <c r="D62" s="24" t="s">
        <v>869</v>
      </c>
      <c r="E62" s="24" t="s">
        <v>444</v>
      </c>
      <c r="F62" s="24" t="s">
        <v>877</v>
      </c>
      <c r="G62" s="24" t="s">
        <v>747</v>
      </c>
    </row>
    <row r="63" spans="1:7" ht="15" customHeight="1" x14ac:dyDescent="0.3">
      <c r="A63">
        <v>62</v>
      </c>
      <c r="B63" s="24" t="s">
        <v>983</v>
      </c>
      <c r="C63" s="24" t="s">
        <v>850</v>
      </c>
      <c r="D63" s="24" t="s">
        <v>872</v>
      </c>
      <c r="E63" s="24" t="s">
        <v>444</v>
      </c>
      <c r="F63" s="24" t="s">
        <v>877</v>
      </c>
      <c r="G63" s="24" t="s">
        <v>747</v>
      </c>
    </row>
    <row r="64" spans="1:7" ht="15" customHeight="1" x14ac:dyDescent="0.3">
      <c r="A64">
        <v>63</v>
      </c>
      <c r="B64" s="24" t="s">
        <v>1022</v>
      </c>
      <c r="C64" s="24" t="s">
        <v>854</v>
      </c>
      <c r="D64" s="24" t="s">
        <v>870</v>
      </c>
      <c r="E64" s="24" t="s">
        <v>443</v>
      </c>
      <c r="F64" s="24" t="s">
        <v>876</v>
      </c>
      <c r="G64" s="24" t="s">
        <v>788</v>
      </c>
    </row>
    <row r="65" spans="1:7" ht="15" customHeight="1" x14ac:dyDescent="0.3">
      <c r="A65">
        <v>64</v>
      </c>
      <c r="B65" s="24" t="s">
        <v>1023</v>
      </c>
      <c r="C65" s="24" t="s">
        <v>855</v>
      </c>
      <c r="D65" s="24" t="s">
        <v>871</v>
      </c>
      <c r="E65" s="24" t="s">
        <v>443</v>
      </c>
      <c r="F65" s="24" t="s">
        <v>876</v>
      </c>
      <c r="G65" s="24" t="s">
        <v>788</v>
      </c>
    </row>
    <row r="66" spans="1:7" s="11" customFormat="1" ht="15" customHeight="1" x14ac:dyDescent="0.3">
      <c r="A66">
        <v>65</v>
      </c>
      <c r="B66" s="24" t="s">
        <v>1026</v>
      </c>
      <c r="C66" s="24" t="s">
        <v>857</v>
      </c>
      <c r="D66" s="24" t="s">
        <v>881</v>
      </c>
      <c r="E66" s="24" t="s">
        <v>443</v>
      </c>
      <c r="F66" s="24" t="s">
        <v>876</v>
      </c>
      <c r="G66" s="24" t="s">
        <v>788</v>
      </c>
    </row>
    <row r="67" spans="1:7" ht="15" customHeight="1" x14ac:dyDescent="0.3">
      <c r="A67">
        <v>66</v>
      </c>
      <c r="B67" s="24" t="s">
        <v>815</v>
      </c>
      <c r="C67" s="24" t="s">
        <v>856</v>
      </c>
      <c r="D67" s="24" t="s">
        <v>878</v>
      </c>
      <c r="E67" s="24" t="s">
        <v>443</v>
      </c>
      <c r="F67" s="24" t="s">
        <v>876</v>
      </c>
      <c r="G67" s="24" t="s">
        <v>788</v>
      </c>
    </row>
    <row r="68" spans="1:7" ht="15" customHeight="1" x14ac:dyDescent="0.3">
      <c r="A68">
        <v>67</v>
      </c>
      <c r="B68" s="24" t="s">
        <v>985</v>
      </c>
      <c r="C68" s="24" t="s">
        <v>851</v>
      </c>
      <c r="D68" s="24" t="s">
        <v>869</v>
      </c>
      <c r="E68" s="24" t="s">
        <v>444</v>
      </c>
      <c r="F68" s="24" t="s">
        <v>877</v>
      </c>
      <c r="G68" s="24" t="s">
        <v>788</v>
      </c>
    </row>
    <row r="69" spans="1:7" ht="15" customHeight="1" x14ac:dyDescent="0.3">
      <c r="A69">
        <v>68</v>
      </c>
      <c r="B69" s="24" t="s">
        <v>983</v>
      </c>
      <c r="C69" s="24" t="s">
        <v>850</v>
      </c>
      <c r="D69" s="24" t="s">
        <v>872</v>
      </c>
      <c r="E69" s="24" t="s">
        <v>444</v>
      </c>
      <c r="F69" s="24" t="s">
        <v>877</v>
      </c>
      <c r="G69" s="24" t="s">
        <v>788</v>
      </c>
    </row>
    <row r="70" spans="1:7" ht="15" customHeight="1" x14ac:dyDescent="0.3">
      <c r="A70">
        <v>69</v>
      </c>
      <c r="B70" s="24" t="s">
        <v>1027</v>
      </c>
      <c r="C70" s="24" t="s">
        <v>858</v>
      </c>
      <c r="D70" s="24" t="s">
        <v>880</v>
      </c>
      <c r="E70" s="24" t="s">
        <v>444</v>
      </c>
      <c r="F70" s="24" t="s">
        <v>877</v>
      </c>
      <c r="G70" s="24" t="s">
        <v>788</v>
      </c>
    </row>
    <row r="71" spans="1:7" ht="15" customHeight="1" x14ac:dyDescent="0.3">
      <c r="A71">
        <v>70</v>
      </c>
      <c r="B71" s="24" t="s">
        <v>1022</v>
      </c>
      <c r="C71" s="24" t="s">
        <v>854</v>
      </c>
      <c r="D71" s="24" t="s">
        <v>870</v>
      </c>
      <c r="E71" s="24" t="s">
        <v>443</v>
      </c>
      <c r="F71" s="24" t="s">
        <v>876</v>
      </c>
      <c r="G71" s="24" t="s">
        <v>796</v>
      </c>
    </row>
    <row r="72" spans="1:7" ht="15" customHeight="1" x14ac:dyDescent="0.3">
      <c r="A72">
        <v>71</v>
      </c>
      <c r="B72" s="24" t="s">
        <v>1023</v>
      </c>
      <c r="C72" s="24" t="s">
        <v>855</v>
      </c>
      <c r="D72" s="24" t="s">
        <v>871</v>
      </c>
      <c r="E72" s="24" t="s">
        <v>443</v>
      </c>
      <c r="F72" s="24" t="s">
        <v>876</v>
      </c>
      <c r="G72" s="24" t="s">
        <v>796</v>
      </c>
    </row>
    <row r="73" spans="1:7" ht="15" customHeight="1" x14ac:dyDescent="0.3">
      <c r="A73">
        <v>72</v>
      </c>
      <c r="B73" s="24" t="s">
        <v>1026</v>
      </c>
      <c r="C73" s="24" t="s">
        <v>857</v>
      </c>
      <c r="D73" s="24" t="s">
        <v>881</v>
      </c>
      <c r="E73" s="24" t="s">
        <v>443</v>
      </c>
      <c r="F73" s="24" t="s">
        <v>876</v>
      </c>
      <c r="G73" s="24" t="s">
        <v>796</v>
      </c>
    </row>
    <row r="74" spans="1:7" ht="15" customHeight="1" x14ac:dyDescent="0.3">
      <c r="A74">
        <v>73</v>
      </c>
      <c r="B74" s="24" t="s">
        <v>815</v>
      </c>
      <c r="C74" s="24" t="s">
        <v>856</v>
      </c>
      <c r="D74" s="24" t="s">
        <v>878</v>
      </c>
      <c r="E74" s="24" t="s">
        <v>443</v>
      </c>
      <c r="F74" s="24" t="s">
        <v>876</v>
      </c>
      <c r="G74" s="24" t="s">
        <v>796</v>
      </c>
    </row>
    <row r="75" spans="1:7" ht="15" customHeight="1" x14ac:dyDescent="0.3">
      <c r="A75">
        <v>74</v>
      </c>
      <c r="B75" s="24" t="s">
        <v>985</v>
      </c>
      <c r="C75" s="24" t="s">
        <v>851</v>
      </c>
      <c r="D75" s="24" t="s">
        <v>869</v>
      </c>
      <c r="E75" s="24" t="s">
        <v>444</v>
      </c>
      <c r="F75" s="24" t="s">
        <v>877</v>
      </c>
      <c r="G75" s="24" t="s">
        <v>796</v>
      </c>
    </row>
    <row r="76" spans="1:7" ht="15" customHeight="1" x14ac:dyDescent="0.3">
      <c r="A76">
        <v>75</v>
      </c>
      <c r="B76" s="24" t="s">
        <v>983</v>
      </c>
      <c r="C76" s="24" t="s">
        <v>850</v>
      </c>
      <c r="D76" s="24" t="s">
        <v>872</v>
      </c>
      <c r="E76" s="24" t="s">
        <v>444</v>
      </c>
      <c r="F76" s="24" t="s">
        <v>877</v>
      </c>
      <c r="G76" s="24" t="s">
        <v>796</v>
      </c>
    </row>
    <row r="77" spans="1:7" ht="15" customHeight="1" x14ac:dyDescent="0.3">
      <c r="A77">
        <v>76</v>
      </c>
      <c r="B77" s="24"/>
      <c r="C77" s="24" t="s">
        <v>2473</v>
      </c>
      <c r="D77" s="24"/>
      <c r="E77" s="24" t="s">
        <v>443</v>
      </c>
      <c r="F77" s="24" t="s">
        <v>877</v>
      </c>
      <c r="G77" s="24" t="s">
        <v>796</v>
      </c>
    </row>
    <row r="78" spans="1:7" ht="15" customHeight="1" x14ac:dyDescent="0.3">
      <c r="A78">
        <v>77</v>
      </c>
      <c r="B78" s="24"/>
      <c r="C78" s="24" t="s">
        <v>2472</v>
      </c>
      <c r="D78" s="24"/>
      <c r="E78" s="24" t="s">
        <v>444</v>
      </c>
      <c r="F78" s="24" t="s">
        <v>877</v>
      </c>
      <c r="G78" s="24" t="s">
        <v>796</v>
      </c>
    </row>
    <row r="79" spans="1:7" ht="15" customHeight="1" x14ac:dyDescent="0.3">
      <c r="A79">
        <v>78</v>
      </c>
      <c r="B79" s="24" t="s">
        <v>1021</v>
      </c>
      <c r="C79" s="24" t="s">
        <v>846</v>
      </c>
      <c r="D79" s="24" t="s">
        <v>873</v>
      </c>
      <c r="E79" s="24" t="s">
        <v>497</v>
      </c>
      <c r="F79" s="24" t="s">
        <v>875</v>
      </c>
      <c r="G79" s="24" t="s">
        <v>789</v>
      </c>
    </row>
    <row r="80" spans="1:7" ht="15" customHeight="1" x14ac:dyDescent="0.3">
      <c r="A80">
        <v>79</v>
      </c>
      <c r="B80" s="24" t="s">
        <v>1022</v>
      </c>
      <c r="C80" s="24" t="s">
        <v>854</v>
      </c>
      <c r="D80" s="24" t="s">
        <v>870</v>
      </c>
      <c r="E80" s="24" t="s">
        <v>443</v>
      </c>
      <c r="F80" s="24" t="s">
        <v>876</v>
      </c>
      <c r="G80" s="24" t="s">
        <v>789</v>
      </c>
    </row>
    <row r="81" spans="1:7" ht="15" customHeight="1" x14ac:dyDescent="0.3">
      <c r="A81">
        <v>80</v>
      </c>
      <c r="B81" s="24" t="s">
        <v>1023</v>
      </c>
      <c r="C81" s="24" t="s">
        <v>855</v>
      </c>
      <c r="D81" s="24" t="s">
        <v>871</v>
      </c>
      <c r="E81" s="24" t="s">
        <v>443</v>
      </c>
      <c r="F81" s="24" t="s">
        <v>876</v>
      </c>
      <c r="G81" s="24" t="s">
        <v>789</v>
      </c>
    </row>
    <row r="82" spans="1:7" ht="15" customHeight="1" x14ac:dyDescent="0.3">
      <c r="A82">
        <v>81</v>
      </c>
      <c r="B82" s="24" t="s">
        <v>1026</v>
      </c>
      <c r="C82" s="24" t="s">
        <v>857</v>
      </c>
      <c r="D82" s="24" t="s">
        <v>881</v>
      </c>
      <c r="E82" s="24" t="s">
        <v>443</v>
      </c>
      <c r="F82" s="24" t="s">
        <v>876</v>
      </c>
      <c r="G82" s="24" t="s">
        <v>789</v>
      </c>
    </row>
    <row r="83" spans="1:7" ht="15" customHeight="1" x14ac:dyDescent="0.3">
      <c r="A83">
        <v>82</v>
      </c>
      <c r="B83" s="24" t="s">
        <v>815</v>
      </c>
      <c r="C83" s="24" t="s">
        <v>856</v>
      </c>
      <c r="D83" s="24" t="s">
        <v>878</v>
      </c>
      <c r="E83" s="24" t="s">
        <v>443</v>
      </c>
      <c r="F83" s="24" t="s">
        <v>876</v>
      </c>
      <c r="G83" s="24" t="s">
        <v>789</v>
      </c>
    </row>
    <row r="84" spans="1:7" ht="15" customHeight="1" x14ac:dyDescent="0.3">
      <c r="A84">
        <v>83</v>
      </c>
      <c r="B84" s="24" t="s">
        <v>985</v>
      </c>
      <c r="C84" s="24" t="s">
        <v>851</v>
      </c>
      <c r="D84" s="24" t="s">
        <v>869</v>
      </c>
      <c r="E84" s="24" t="s">
        <v>444</v>
      </c>
      <c r="F84" s="24" t="s">
        <v>877</v>
      </c>
      <c r="G84" s="24" t="s">
        <v>789</v>
      </c>
    </row>
    <row r="85" spans="1:7" ht="15" customHeight="1" x14ac:dyDescent="0.3">
      <c r="A85">
        <v>84</v>
      </c>
      <c r="B85" s="24" t="s">
        <v>983</v>
      </c>
      <c r="C85" s="24" t="s">
        <v>850</v>
      </c>
      <c r="D85" s="24" t="s">
        <v>872</v>
      </c>
      <c r="E85" s="24" t="s">
        <v>444</v>
      </c>
      <c r="F85" s="24" t="s">
        <v>877</v>
      </c>
      <c r="G85" s="24" t="s">
        <v>789</v>
      </c>
    </row>
    <row r="86" spans="1:7" ht="15" customHeight="1" x14ac:dyDescent="0.3">
      <c r="A86">
        <v>85</v>
      </c>
      <c r="B86" s="24" t="s">
        <v>1027</v>
      </c>
      <c r="C86" s="24" t="s">
        <v>858</v>
      </c>
      <c r="D86" s="24" t="s">
        <v>880</v>
      </c>
      <c r="E86" s="24" t="s">
        <v>444</v>
      </c>
      <c r="F86" s="24" t="s">
        <v>877</v>
      </c>
      <c r="G86" s="24" t="s">
        <v>789</v>
      </c>
    </row>
    <row r="87" spans="1:7" ht="15" customHeight="1" x14ac:dyDescent="0.3">
      <c r="A87">
        <v>86</v>
      </c>
      <c r="B87" s="24" t="s">
        <v>987</v>
      </c>
      <c r="C87" s="24" t="s">
        <v>865</v>
      </c>
      <c r="D87" s="24" t="s">
        <v>885</v>
      </c>
      <c r="E87" s="24" t="s">
        <v>443</v>
      </c>
      <c r="F87" s="24" t="s">
        <v>876</v>
      </c>
      <c r="G87" s="24" t="s">
        <v>783</v>
      </c>
    </row>
    <row r="88" spans="1:7" ht="15" customHeight="1" x14ac:dyDescent="0.3">
      <c r="A88">
        <v>87</v>
      </c>
      <c r="B88" s="24" t="s">
        <v>1028</v>
      </c>
      <c r="C88" s="23" t="s">
        <v>860</v>
      </c>
      <c r="D88" s="24" t="s">
        <v>885</v>
      </c>
      <c r="E88" s="24" t="s">
        <v>443</v>
      </c>
      <c r="F88" s="24" t="s">
        <v>876</v>
      </c>
      <c r="G88" s="24" t="s">
        <v>783</v>
      </c>
    </row>
    <row r="89" spans="1:7" ht="15" customHeight="1" x14ac:dyDescent="0.3">
      <c r="A89">
        <v>88</v>
      </c>
      <c r="B89" s="24" t="s">
        <v>985</v>
      </c>
      <c r="C89" s="24" t="s">
        <v>866</v>
      </c>
      <c r="D89" s="24" t="s">
        <v>869</v>
      </c>
      <c r="E89" s="24" t="s">
        <v>444</v>
      </c>
      <c r="F89" s="24" t="s">
        <v>877</v>
      </c>
      <c r="G89" s="24" t="s">
        <v>783</v>
      </c>
    </row>
    <row r="90" spans="1:7" ht="15" customHeight="1" x14ac:dyDescent="0.3">
      <c r="A90">
        <v>89</v>
      </c>
      <c r="B90" s="24" t="s">
        <v>1022</v>
      </c>
      <c r="C90" s="24" t="s">
        <v>863</v>
      </c>
      <c r="D90" s="24" t="s">
        <v>886</v>
      </c>
      <c r="E90" s="24" t="s">
        <v>443</v>
      </c>
      <c r="F90" s="24" t="s">
        <v>876</v>
      </c>
      <c r="G90" s="24" t="s">
        <v>784</v>
      </c>
    </row>
    <row r="91" spans="1:7" ht="15" customHeight="1" x14ac:dyDescent="0.3">
      <c r="A91">
        <v>90</v>
      </c>
      <c r="B91" s="24" t="s">
        <v>1023</v>
      </c>
      <c r="C91" s="24" t="s">
        <v>864</v>
      </c>
      <c r="D91" s="24" t="s">
        <v>887</v>
      </c>
      <c r="E91" s="24" t="s">
        <v>443</v>
      </c>
      <c r="F91" s="24" t="s">
        <v>876</v>
      </c>
      <c r="G91" s="24" t="s">
        <v>784</v>
      </c>
    </row>
    <row r="92" spans="1:7" ht="15" customHeight="1" x14ac:dyDescent="0.3">
      <c r="A92">
        <v>91</v>
      </c>
      <c r="B92" s="24" t="s">
        <v>815</v>
      </c>
      <c r="C92" s="73" t="s">
        <v>859</v>
      </c>
      <c r="D92" s="73" t="s">
        <v>884</v>
      </c>
      <c r="E92" s="24" t="s">
        <v>443</v>
      </c>
      <c r="F92" s="24" t="s">
        <v>876</v>
      </c>
      <c r="G92" s="24" t="s">
        <v>784</v>
      </c>
    </row>
    <row r="93" spans="1:7" ht="15" customHeight="1" x14ac:dyDescent="0.3">
      <c r="A93">
        <v>92</v>
      </c>
      <c r="B93" s="24" t="s">
        <v>985</v>
      </c>
      <c r="C93" s="24" t="s">
        <v>861</v>
      </c>
      <c r="D93" s="24" t="s">
        <v>869</v>
      </c>
      <c r="E93" s="24" t="s">
        <v>444</v>
      </c>
      <c r="F93" s="24" t="s">
        <v>877</v>
      </c>
      <c r="G93" s="24" t="s">
        <v>784</v>
      </c>
    </row>
    <row r="94" spans="1:7" ht="15" customHeight="1" x14ac:dyDescent="0.3">
      <c r="A94">
        <v>93</v>
      </c>
      <c r="B94" s="24" t="s">
        <v>983</v>
      </c>
      <c r="C94" s="24" t="s">
        <v>862</v>
      </c>
      <c r="D94" s="24" t="s">
        <v>882</v>
      </c>
      <c r="E94" s="24" t="s">
        <v>444</v>
      </c>
      <c r="F94" s="24" t="s">
        <v>877</v>
      </c>
      <c r="G94" s="24" t="s">
        <v>784</v>
      </c>
    </row>
    <row r="95" spans="1:7" ht="15" customHeight="1" x14ac:dyDescent="0.3">
      <c r="A95">
        <v>94</v>
      </c>
      <c r="B95" s="24"/>
      <c r="C95" s="36" t="s">
        <v>814</v>
      </c>
      <c r="D95" s="36"/>
      <c r="E95" s="36" t="s">
        <v>443</v>
      </c>
      <c r="F95" s="36" t="s">
        <v>876</v>
      </c>
      <c r="G95" s="36" t="s">
        <v>867</v>
      </c>
    </row>
    <row r="96" spans="1:7" ht="15" customHeight="1" x14ac:dyDescent="0.3">
      <c r="A96">
        <v>95</v>
      </c>
      <c r="B96" s="24"/>
      <c r="C96" s="24"/>
      <c r="D96" s="24"/>
      <c r="E96" s="24"/>
      <c r="F96" s="24"/>
      <c r="G96" s="24"/>
    </row>
    <row r="97" spans="1:7" ht="15" customHeight="1" x14ac:dyDescent="0.3">
      <c r="A97">
        <v>96</v>
      </c>
      <c r="B97" s="24"/>
      <c r="C97" s="24"/>
      <c r="D97" s="24"/>
      <c r="E97" s="24"/>
      <c r="F97" s="24"/>
      <c r="G97" s="24"/>
    </row>
    <row r="98" spans="1:7" ht="15" customHeight="1" x14ac:dyDescent="0.3">
      <c r="A98">
        <v>97</v>
      </c>
      <c r="B98" s="24"/>
      <c r="C98" s="24"/>
      <c r="D98" s="24"/>
      <c r="E98" s="24"/>
      <c r="F98" s="24"/>
      <c r="G98" s="24"/>
    </row>
    <row r="99" spans="1:7" ht="15" customHeight="1" x14ac:dyDescent="0.3">
      <c r="A99">
        <v>98</v>
      </c>
      <c r="B99" s="24"/>
      <c r="C99" s="24"/>
      <c r="D99" s="24"/>
      <c r="E99" s="24"/>
      <c r="F99" s="24"/>
      <c r="G99" s="24"/>
    </row>
    <row r="100" spans="1:7" ht="15" customHeight="1" x14ac:dyDescent="0.3">
      <c r="A100">
        <v>99</v>
      </c>
      <c r="B100" s="24"/>
      <c r="C100" s="24"/>
      <c r="D100" s="24"/>
      <c r="E100" s="24"/>
      <c r="F100" s="24"/>
      <c r="G100" s="24"/>
    </row>
    <row r="101" spans="1:7" ht="15" customHeight="1" x14ac:dyDescent="0.3">
      <c r="A101">
        <v>100</v>
      </c>
      <c r="B101" s="24"/>
      <c r="C101" s="24"/>
      <c r="D101" s="24"/>
      <c r="E101" s="24"/>
      <c r="F101" s="24"/>
      <c r="G101" s="24"/>
    </row>
    <row r="102" spans="1:7" s="29" customFormat="1" ht="15" customHeight="1" x14ac:dyDescent="0.3">
      <c r="A102">
        <v>101</v>
      </c>
      <c r="B102" s="33"/>
      <c r="C102" s="24"/>
      <c r="D102" s="24"/>
      <c r="E102" s="24"/>
      <c r="F102" s="24"/>
      <c r="G102" s="33"/>
    </row>
    <row r="103" spans="1:7" ht="15" customHeight="1" x14ac:dyDescent="0.3">
      <c r="A103">
        <v>102</v>
      </c>
      <c r="B103" s="24"/>
      <c r="C103" s="24"/>
      <c r="D103" s="24"/>
      <c r="E103" s="24"/>
      <c r="F103" s="24"/>
      <c r="G103" s="24"/>
    </row>
    <row r="104" spans="1:7" ht="15" customHeight="1" x14ac:dyDescent="0.3"/>
    <row r="112" spans="1:7" s="28" customFormat="1" x14ac:dyDescent="0.3">
      <c r="A112"/>
      <c r="B112"/>
      <c r="C112"/>
      <c r="D112"/>
      <c r="E112"/>
      <c r="F112"/>
      <c r="G112"/>
    </row>
  </sheetData>
  <phoneticPr fontId="14" type="noConversion"/>
  <pageMargins left="0.7" right="0.7" top="0.75" bottom="0.75" header="0.3" footer="0.3"/>
  <pageSetup paperSize="9" orientation="portrait" r:id="rId1"/>
  <customProperties>
    <customPr name="EpmWorksheetKeyString_GUID" r:id="rId2"/>
  </customProperties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7" tint="-0.249977111117893"/>
  </sheetPr>
  <dimension ref="A1:E1501"/>
  <sheetViews>
    <sheetView zoomScale="90" zoomScaleNormal="90" workbookViewId="0">
      <selection activeCell="C6" sqref="C6"/>
    </sheetView>
  </sheetViews>
  <sheetFormatPr defaultRowHeight="14.4" x14ac:dyDescent="0.3"/>
  <cols>
    <col min="1" max="1" width="7.21875" customWidth="1"/>
    <col min="2" max="2" width="25.77734375" customWidth="1"/>
    <col min="3" max="3" width="54.21875" customWidth="1"/>
    <col min="4" max="4" width="28.5546875" customWidth="1"/>
    <col min="5" max="5" width="11.44140625" customWidth="1"/>
  </cols>
  <sheetData>
    <row r="1" spans="1:5" x14ac:dyDescent="0.3">
      <c r="A1" s="26" t="s">
        <v>507</v>
      </c>
      <c r="B1" s="26" t="s">
        <v>440</v>
      </c>
      <c r="C1" s="26" t="s">
        <v>2387</v>
      </c>
      <c r="D1" s="26" t="s">
        <v>2388</v>
      </c>
      <c r="E1" s="26" t="s">
        <v>441</v>
      </c>
    </row>
    <row r="2" spans="1:5" ht="15" customHeight="1" x14ac:dyDescent="0.3">
      <c r="A2">
        <v>1</v>
      </c>
      <c r="B2" s="24" t="s">
        <v>1061</v>
      </c>
      <c r="C2" s="24" t="s">
        <v>524</v>
      </c>
      <c r="D2" s="24" t="s">
        <v>854</v>
      </c>
      <c r="E2" s="24" t="s">
        <v>443</v>
      </c>
    </row>
    <row r="3" spans="1:5" ht="15" customHeight="1" x14ac:dyDescent="0.3">
      <c r="A3">
        <v>2</v>
      </c>
      <c r="B3" s="24" t="s">
        <v>1062</v>
      </c>
      <c r="C3" s="24" t="s">
        <v>524</v>
      </c>
      <c r="D3" s="24" t="s">
        <v>855</v>
      </c>
      <c r="E3" s="24" t="s">
        <v>443</v>
      </c>
    </row>
    <row r="4" spans="1:5" ht="15" customHeight="1" x14ac:dyDescent="0.3">
      <c r="A4">
        <v>3</v>
      </c>
      <c r="B4" s="24" t="s">
        <v>1063</v>
      </c>
      <c r="C4" s="24" t="s">
        <v>524</v>
      </c>
      <c r="D4" s="24" t="s">
        <v>857</v>
      </c>
      <c r="E4" s="24" t="s">
        <v>443</v>
      </c>
    </row>
    <row r="5" spans="1:5" ht="15" customHeight="1" x14ac:dyDescent="0.3">
      <c r="A5">
        <v>4</v>
      </c>
      <c r="B5" s="24" t="s">
        <v>1064</v>
      </c>
      <c r="C5" s="24" t="s">
        <v>524</v>
      </c>
      <c r="D5" s="24" t="s">
        <v>856</v>
      </c>
      <c r="E5" s="24" t="s">
        <v>443</v>
      </c>
    </row>
    <row r="6" spans="1:5" ht="15" customHeight="1" x14ac:dyDescent="0.3">
      <c r="A6">
        <v>5</v>
      </c>
      <c r="B6" s="24" t="s">
        <v>1065</v>
      </c>
      <c r="C6" s="24" t="s">
        <v>524</v>
      </c>
      <c r="D6" s="24" t="s">
        <v>851</v>
      </c>
      <c r="E6" s="24" t="s">
        <v>444</v>
      </c>
    </row>
    <row r="7" spans="1:5" x14ac:dyDescent="0.3">
      <c r="A7">
        <v>6</v>
      </c>
      <c r="B7" s="24" t="s">
        <v>1066</v>
      </c>
      <c r="C7" s="24" t="s">
        <v>524</v>
      </c>
      <c r="D7" s="24" t="s">
        <v>850</v>
      </c>
      <c r="E7" s="24" t="s">
        <v>444</v>
      </c>
    </row>
    <row r="8" spans="1:5" x14ac:dyDescent="0.3">
      <c r="A8">
        <v>7</v>
      </c>
      <c r="B8" s="24" t="s">
        <v>1067</v>
      </c>
      <c r="C8" s="24" t="s">
        <v>525</v>
      </c>
      <c r="D8" s="24" t="s">
        <v>854</v>
      </c>
      <c r="E8" s="24" t="s">
        <v>443</v>
      </c>
    </row>
    <row r="9" spans="1:5" x14ac:dyDescent="0.3">
      <c r="A9">
        <v>8</v>
      </c>
      <c r="B9" s="24" t="s">
        <v>1068</v>
      </c>
      <c r="C9" s="24" t="s">
        <v>525</v>
      </c>
      <c r="D9" s="24" t="s">
        <v>855</v>
      </c>
      <c r="E9" s="24" t="s">
        <v>443</v>
      </c>
    </row>
    <row r="10" spans="1:5" x14ac:dyDescent="0.3">
      <c r="A10">
        <v>9</v>
      </c>
      <c r="B10" s="24" t="s">
        <v>1069</v>
      </c>
      <c r="C10" s="24" t="s">
        <v>525</v>
      </c>
      <c r="D10" s="24" t="s">
        <v>857</v>
      </c>
      <c r="E10" s="24" t="s">
        <v>443</v>
      </c>
    </row>
    <row r="11" spans="1:5" x14ac:dyDescent="0.3">
      <c r="A11">
        <v>10</v>
      </c>
      <c r="B11" s="24" t="s">
        <v>1070</v>
      </c>
      <c r="C11" s="24" t="s">
        <v>525</v>
      </c>
      <c r="D11" s="24" t="s">
        <v>856</v>
      </c>
      <c r="E11" s="24" t="s">
        <v>443</v>
      </c>
    </row>
    <row r="12" spans="1:5" x14ac:dyDescent="0.3">
      <c r="A12">
        <v>11</v>
      </c>
      <c r="B12" s="24" t="s">
        <v>1071</v>
      </c>
      <c r="C12" s="24" t="s">
        <v>525</v>
      </c>
      <c r="D12" s="24" t="s">
        <v>851</v>
      </c>
      <c r="E12" s="24" t="s">
        <v>444</v>
      </c>
    </row>
    <row r="13" spans="1:5" x14ac:dyDescent="0.3">
      <c r="A13">
        <v>12</v>
      </c>
      <c r="B13" s="24" t="s">
        <v>1072</v>
      </c>
      <c r="C13" s="24" t="s">
        <v>525</v>
      </c>
      <c r="D13" s="24" t="s">
        <v>850</v>
      </c>
      <c r="E13" s="24" t="s">
        <v>444</v>
      </c>
    </row>
    <row r="14" spans="1:5" x14ac:dyDescent="0.3">
      <c r="A14">
        <v>13</v>
      </c>
      <c r="B14" s="24" t="s">
        <v>1073</v>
      </c>
      <c r="C14" s="24" t="s">
        <v>526</v>
      </c>
      <c r="D14" s="24" t="s">
        <v>854</v>
      </c>
      <c r="E14" s="24" t="s">
        <v>443</v>
      </c>
    </row>
    <row r="15" spans="1:5" x14ac:dyDescent="0.3">
      <c r="A15">
        <v>14</v>
      </c>
      <c r="B15" s="24" t="s">
        <v>1074</v>
      </c>
      <c r="C15" s="24" t="s">
        <v>526</v>
      </c>
      <c r="D15" s="24" t="s">
        <v>855</v>
      </c>
      <c r="E15" s="24" t="s">
        <v>443</v>
      </c>
    </row>
    <row r="16" spans="1:5" x14ac:dyDescent="0.3">
      <c r="A16">
        <v>15</v>
      </c>
      <c r="B16" s="24" t="s">
        <v>1075</v>
      </c>
      <c r="C16" s="24" t="s">
        <v>526</v>
      </c>
      <c r="D16" s="24" t="s">
        <v>857</v>
      </c>
      <c r="E16" s="24" t="s">
        <v>443</v>
      </c>
    </row>
    <row r="17" spans="1:5" x14ac:dyDescent="0.3">
      <c r="A17">
        <v>16</v>
      </c>
      <c r="B17" s="24" t="s">
        <v>1076</v>
      </c>
      <c r="C17" s="24" t="s">
        <v>526</v>
      </c>
      <c r="D17" s="24" t="s">
        <v>856</v>
      </c>
      <c r="E17" s="24" t="s">
        <v>443</v>
      </c>
    </row>
    <row r="18" spans="1:5" x14ac:dyDescent="0.3">
      <c r="A18">
        <v>17</v>
      </c>
      <c r="B18" s="24" t="s">
        <v>1077</v>
      </c>
      <c r="C18" s="24" t="s">
        <v>526</v>
      </c>
      <c r="D18" s="24" t="s">
        <v>851</v>
      </c>
      <c r="E18" s="24" t="s">
        <v>444</v>
      </c>
    </row>
    <row r="19" spans="1:5" x14ac:dyDescent="0.3">
      <c r="A19">
        <v>18</v>
      </c>
      <c r="B19" s="24" t="s">
        <v>1078</v>
      </c>
      <c r="C19" s="24" t="s">
        <v>526</v>
      </c>
      <c r="D19" s="24" t="s">
        <v>850</v>
      </c>
      <c r="E19" s="24" t="s">
        <v>444</v>
      </c>
    </row>
    <row r="20" spans="1:5" x14ac:dyDescent="0.3">
      <c r="A20">
        <v>19</v>
      </c>
      <c r="B20" s="24" t="s">
        <v>1079</v>
      </c>
      <c r="C20" s="24" t="s">
        <v>527</v>
      </c>
      <c r="D20" s="24" t="s">
        <v>854</v>
      </c>
      <c r="E20" s="24" t="s">
        <v>443</v>
      </c>
    </row>
    <row r="21" spans="1:5" x14ac:dyDescent="0.3">
      <c r="A21">
        <v>20</v>
      </c>
      <c r="B21" s="24" t="s">
        <v>1080</v>
      </c>
      <c r="C21" s="24" t="s">
        <v>527</v>
      </c>
      <c r="D21" s="24" t="s">
        <v>855</v>
      </c>
      <c r="E21" s="24" t="s">
        <v>443</v>
      </c>
    </row>
    <row r="22" spans="1:5" x14ac:dyDescent="0.3">
      <c r="A22">
        <v>21</v>
      </c>
      <c r="B22" s="24" t="s">
        <v>1081</v>
      </c>
      <c r="C22" s="24" t="s">
        <v>527</v>
      </c>
      <c r="D22" s="24" t="s">
        <v>857</v>
      </c>
      <c r="E22" s="24" t="s">
        <v>443</v>
      </c>
    </row>
    <row r="23" spans="1:5" x14ac:dyDescent="0.3">
      <c r="A23">
        <v>22</v>
      </c>
      <c r="B23" s="24" t="s">
        <v>1082</v>
      </c>
      <c r="C23" s="24" t="s">
        <v>527</v>
      </c>
      <c r="D23" s="24" t="s">
        <v>856</v>
      </c>
      <c r="E23" s="24" t="s">
        <v>443</v>
      </c>
    </row>
    <row r="24" spans="1:5" x14ac:dyDescent="0.3">
      <c r="A24">
        <v>23</v>
      </c>
      <c r="B24" s="24" t="s">
        <v>1083</v>
      </c>
      <c r="C24" s="24" t="s">
        <v>527</v>
      </c>
      <c r="D24" s="24" t="s">
        <v>851</v>
      </c>
      <c r="E24" s="24" t="s">
        <v>444</v>
      </c>
    </row>
    <row r="25" spans="1:5" x14ac:dyDescent="0.3">
      <c r="A25">
        <v>24</v>
      </c>
      <c r="B25" s="24" t="s">
        <v>1084</v>
      </c>
      <c r="C25" s="24" t="s">
        <v>527</v>
      </c>
      <c r="D25" s="24" t="s">
        <v>850</v>
      </c>
      <c r="E25" s="24" t="s">
        <v>444</v>
      </c>
    </row>
    <row r="26" spans="1:5" x14ac:dyDescent="0.3">
      <c r="A26">
        <v>25</v>
      </c>
      <c r="B26" s="24" t="s">
        <v>1085</v>
      </c>
      <c r="C26" s="24" t="s">
        <v>528</v>
      </c>
      <c r="D26" s="24" t="s">
        <v>854</v>
      </c>
      <c r="E26" s="24" t="s">
        <v>443</v>
      </c>
    </row>
    <row r="27" spans="1:5" x14ac:dyDescent="0.3">
      <c r="A27">
        <v>26</v>
      </c>
      <c r="B27" s="24" t="s">
        <v>1086</v>
      </c>
      <c r="C27" s="24" t="s">
        <v>528</v>
      </c>
      <c r="D27" s="24" t="s">
        <v>855</v>
      </c>
      <c r="E27" s="24" t="s">
        <v>443</v>
      </c>
    </row>
    <row r="28" spans="1:5" x14ac:dyDescent="0.3">
      <c r="A28">
        <v>27</v>
      </c>
      <c r="B28" s="24" t="s">
        <v>1087</v>
      </c>
      <c r="C28" s="24" t="s">
        <v>528</v>
      </c>
      <c r="D28" s="24" t="s">
        <v>857</v>
      </c>
      <c r="E28" s="24" t="s">
        <v>443</v>
      </c>
    </row>
    <row r="29" spans="1:5" x14ac:dyDescent="0.3">
      <c r="A29">
        <v>28</v>
      </c>
      <c r="B29" s="24" t="s">
        <v>1088</v>
      </c>
      <c r="C29" s="24" t="s">
        <v>528</v>
      </c>
      <c r="D29" s="24" t="s">
        <v>856</v>
      </c>
      <c r="E29" s="24" t="s">
        <v>443</v>
      </c>
    </row>
    <row r="30" spans="1:5" x14ac:dyDescent="0.3">
      <c r="A30">
        <v>29</v>
      </c>
      <c r="B30" s="24" t="s">
        <v>1089</v>
      </c>
      <c r="C30" s="24" t="s">
        <v>528</v>
      </c>
      <c r="D30" s="24" t="s">
        <v>851</v>
      </c>
      <c r="E30" s="24" t="s">
        <v>444</v>
      </c>
    </row>
    <row r="31" spans="1:5" x14ac:dyDescent="0.3">
      <c r="A31">
        <v>30</v>
      </c>
      <c r="B31" s="24" t="s">
        <v>1090</v>
      </c>
      <c r="C31" s="24" t="s">
        <v>528</v>
      </c>
      <c r="D31" s="24" t="s">
        <v>850</v>
      </c>
      <c r="E31" s="24" t="s">
        <v>444</v>
      </c>
    </row>
    <row r="32" spans="1:5" x14ac:dyDescent="0.3">
      <c r="A32">
        <v>31</v>
      </c>
      <c r="B32" s="24" t="s">
        <v>1091</v>
      </c>
      <c r="C32" s="24" t="s">
        <v>529</v>
      </c>
      <c r="D32" s="24" t="s">
        <v>854</v>
      </c>
      <c r="E32" s="24" t="s">
        <v>443</v>
      </c>
    </row>
    <row r="33" spans="1:5" x14ac:dyDescent="0.3">
      <c r="A33">
        <v>32</v>
      </c>
      <c r="B33" s="24" t="s">
        <v>1092</v>
      </c>
      <c r="C33" s="24" t="s">
        <v>529</v>
      </c>
      <c r="D33" s="24" t="s">
        <v>855</v>
      </c>
      <c r="E33" s="24" t="s">
        <v>443</v>
      </c>
    </row>
    <row r="34" spans="1:5" x14ac:dyDescent="0.3">
      <c r="A34">
        <v>33</v>
      </c>
      <c r="B34" s="24" t="s">
        <v>1093</v>
      </c>
      <c r="C34" s="24" t="s">
        <v>529</v>
      </c>
      <c r="D34" s="24" t="s">
        <v>857</v>
      </c>
      <c r="E34" s="24" t="s">
        <v>443</v>
      </c>
    </row>
    <row r="35" spans="1:5" x14ac:dyDescent="0.3">
      <c r="A35">
        <v>34</v>
      </c>
      <c r="B35" s="24" t="s">
        <v>1094</v>
      </c>
      <c r="C35" s="24" t="s">
        <v>529</v>
      </c>
      <c r="D35" s="24" t="s">
        <v>856</v>
      </c>
      <c r="E35" s="24" t="s">
        <v>443</v>
      </c>
    </row>
    <row r="36" spans="1:5" x14ac:dyDescent="0.3">
      <c r="A36">
        <v>35</v>
      </c>
      <c r="B36" s="24" t="s">
        <v>1095</v>
      </c>
      <c r="C36" s="24" t="s">
        <v>529</v>
      </c>
      <c r="D36" s="24" t="s">
        <v>851</v>
      </c>
      <c r="E36" s="24" t="s">
        <v>444</v>
      </c>
    </row>
    <row r="37" spans="1:5" x14ac:dyDescent="0.3">
      <c r="A37">
        <v>36</v>
      </c>
      <c r="B37" s="24" t="s">
        <v>1096</v>
      </c>
      <c r="C37" s="24" t="s">
        <v>529</v>
      </c>
      <c r="D37" s="24" t="s">
        <v>850</v>
      </c>
      <c r="E37" s="24" t="s">
        <v>444</v>
      </c>
    </row>
    <row r="38" spans="1:5" x14ac:dyDescent="0.3">
      <c r="A38">
        <v>37</v>
      </c>
      <c r="B38" s="24" t="s">
        <v>1097</v>
      </c>
      <c r="C38" s="24" t="s">
        <v>530</v>
      </c>
      <c r="D38" s="24" t="s">
        <v>854</v>
      </c>
      <c r="E38" s="24" t="s">
        <v>443</v>
      </c>
    </row>
    <row r="39" spans="1:5" ht="15" customHeight="1" x14ac:dyDescent="0.3">
      <c r="A39">
        <v>38</v>
      </c>
      <c r="B39" s="24" t="s">
        <v>1098</v>
      </c>
      <c r="C39" s="24" t="s">
        <v>530</v>
      </c>
      <c r="D39" s="24" t="s">
        <v>855</v>
      </c>
      <c r="E39" s="24" t="s">
        <v>443</v>
      </c>
    </row>
    <row r="40" spans="1:5" ht="15" customHeight="1" x14ac:dyDescent="0.3">
      <c r="A40">
        <v>39</v>
      </c>
      <c r="B40" s="24" t="s">
        <v>1099</v>
      </c>
      <c r="C40" s="24" t="s">
        <v>530</v>
      </c>
      <c r="D40" s="24" t="s">
        <v>857</v>
      </c>
      <c r="E40" s="24" t="s">
        <v>443</v>
      </c>
    </row>
    <row r="41" spans="1:5" ht="15" customHeight="1" x14ac:dyDescent="0.3">
      <c r="A41">
        <v>40</v>
      </c>
      <c r="B41" s="24" t="s">
        <v>1100</v>
      </c>
      <c r="C41" s="24" t="s">
        <v>530</v>
      </c>
      <c r="D41" s="24" t="s">
        <v>856</v>
      </c>
      <c r="E41" s="24" t="s">
        <v>443</v>
      </c>
    </row>
    <row r="42" spans="1:5" ht="15" customHeight="1" x14ac:dyDescent="0.3">
      <c r="A42">
        <v>41</v>
      </c>
      <c r="B42" s="24" t="s">
        <v>1101</v>
      </c>
      <c r="C42" s="24" t="s">
        <v>530</v>
      </c>
      <c r="D42" s="24" t="s">
        <v>851</v>
      </c>
      <c r="E42" s="24" t="s">
        <v>444</v>
      </c>
    </row>
    <row r="43" spans="1:5" ht="15" customHeight="1" x14ac:dyDescent="0.3">
      <c r="A43">
        <v>42</v>
      </c>
      <c r="B43" s="24" t="s">
        <v>1102</v>
      </c>
      <c r="C43" s="24" t="s">
        <v>530</v>
      </c>
      <c r="D43" s="24" t="s">
        <v>850</v>
      </c>
      <c r="E43" s="24" t="s">
        <v>444</v>
      </c>
    </row>
    <row r="44" spans="1:5" ht="15" customHeight="1" x14ac:dyDescent="0.3">
      <c r="A44">
        <v>43</v>
      </c>
      <c r="B44" s="24" t="s">
        <v>1103</v>
      </c>
      <c r="C44" s="24" t="s">
        <v>531</v>
      </c>
      <c r="D44" s="24" t="s">
        <v>854</v>
      </c>
      <c r="E44" s="24" t="s">
        <v>443</v>
      </c>
    </row>
    <row r="45" spans="1:5" ht="15" customHeight="1" x14ac:dyDescent="0.3">
      <c r="A45">
        <v>44</v>
      </c>
      <c r="B45" s="24" t="s">
        <v>1104</v>
      </c>
      <c r="C45" s="24" t="s">
        <v>531</v>
      </c>
      <c r="D45" s="24" t="s">
        <v>855</v>
      </c>
      <c r="E45" s="24" t="s">
        <v>443</v>
      </c>
    </row>
    <row r="46" spans="1:5" ht="15" customHeight="1" x14ac:dyDescent="0.3">
      <c r="A46">
        <v>45</v>
      </c>
      <c r="B46" s="24" t="s">
        <v>1105</v>
      </c>
      <c r="C46" s="24" t="s">
        <v>531</v>
      </c>
      <c r="D46" s="24" t="s">
        <v>857</v>
      </c>
      <c r="E46" s="24" t="s">
        <v>443</v>
      </c>
    </row>
    <row r="47" spans="1:5" ht="15" customHeight="1" x14ac:dyDescent="0.3">
      <c r="A47">
        <v>46</v>
      </c>
      <c r="B47" s="24" t="s">
        <v>1106</v>
      </c>
      <c r="C47" s="24" t="s">
        <v>531</v>
      </c>
      <c r="D47" s="24" t="s">
        <v>856</v>
      </c>
      <c r="E47" s="24" t="s">
        <v>443</v>
      </c>
    </row>
    <row r="48" spans="1:5" ht="15" customHeight="1" x14ac:dyDescent="0.3">
      <c r="A48">
        <v>47</v>
      </c>
      <c r="B48" s="24" t="s">
        <v>1107</v>
      </c>
      <c r="C48" s="24" t="s">
        <v>531</v>
      </c>
      <c r="D48" s="24" t="s">
        <v>851</v>
      </c>
      <c r="E48" s="24" t="s">
        <v>444</v>
      </c>
    </row>
    <row r="49" spans="1:5" ht="15" customHeight="1" x14ac:dyDescent="0.3">
      <c r="A49">
        <v>48</v>
      </c>
      <c r="B49" s="24" t="s">
        <v>1108</v>
      </c>
      <c r="C49" s="24" t="s">
        <v>531</v>
      </c>
      <c r="D49" s="24" t="s">
        <v>850</v>
      </c>
      <c r="E49" s="24" t="s">
        <v>444</v>
      </c>
    </row>
    <row r="50" spans="1:5" ht="15" customHeight="1" x14ac:dyDescent="0.3">
      <c r="A50">
        <v>49</v>
      </c>
      <c r="B50" s="24" t="s">
        <v>1109</v>
      </c>
      <c r="C50" s="24" t="s">
        <v>532</v>
      </c>
      <c r="D50" s="24" t="s">
        <v>854</v>
      </c>
      <c r="E50" s="24" t="s">
        <v>443</v>
      </c>
    </row>
    <row r="51" spans="1:5" ht="15" customHeight="1" x14ac:dyDescent="0.3">
      <c r="A51">
        <v>50</v>
      </c>
      <c r="B51" s="24" t="s">
        <v>1110</v>
      </c>
      <c r="C51" s="24" t="s">
        <v>532</v>
      </c>
      <c r="D51" s="24" t="s">
        <v>855</v>
      </c>
      <c r="E51" s="24" t="s">
        <v>443</v>
      </c>
    </row>
    <row r="52" spans="1:5" ht="15" customHeight="1" x14ac:dyDescent="0.3">
      <c r="A52">
        <v>51</v>
      </c>
      <c r="B52" s="24" t="s">
        <v>1111</v>
      </c>
      <c r="C52" s="24" t="s">
        <v>532</v>
      </c>
      <c r="D52" s="24" t="s">
        <v>857</v>
      </c>
      <c r="E52" s="24" t="s">
        <v>443</v>
      </c>
    </row>
    <row r="53" spans="1:5" ht="15" customHeight="1" x14ac:dyDescent="0.3">
      <c r="A53">
        <v>52</v>
      </c>
      <c r="B53" s="24" t="s">
        <v>1112</v>
      </c>
      <c r="C53" s="24" t="s">
        <v>532</v>
      </c>
      <c r="D53" s="24" t="s">
        <v>856</v>
      </c>
      <c r="E53" s="24" t="s">
        <v>443</v>
      </c>
    </row>
    <row r="54" spans="1:5" ht="15" customHeight="1" x14ac:dyDescent="0.3">
      <c r="A54">
        <v>53</v>
      </c>
      <c r="B54" s="24" t="s">
        <v>1113</v>
      </c>
      <c r="C54" s="24" t="s">
        <v>532</v>
      </c>
      <c r="D54" s="24" t="s">
        <v>851</v>
      </c>
      <c r="E54" s="24" t="s">
        <v>444</v>
      </c>
    </row>
    <row r="55" spans="1:5" ht="15" customHeight="1" x14ac:dyDescent="0.3">
      <c r="A55">
        <v>54</v>
      </c>
      <c r="B55" s="24" t="s">
        <v>1114</v>
      </c>
      <c r="C55" s="24" t="s">
        <v>532</v>
      </c>
      <c r="D55" s="24" t="s">
        <v>850</v>
      </c>
      <c r="E55" s="24" t="s">
        <v>444</v>
      </c>
    </row>
    <row r="56" spans="1:5" ht="15" customHeight="1" x14ac:dyDescent="0.3">
      <c r="A56">
        <v>55</v>
      </c>
      <c r="B56" s="24" t="s">
        <v>1115</v>
      </c>
      <c r="C56" s="24" t="s">
        <v>533</v>
      </c>
      <c r="D56" s="24" t="s">
        <v>854</v>
      </c>
      <c r="E56" s="24" t="s">
        <v>443</v>
      </c>
    </row>
    <row r="57" spans="1:5" ht="15" customHeight="1" x14ac:dyDescent="0.3">
      <c r="A57">
        <v>56</v>
      </c>
      <c r="B57" s="24" t="s">
        <v>1116</v>
      </c>
      <c r="C57" s="24" t="s">
        <v>533</v>
      </c>
      <c r="D57" s="24" t="s">
        <v>855</v>
      </c>
      <c r="E57" s="24" t="s">
        <v>443</v>
      </c>
    </row>
    <row r="58" spans="1:5" ht="15" customHeight="1" x14ac:dyDescent="0.3">
      <c r="A58">
        <v>57</v>
      </c>
      <c r="B58" s="24" t="s">
        <v>1117</v>
      </c>
      <c r="C58" s="24" t="s">
        <v>533</v>
      </c>
      <c r="D58" s="24" t="s">
        <v>857</v>
      </c>
      <c r="E58" s="24" t="s">
        <v>443</v>
      </c>
    </row>
    <row r="59" spans="1:5" ht="15" customHeight="1" x14ac:dyDescent="0.3">
      <c r="A59">
        <v>58</v>
      </c>
      <c r="B59" s="24" t="s">
        <v>1118</v>
      </c>
      <c r="C59" s="24" t="s">
        <v>533</v>
      </c>
      <c r="D59" s="24" t="s">
        <v>856</v>
      </c>
      <c r="E59" s="24" t="s">
        <v>443</v>
      </c>
    </row>
    <row r="60" spans="1:5" ht="15" customHeight="1" x14ac:dyDescent="0.3">
      <c r="A60">
        <v>59</v>
      </c>
      <c r="B60" s="24" t="s">
        <v>1119</v>
      </c>
      <c r="C60" s="24" t="s">
        <v>533</v>
      </c>
      <c r="D60" s="24" t="s">
        <v>851</v>
      </c>
      <c r="E60" s="24" t="s">
        <v>444</v>
      </c>
    </row>
    <row r="61" spans="1:5" ht="15" customHeight="1" x14ac:dyDescent="0.3">
      <c r="A61">
        <v>60</v>
      </c>
      <c r="B61" s="24" t="s">
        <v>1120</v>
      </c>
      <c r="C61" s="24" t="s">
        <v>533</v>
      </c>
      <c r="D61" s="24" t="s">
        <v>850</v>
      </c>
      <c r="E61" s="24" t="s">
        <v>444</v>
      </c>
    </row>
    <row r="62" spans="1:5" s="11" customFormat="1" ht="15" customHeight="1" x14ac:dyDescent="0.3">
      <c r="A62">
        <v>61</v>
      </c>
      <c r="B62" s="24" t="s">
        <v>1121</v>
      </c>
      <c r="C62" s="24" t="s">
        <v>534</v>
      </c>
      <c r="D62" s="24" t="s">
        <v>854</v>
      </c>
      <c r="E62" s="24" t="s">
        <v>443</v>
      </c>
    </row>
    <row r="63" spans="1:5" ht="15" customHeight="1" x14ac:dyDescent="0.3">
      <c r="A63">
        <v>62</v>
      </c>
      <c r="B63" s="24" t="s">
        <v>1122</v>
      </c>
      <c r="C63" s="24" t="s">
        <v>534</v>
      </c>
      <c r="D63" s="24" t="s">
        <v>855</v>
      </c>
      <c r="E63" s="24" t="s">
        <v>443</v>
      </c>
    </row>
    <row r="64" spans="1:5" ht="15" customHeight="1" x14ac:dyDescent="0.3">
      <c r="A64">
        <v>63</v>
      </c>
      <c r="B64" s="24" t="s">
        <v>1123</v>
      </c>
      <c r="C64" s="24" t="s">
        <v>534</v>
      </c>
      <c r="D64" s="24" t="s">
        <v>857</v>
      </c>
      <c r="E64" s="24" t="s">
        <v>443</v>
      </c>
    </row>
    <row r="65" spans="1:5" ht="15" customHeight="1" x14ac:dyDescent="0.3">
      <c r="A65">
        <v>64</v>
      </c>
      <c r="B65" s="24" t="s">
        <v>1124</v>
      </c>
      <c r="C65" s="24" t="s">
        <v>534</v>
      </c>
      <c r="D65" s="24" t="s">
        <v>856</v>
      </c>
      <c r="E65" s="24" t="s">
        <v>443</v>
      </c>
    </row>
    <row r="66" spans="1:5" ht="15" customHeight="1" x14ac:dyDescent="0.3">
      <c r="A66">
        <v>65</v>
      </c>
      <c r="B66" s="24" t="s">
        <v>1125</v>
      </c>
      <c r="C66" s="24" t="s">
        <v>534</v>
      </c>
      <c r="D66" s="24" t="s">
        <v>851</v>
      </c>
      <c r="E66" s="24" t="s">
        <v>444</v>
      </c>
    </row>
    <row r="67" spans="1:5" ht="15" customHeight="1" x14ac:dyDescent="0.3">
      <c r="A67">
        <v>66</v>
      </c>
      <c r="B67" s="24" t="s">
        <v>1126</v>
      </c>
      <c r="C67" s="24" t="s">
        <v>534</v>
      </c>
      <c r="D67" s="24" t="s">
        <v>850</v>
      </c>
      <c r="E67" s="24" t="s">
        <v>444</v>
      </c>
    </row>
    <row r="68" spans="1:5" ht="15" customHeight="1" x14ac:dyDescent="0.3">
      <c r="A68">
        <v>67</v>
      </c>
      <c r="B68" s="24" t="s">
        <v>1127</v>
      </c>
      <c r="C68" s="24" t="s">
        <v>535</v>
      </c>
      <c r="D68" s="24" t="s">
        <v>854</v>
      </c>
      <c r="E68" s="24" t="s">
        <v>443</v>
      </c>
    </row>
    <row r="69" spans="1:5" ht="15" customHeight="1" x14ac:dyDescent="0.3">
      <c r="A69">
        <v>68</v>
      </c>
      <c r="B69" s="24" t="s">
        <v>1128</v>
      </c>
      <c r="C69" s="24" t="s">
        <v>535</v>
      </c>
      <c r="D69" s="24" t="s">
        <v>855</v>
      </c>
      <c r="E69" s="24" t="s">
        <v>443</v>
      </c>
    </row>
    <row r="70" spans="1:5" ht="15" customHeight="1" x14ac:dyDescent="0.3">
      <c r="A70">
        <v>69</v>
      </c>
      <c r="B70" s="24" t="s">
        <v>1129</v>
      </c>
      <c r="C70" s="24" t="s">
        <v>535</v>
      </c>
      <c r="D70" s="24" t="s">
        <v>857</v>
      </c>
      <c r="E70" s="24" t="s">
        <v>443</v>
      </c>
    </row>
    <row r="71" spans="1:5" ht="15" customHeight="1" x14ac:dyDescent="0.3">
      <c r="A71">
        <v>70</v>
      </c>
      <c r="B71" s="24" t="s">
        <v>1130</v>
      </c>
      <c r="C71" s="24" t="s">
        <v>535</v>
      </c>
      <c r="D71" s="24" t="s">
        <v>856</v>
      </c>
      <c r="E71" s="24" t="s">
        <v>443</v>
      </c>
    </row>
    <row r="72" spans="1:5" ht="15" customHeight="1" x14ac:dyDescent="0.3">
      <c r="A72">
        <v>71</v>
      </c>
      <c r="B72" s="24" t="s">
        <v>1131</v>
      </c>
      <c r="C72" s="24" t="s">
        <v>535</v>
      </c>
      <c r="D72" s="24" t="s">
        <v>851</v>
      </c>
      <c r="E72" s="24" t="s">
        <v>444</v>
      </c>
    </row>
    <row r="73" spans="1:5" ht="15" customHeight="1" x14ac:dyDescent="0.3">
      <c r="A73">
        <v>72</v>
      </c>
      <c r="B73" s="24" t="s">
        <v>1132</v>
      </c>
      <c r="C73" s="24" t="s">
        <v>535</v>
      </c>
      <c r="D73" s="24" t="s">
        <v>850</v>
      </c>
      <c r="E73" s="24" t="s">
        <v>444</v>
      </c>
    </row>
    <row r="74" spans="1:5" ht="15" customHeight="1" x14ac:dyDescent="0.3">
      <c r="A74">
        <v>73</v>
      </c>
      <c r="B74" s="24" t="s">
        <v>1133</v>
      </c>
      <c r="C74" s="24" t="s">
        <v>536</v>
      </c>
      <c r="D74" s="24" t="s">
        <v>854</v>
      </c>
      <c r="E74" s="24" t="s">
        <v>443</v>
      </c>
    </row>
    <row r="75" spans="1:5" ht="15" customHeight="1" x14ac:dyDescent="0.3">
      <c r="A75">
        <v>74</v>
      </c>
      <c r="B75" s="24" t="s">
        <v>1134</v>
      </c>
      <c r="C75" s="24" t="s">
        <v>536</v>
      </c>
      <c r="D75" s="24" t="s">
        <v>855</v>
      </c>
      <c r="E75" s="24" t="s">
        <v>443</v>
      </c>
    </row>
    <row r="76" spans="1:5" ht="15" customHeight="1" x14ac:dyDescent="0.3">
      <c r="A76">
        <v>75</v>
      </c>
      <c r="B76" s="24" t="s">
        <v>1135</v>
      </c>
      <c r="C76" s="24" t="s">
        <v>536</v>
      </c>
      <c r="D76" s="24" t="s">
        <v>857</v>
      </c>
      <c r="E76" s="24" t="s">
        <v>443</v>
      </c>
    </row>
    <row r="77" spans="1:5" ht="15" customHeight="1" x14ac:dyDescent="0.3">
      <c r="A77">
        <v>76</v>
      </c>
      <c r="B77" s="24" t="s">
        <v>1136</v>
      </c>
      <c r="C77" s="24" t="s">
        <v>536</v>
      </c>
      <c r="D77" s="24" t="s">
        <v>856</v>
      </c>
      <c r="E77" s="24" t="s">
        <v>443</v>
      </c>
    </row>
    <row r="78" spans="1:5" ht="15" customHeight="1" x14ac:dyDescent="0.3">
      <c r="A78">
        <v>77</v>
      </c>
      <c r="B78" s="24" t="s">
        <v>1137</v>
      </c>
      <c r="C78" s="24" t="s">
        <v>536</v>
      </c>
      <c r="D78" s="24" t="s">
        <v>851</v>
      </c>
      <c r="E78" s="24" t="s">
        <v>444</v>
      </c>
    </row>
    <row r="79" spans="1:5" ht="15" customHeight="1" x14ac:dyDescent="0.3">
      <c r="A79">
        <v>78</v>
      </c>
      <c r="B79" s="24" t="s">
        <v>1138</v>
      </c>
      <c r="C79" s="24" t="s">
        <v>536</v>
      </c>
      <c r="D79" s="24" t="s">
        <v>850</v>
      </c>
      <c r="E79" s="24" t="s">
        <v>444</v>
      </c>
    </row>
    <row r="80" spans="1:5" ht="15" customHeight="1" x14ac:dyDescent="0.3">
      <c r="A80">
        <v>79</v>
      </c>
      <c r="B80" s="24" t="s">
        <v>1139</v>
      </c>
      <c r="C80" s="24" t="s">
        <v>537</v>
      </c>
      <c r="D80" s="24" t="s">
        <v>854</v>
      </c>
      <c r="E80" s="24" t="s">
        <v>443</v>
      </c>
    </row>
    <row r="81" spans="1:5" ht="15" customHeight="1" x14ac:dyDescent="0.3">
      <c r="A81">
        <v>80</v>
      </c>
      <c r="B81" s="24" t="s">
        <v>1140</v>
      </c>
      <c r="C81" s="24" t="s">
        <v>537</v>
      </c>
      <c r="D81" s="24" t="s">
        <v>855</v>
      </c>
      <c r="E81" s="24" t="s">
        <v>443</v>
      </c>
    </row>
    <row r="82" spans="1:5" ht="15" customHeight="1" x14ac:dyDescent="0.3">
      <c r="A82">
        <v>81</v>
      </c>
      <c r="B82" s="24" t="s">
        <v>1141</v>
      </c>
      <c r="C82" s="24" t="s">
        <v>537</v>
      </c>
      <c r="D82" s="24" t="s">
        <v>857</v>
      </c>
      <c r="E82" s="24" t="s">
        <v>443</v>
      </c>
    </row>
    <row r="83" spans="1:5" ht="15" customHeight="1" x14ac:dyDescent="0.3">
      <c r="A83">
        <v>82</v>
      </c>
      <c r="B83" s="24" t="s">
        <v>1142</v>
      </c>
      <c r="C83" s="24" t="s">
        <v>537</v>
      </c>
      <c r="D83" s="24" t="s">
        <v>856</v>
      </c>
      <c r="E83" s="24" t="s">
        <v>443</v>
      </c>
    </row>
    <row r="84" spans="1:5" ht="15" customHeight="1" x14ac:dyDescent="0.3">
      <c r="A84">
        <v>83</v>
      </c>
      <c r="B84" s="24" t="s">
        <v>1143</v>
      </c>
      <c r="C84" s="24" t="s">
        <v>537</v>
      </c>
      <c r="D84" s="24" t="s">
        <v>851</v>
      </c>
      <c r="E84" s="24" t="s">
        <v>444</v>
      </c>
    </row>
    <row r="85" spans="1:5" ht="15" customHeight="1" x14ac:dyDescent="0.3">
      <c r="A85">
        <v>84</v>
      </c>
      <c r="B85" s="24" t="s">
        <v>1144</v>
      </c>
      <c r="C85" s="24" t="s">
        <v>537</v>
      </c>
      <c r="D85" s="24" t="s">
        <v>850</v>
      </c>
      <c r="E85" s="24" t="s">
        <v>444</v>
      </c>
    </row>
    <row r="86" spans="1:5" ht="15" customHeight="1" x14ac:dyDescent="0.3">
      <c r="A86">
        <v>85</v>
      </c>
      <c r="B86" s="24" t="s">
        <v>1145</v>
      </c>
      <c r="C86" s="24" t="s">
        <v>538</v>
      </c>
      <c r="D86" s="24" t="s">
        <v>854</v>
      </c>
      <c r="E86" s="24" t="s">
        <v>443</v>
      </c>
    </row>
    <row r="87" spans="1:5" ht="15" customHeight="1" x14ac:dyDescent="0.3">
      <c r="A87">
        <v>86</v>
      </c>
      <c r="B87" s="24" t="s">
        <v>1146</v>
      </c>
      <c r="C87" s="24" t="s">
        <v>538</v>
      </c>
      <c r="D87" s="24" t="s">
        <v>855</v>
      </c>
      <c r="E87" s="24" t="s">
        <v>443</v>
      </c>
    </row>
    <row r="88" spans="1:5" ht="15" customHeight="1" x14ac:dyDescent="0.3">
      <c r="A88">
        <v>87</v>
      </c>
      <c r="B88" s="24" t="s">
        <v>1147</v>
      </c>
      <c r="C88" s="24" t="s">
        <v>538</v>
      </c>
      <c r="D88" s="24" t="s">
        <v>857</v>
      </c>
      <c r="E88" s="24" t="s">
        <v>443</v>
      </c>
    </row>
    <row r="89" spans="1:5" ht="15" customHeight="1" x14ac:dyDescent="0.3">
      <c r="A89">
        <v>88</v>
      </c>
      <c r="B89" s="24" t="s">
        <v>1148</v>
      </c>
      <c r="C89" s="24" t="s">
        <v>538</v>
      </c>
      <c r="D89" s="24" t="s">
        <v>856</v>
      </c>
      <c r="E89" s="24" t="s">
        <v>443</v>
      </c>
    </row>
    <row r="90" spans="1:5" ht="15" customHeight="1" x14ac:dyDescent="0.3">
      <c r="A90">
        <v>89</v>
      </c>
      <c r="B90" s="24" t="s">
        <v>1149</v>
      </c>
      <c r="C90" s="24" t="s">
        <v>538</v>
      </c>
      <c r="D90" s="24" t="s">
        <v>851</v>
      </c>
      <c r="E90" s="24" t="s">
        <v>444</v>
      </c>
    </row>
    <row r="91" spans="1:5" ht="15" customHeight="1" x14ac:dyDescent="0.3">
      <c r="A91">
        <v>90</v>
      </c>
      <c r="B91" s="24" t="s">
        <v>1150</v>
      </c>
      <c r="C91" s="24" t="s">
        <v>538</v>
      </c>
      <c r="D91" s="24" t="s">
        <v>850</v>
      </c>
      <c r="E91" s="24" t="s">
        <v>444</v>
      </c>
    </row>
    <row r="92" spans="1:5" ht="15" customHeight="1" x14ac:dyDescent="0.3">
      <c r="A92">
        <v>91</v>
      </c>
      <c r="B92" s="24" t="s">
        <v>1151</v>
      </c>
      <c r="C92" s="24" t="s">
        <v>746</v>
      </c>
      <c r="D92" s="24" t="s">
        <v>854</v>
      </c>
      <c r="E92" s="24" t="s">
        <v>443</v>
      </c>
    </row>
    <row r="93" spans="1:5" ht="15" customHeight="1" x14ac:dyDescent="0.3">
      <c r="A93">
        <v>92</v>
      </c>
      <c r="B93" s="24" t="s">
        <v>1152</v>
      </c>
      <c r="C93" s="24" t="s">
        <v>746</v>
      </c>
      <c r="D93" s="24" t="s">
        <v>855</v>
      </c>
      <c r="E93" s="24" t="s">
        <v>443</v>
      </c>
    </row>
    <row r="94" spans="1:5" ht="15" customHeight="1" x14ac:dyDescent="0.3">
      <c r="A94">
        <v>93</v>
      </c>
      <c r="B94" s="24" t="s">
        <v>1153</v>
      </c>
      <c r="C94" s="24" t="s">
        <v>746</v>
      </c>
      <c r="D94" s="24" t="s">
        <v>857</v>
      </c>
      <c r="E94" s="24" t="s">
        <v>443</v>
      </c>
    </row>
    <row r="95" spans="1:5" ht="15" customHeight="1" x14ac:dyDescent="0.3">
      <c r="A95">
        <v>94</v>
      </c>
      <c r="B95" s="24" t="s">
        <v>1154</v>
      </c>
      <c r="C95" s="24" t="s">
        <v>746</v>
      </c>
      <c r="D95" s="24" t="s">
        <v>856</v>
      </c>
      <c r="E95" s="24" t="s">
        <v>443</v>
      </c>
    </row>
    <row r="96" spans="1:5" ht="15" customHeight="1" x14ac:dyDescent="0.3">
      <c r="A96">
        <v>95</v>
      </c>
      <c r="B96" s="24" t="s">
        <v>1155</v>
      </c>
      <c r="C96" s="24" t="s">
        <v>746</v>
      </c>
      <c r="D96" s="24" t="s">
        <v>851</v>
      </c>
      <c r="E96" s="24" t="s">
        <v>444</v>
      </c>
    </row>
    <row r="97" spans="1:5" ht="15" customHeight="1" x14ac:dyDescent="0.3">
      <c r="A97">
        <v>96</v>
      </c>
      <c r="B97" s="24" t="s">
        <v>1156</v>
      </c>
      <c r="C97" s="24" t="s">
        <v>746</v>
      </c>
      <c r="D97" s="24" t="s">
        <v>850</v>
      </c>
      <c r="E97" s="24" t="s">
        <v>444</v>
      </c>
    </row>
    <row r="98" spans="1:5" ht="15" customHeight="1" x14ac:dyDescent="0.3">
      <c r="A98">
        <v>97</v>
      </c>
      <c r="B98" s="24" t="s">
        <v>1157</v>
      </c>
      <c r="C98" s="24" t="s">
        <v>748</v>
      </c>
      <c r="D98" s="24" t="s">
        <v>854</v>
      </c>
      <c r="E98" s="24" t="s">
        <v>443</v>
      </c>
    </row>
    <row r="99" spans="1:5" ht="15" customHeight="1" x14ac:dyDescent="0.3">
      <c r="A99">
        <v>98</v>
      </c>
      <c r="B99" s="24" t="s">
        <v>1158</v>
      </c>
      <c r="C99" s="24" t="s">
        <v>748</v>
      </c>
      <c r="D99" s="24" t="s">
        <v>855</v>
      </c>
      <c r="E99" s="24" t="s">
        <v>443</v>
      </c>
    </row>
    <row r="100" spans="1:5" ht="15" customHeight="1" x14ac:dyDescent="0.3">
      <c r="A100">
        <v>99</v>
      </c>
      <c r="B100" s="24" t="s">
        <v>1159</v>
      </c>
      <c r="C100" s="24" t="s">
        <v>748</v>
      </c>
      <c r="D100" s="24" t="s">
        <v>857</v>
      </c>
      <c r="E100" s="24" t="s">
        <v>443</v>
      </c>
    </row>
    <row r="101" spans="1:5" ht="15" customHeight="1" x14ac:dyDescent="0.3">
      <c r="A101">
        <v>100</v>
      </c>
      <c r="B101" s="24" t="s">
        <v>1160</v>
      </c>
      <c r="C101" s="24" t="s">
        <v>748</v>
      </c>
      <c r="D101" s="24" t="s">
        <v>856</v>
      </c>
      <c r="E101" s="24" t="s">
        <v>443</v>
      </c>
    </row>
    <row r="102" spans="1:5" ht="15" customHeight="1" x14ac:dyDescent="0.3">
      <c r="A102">
        <v>101</v>
      </c>
      <c r="B102" s="24" t="s">
        <v>1161</v>
      </c>
      <c r="C102" s="24" t="s">
        <v>748</v>
      </c>
      <c r="D102" s="24" t="s">
        <v>851</v>
      </c>
      <c r="E102" s="24" t="s">
        <v>444</v>
      </c>
    </row>
    <row r="103" spans="1:5" ht="15" customHeight="1" x14ac:dyDescent="0.3">
      <c r="A103">
        <v>102</v>
      </c>
      <c r="B103" s="24" t="s">
        <v>1162</v>
      </c>
      <c r="C103" s="24" t="s">
        <v>748</v>
      </c>
      <c r="D103" s="24" t="s">
        <v>850</v>
      </c>
      <c r="E103" s="24" t="s">
        <v>444</v>
      </c>
    </row>
    <row r="104" spans="1:5" ht="15" customHeight="1" x14ac:dyDescent="0.3">
      <c r="A104">
        <v>103</v>
      </c>
      <c r="B104" s="24" t="s">
        <v>1163</v>
      </c>
      <c r="C104" s="24" t="s">
        <v>749</v>
      </c>
      <c r="D104" s="24" t="s">
        <v>854</v>
      </c>
      <c r="E104" s="24" t="s">
        <v>443</v>
      </c>
    </row>
    <row r="105" spans="1:5" ht="15" customHeight="1" x14ac:dyDescent="0.3">
      <c r="A105">
        <v>104</v>
      </c>
      <c r="B105" s="24" t="s">
        <v>1164</v>
      </c>
      <c r="C105" s="24" t="s">
        <v>749</v>
      </c>
      <c r="D105" s="24" t="s">
        <v>855</v>
      </c>
      <c r="E105" s="24" t="s">
        <v>443</v>
      </c>
    </row>
    <row r="106" spans="1:5" ht="15" customHeight="1" x14ac:dyDescent="0.3">
      <c r="A106">
        <v>105</v>
      </c>
      <c r="B106" s="24" t="s">
        <v>1165</v>
      </c>
      <c r="C106" s="24" t="s">
        <v>749</v>
      </c>
      <c r="D106" s="24" t="s">
        <v>857</v>
      </c>
      <c r="E106" s="24" t="s">
        <v>443</v>
      </c>
    </row>
    <row r="107" spans="1:5" ht="15" customHeight="1" x14ac:dyDescent="0.3">
      <c r="A107">
        <v>106</v>
      </c>
      <c r="B107" s="24" t="s">
        <v>1166</v>
      </c>
      <c r="C107" s="24" t="s">
        <v>749</v>
      </c>
      <c r="D107" s="24" t="s">
        <v>856</v>
      </c>
      <c r="E107" s="24" t="s">
        <v>443</v>
      </c>
    </row>
    <row r="108" spans="1:5" ht="15" customHeight="1" x14ac:dyDescent="0.3">
      <c r="A108">
        <v>107</v>
      </c>
      <c r="B108" s="24" t="s">
        <v>1167</v>
      </c>
      <c r="C108" s="24" t="s">
        <v>749</v>
      </c>
      <c r="D108" s="24" t="s">
        <v>851</v>
      </c>
      <c r="E108" s="24" t="s">
        <v>444</v>
      </c>
    </row>
    <row r="109" spans="1:5" ht="15" customHeight="1" x14ac:dyDescent="0.3">
      <c r="A109">
        <v>108</v>
      </c>
      <c r="B109" s="24" t="s">
        <v>1168</v>
      </c>
      <c r="C109" s="24" t="s">
        <v>749</v>
      </c>
      <c r="D109" s="24" t="s">
        <v>850</v>
      </c>
      <c r="E109" s="24" t="s">
        <v>444</v>
      </c>
    </row>
    <row r="110" spans="1:5" s="29" customFormat="1" ht="15" customHeight="1" x14ac:dyDescent="0.3">
      <c r="A110">
        <v>109</v>
      </c>
      <c r="B110" s="33" t="s">
        <v>1169</v>
      </c>
      <c r="C110" s="24" t="s">
        <v>750</v>
      </c>
      <c r="D110" s="24" t="s">
        <v>854</v>
      </c>
      <c r="E110" s="24" t="s">
        <v>443</v>
      </c>
    </row>
    <row r="111" spans="1:5" ht="15" customHeight="1" x14ac:dyDescent="0.3">
      <c r="A111">
        <v>110</v>
      </c>
      <c r="B111" s="24" t="s">
        <v>1170</v>
      </c>
      <c r="C111" s="24" t="s">
        <v>750</v>
      </c>
      <c r="D111" s="24" t="s">
        <v>855</v>
      </c>
      <c r="E111" s="24" t="s">
        <v>443</v>
      </c>
    </row>
    <row r="112" spans="1:5" ht="15" customHeight="1" x14ac:dyDescent="0.3">
      <c r="A112">
        <v>111</v>
      </c>
      <c r="B112" s="24" t="s">
        <v>1171</v>
      </c>
      <c r="C112" s="24" t="s">
        <v>750</v>
      </c>
      <c r="D112" s="24" t="s">
        <v>857</v>
      </c>
      <c r="E112" s="24" t="s">
        <v>443</v>
      </c>
    </row>
    <row r="113" spans="1:5" ht="15" customHeight="1" x14ac:dyDescent="0.3">
      <c r="A113">
        <v>112</v>
      </c>
      <c r="B113" s="24" t="s">
        <v>1172</v>
      </c>
      <c r="C113" s="24" t="s">
        <v>750</v>
      </c>
      <c r="D113" s="24" t="s">
        <v>856</v>
      </c>
      <c r="E113" s="24" t="s">
        <v>443</v>
      </c>
    </row>
    <row r="114" spans="1:5" ht="15" customHeight="1" x14ac:dyDescent="0.3">
      <c r="A114">
        <v>113</v>
      </c>
      <c r="B114" s="24" t="s">
        <v>1173</v>
      </c>
      <c r="C114" s="24" t="s">
        <v>750</v>
      </c>
      <c r="D114" s="24" t="s">
        <v>851</v>
      </c>
      <c r="E114" s="24" t="s">
        <v>444</v>
      </c>
    </row>
    <row r="115" spans="1:5" ht="15" customHeight="1" x14ac:dyDescent="0.3">
      <c r="A115">
        <v>114</v>
      </c>
      <c r="B115" s="24" t="s">
        <v>1174</v>
      </c>
      <c r="C115" s="24" t="s">
        <v>750</v>
      </c>
      <c r="D115" s="24" t="s">
        <v>850</v>
      </c>
      <c r="E115" s="24" t="s">
        <v>444</v>
      </c>
    </row>
    <row r="116" spans="1:5" ht="15" customHeight="1" x14ac:dyDescent="0.3">
      <c r="A116">
        <v>115</v>
      </c>
      <c r="B116" s="24" t="s">
        <v>1175</v>
      </c>
      <c r="C116" s="24" t="s">
        <v>751</v>
      </c>
      <c r="D116" s="24" t="s">
        <v>854</v>
      </c>
      <c r="E116" s="24" t="s">
        <v>443</v>
      </c>
    </row>
    <row r="117" spans="1:5" ht="15" customHeight="1" x14ac:dyDescent="0.3">
      <c r="A117">
        <v>116</v>
      </c>
      <c r="B117" s="24" t="s">
        <v>1176</v>
      </c>
      <c r="C117" s="24" t="s">
        <v>751</v>
      </c>
      <c r="D117" s="24" t="s">
        <v>855</v>
      </c>
      <c r="E117" s="24" t="s">
        <v>443</v>
      </c>
    </row>
    <row r="118" spans="1:5" ht="15" customHeight="1" x14ac:dyDescent="0.3">
      <c r="A118">
        <v>117</v>
      </c>
      <c r="B118" s="24" t="s">
        <v>1177</v>
      </c>
      <c r="C118" s="24" t="s">
        <v>751</v>
      </c>
      <c r="D118" s="24" t="s">
        <v>857</v>
      </c>
      <c r="E118" s="24" t="s">
        <v>443</v>
      </c>
    </row>
    <row r="119" spans="1:5" ht="15" customHeight="1" x14ac:dyDescent="0.3">
      <c r="A119">
        <v>118</v>
      </c>
      <c r="B119" s="24" t="s">
        <v>1178</v>
      </c>
      <c r="C119" s="24" t="s">
        <v>751</v>
      </c>
      <c r="D119" s="24" t="s">
        <v>856</v>
      </c>
      <c r="E119" s="24" t="s">
        <v>443</v>
      </c>
    </row>
    <row r="120" spans="1:5" ht="15" customHeight="1" x14ac:dyDescent="0.3">
      <c r="A120">
        <v>119</v>
      </c>
      <c r="B120" s="24" t="s">
        <v>1179</v>
      </c>
      <c r="C120" s="24" t="s">
        <v>751</v>
      </c>
      <c r="D120" s="24" t="s">
        <v>851</v>
      </c>
      <c r="E120" s="24" t="s">
        <v>444</v>
      </c>
    </row>
    <row r="121" spans="1:5" ht="15" customHeight="1" x14ac:dyDescent="0.3">
      <c r="A121">
        <v>120</v>
      </c>
      <c r="B121" s="24" t="s">
        <v>1180</v>
      </c>
      <c r="C121" s="24" t="s">
        <v>751</v>
      </c>
      <c r="D121" s="24" t="s">
        <v>850</v>
      </c>
      <c r="E121" s="24" t="s">
        <v>444</v>
      </c>
    </row>
    <row r="122" spans="1:5" ht="15" customHeight="1" x14ac:dyDescent="0.3">
      <c r="A122">
        <v>121</v>
      </c>
      <c r="B122" s="24" t="s">
        <v>1181</v>
      </c>
      <c r="C122" s="24" t="s">
        <v>752</v>
      </c>
      <c r="D122" s="24" t="s">
        <v>854</v>
      </c>
      <c r="E122" s="24" t="s">
        <v>443</v>
      </c>
    </row>
    <row r="123" spans="1:5" ht="15" customHeight="1" x14ac:dyDescent="0.3">
      <c r="A123">
        <v>122</v>
      </c>
      <c r="B123" s="24" t="s">
        <v>1182</v>
      </c>
      <c r="C123" s="24" t="s">
        <v>752</v>
      </c>
      <c r="D123" s="24" t="s">
        <v>855</v>
      </c>
      <c r="E123" s="24" t="s">
        <v>443</v>
      </c>
    </row>
    <row r="124" spans="1:5" ht="15" customHeight="1" x14ac:dyDescent="0.3">
      <c r="A124">
        <v>123</v>
      </c>
      <c r="B124" s="24" t="s">
        <v>1183</v>
      </c>
      <c r="C124" s="24" t="s">
        <v>752</v>
      </c>
      <c r="D124" s="24" t="s">
        <v>857</v>
      </c>
      <c r="E124" s="24" t="s">
        <v>443</v>
      </c>
    </row>
    <row r="125" spans="1:5" ht="15" customHeight="1" x14ac:dyDescent="0.3">
      <c r="A125">
        <v>124</v>
      </c>
      <c r="B125" s="24" t="s">
        <v>1184</v>
      </c>
      <c r="C125" s="24" t="s">
        <v>752</v>
      </c>
      <c r="D125" s="24" t="s">
        <v>856</v>
      </c>
      <c r="E125" s="24" t="s">
        <v>443</v>
      </c>
    </row>
    <row r="126" spans="1:5" ht="15" customHeight="1" x14ac:dyDescent="0.3">
      <c r="A126">
        <v>125</v>
      </c>
      <c r="B126" s="24" t="s">
        <v>1185</v>
      </c>
      <c r="C126" s="24" t="s">
        <v>752</v>
      </c>
      <c r="D126" s="24" t="s">
        <v>851</v>
      </c>
      <c r="E126" s="24" t="s">
        <v>444</v>
      </c>
    </row>
    <row r="127" spans="1:5" ht="15" customHeight="1" x14ac:dyDescent="0.3">
      <c r="A127">
        <v>126</v>
      </c>
      <c r="B127" s="24" t="s">
        <v>1186</v>
      </c>
      <c r="C127" s="24" t="s">
        <v>752</v>
      </c>
      <c r="D127" s="24" t="s">
        <v>850</v>
      </c>
      <c r="E127" s="24" t="s">
        <v>444</v>
      </c>
    </row>
    <row r="128" spans="1:5" ht="15" customHeight="1" x14ac:dyDescent="0.3">
      <c r="A128">
        <v>127</v>
      </c>
      <c r="B128" s="24" t="s">
        <v>1187</v>
      </c>
      <c r="C128" s="24" t="s">
        <v>539</v>
      </c>
      <c r="D128" s="24" t="s">
        <v>854</v>
      </c>
      <c r="E128" s="24" t="s">
        <v>443</v>
      </c>
    </row>
    <row r="129" spans="1:5" ht="15" customHeight="1" x14ac:dyDescent="0.3">
      <c r="A129">
        <v>128</v>
      </c>
      <c r="B129" s="24" t="s">
        <v>1188</v>
      </c>
      <c r="C129" s="24" t="s">
        <v>539</v>
      </c>
      <c r="D129" s="24" t="s">
        <v>855</v>
      </c>
      <c r="E129" s="24" t="s">
        <v>443</v>
      </c>
    </row>
    <row r="130" spans="1:5" ht="15" customHeight="1" x14ac:dyDescent="0.3">
      <c r="A130">
        <v>129</v>
      </c>
      <c r="B130" s="24" t="s">
        <v>1189</v>
      </c>
      <c r="C130" s="24" t="s">
        <v>539</v>
      </c>
      <c r="D130" s="24" t="s">
        <v>857</v>
      </c>
      <c r="E130" s="24" t="s">
        <v>443</v>
      </c>
    </row>
    <row r="131" spans="1:5" ht="15" customHeight="1" x14ac:dyDescent="0.3">
      <c r="A131">
        <v>130</v>
      </c>
      <c r="B131" s="24" t="s">
        <v>1190</v>
      </c>
      <c r="C131" s="24" t="s">
        <v>539</v>
      </c>
      <c r="D131" s="24" t="s">
        <v>856</v>
      </c>
      <c r="E131" s="24" t="s">
        <v>443</v>
      </c>
    </row>
    <row r="132" spans="1:5" ht="15" customHeight="1" x14ac:dyDescent="0.3">
      <c r="A132">
        <v>131</v>
      </c>
      <c r="B132" s="24" t="s">
        <v>1191</v>
      </c>
      <c r="C132" s="24" t="s">
        <v>539</v>
      </c>
      <c r="D132" s="24" t="s">
        <v>851</v>
      </c>
      <c r="E132" s="24" t="s">
        <v>444</v>
      </c>
    </row>
    <row r="133" spans="1:5" ht="15" customHeight="1" x14ac:dyDescent="0.3">
      <c r="A133">
        <v>132</v>
      </c>
      <c r="B133" s="24" t="s">
        <v>1192</v>
      </c>
      <c r="C133" s="24" t="s">
        <v>539</v>
      </c>
      <c r="D133" s="24" t="s">
        <v>850</v>
      </c>
      <c r="E133" s="24" t="s">
        <v>444</v>
      </c>
    </row>
    <row r="134" spans="1:5" ht="15" customHeight="1" x14ac:dyDescent="0.3">
      <c r="A134">
        <v>133</v>
      </c>
      <c r="B134" s="24" t="s">
        <v>1193</v>
      </c>
      <c r="C134" s="24" t="s">
        <v>540</v>
      </c>
      <c r="D134" s="24" t="s">
        <v>854</v>
      </c>
      <c r="E134" s="24" t="s">
        <v>443</v>
      </c>
    </row>
    <row r="135" spans="1:5" ht="15" customHeight="1" x14ac:dyDescent="0.3">
      <c r="A135">
        <v>134</v>
      </c>
      <c r="B135" s="24" t="s">
        <v>1194</v>
      </c>
      <c r="C135" s="24" t="s">
        <v>540</v>
      </c>
      <c r="D135" s="24" t="s">
        <v>855</v>
      </c>
      <c r="E135" s="24" t="s">
        <v>443</v>
      </c>
    </row>
    <row r="136" spans="1:5" ht="15" customHeight="1" x14ac:dyDescent="0.3">
      <c r="A136">
        <v>135</v>
      </c>
      <c r="B136" s="24" t="s">
        <v>1195</v>
      </c>
      <c r="C136" s="24" t="s">
        <v>540</v>
      </c>
      <c r="D136" s="24" t="s">
        <v>857</v>
      </c>
      <c r="E136" s="24" t="s">
        <v>443</v>
      </c>
    </row>
    <row r="137" spans="1:5" ht="15" customHeight="1" x14ac:dyDescent="0.3">
      <c r="A137">
        <v>136</v>
      </c>
      <c r="B137" s="24" t="s">
        <v>1196</v>
      </c>
      <c r="C137" s="24" t="s">
        <v>540</v>
      </c>
      <c r="D137" s="24" t="s">
        <v>856</v>
      </c>
      <c r="E137" s="24" t="s">
        <v>443</v>
      </c>
    </row>
    <row r="138" spans="1:5" ht="15" customHeight="1" x14ac:dyDescent="0.3">
      <c r="A138">
        <v>137</v>
      </c>
      <c r="B138" s="24" t="s">
        <v>1197</v>
      </c>
      <c r="C138" s="24" t="s">
        <v>540</v>
      </c>
      <c r="D138" s="24" t="s">
        <v>851</v>
      </c>
      <c r="E138" s="24" t="s">
        <v>444</v>
      </c>
    </row>
    <row r="139" spans="1:5" ht="15" customHeight="1" x14ac:dyDescent="0.3">
      <c r="A139">
        <v>138</v>
      </c>
      <c r="B139" s="24" t="s">
        <v>1198</v>
      </c>
      <c r="C139" s="24" t="s">
        <v>540</v>
      </c>
      <c r="D139" s="24" t="s">
        <v>850</v>
      </c>
      <c r="E139" s="24" t="s">
        <v>444</v>
      </c>
    </row>
    <row r="140" spans="1:5" ht="15" customHeight="1" x14ac:dyDescent="0.3">
      <c r="A140">
        <v>139</v>
      </c>
      <c r="B140" s="24" t="s">
        <v>1199</v>
      </c>
      <c r="C140" s="24" t="s">
        <v>541</v>
      </c>
      <c r="D140" s="24" t="s">
        <v>854</v>
      </c>
      <c r="E140" s="24" t="s">
        <v>443</v>
      </c>
    </row>
    <row r="141" spans="1:5" ht="15" customHeight="1" x14ac:dyDescent="0.3">
      <c r="A141">
        <v>140</v>
      </c>
      <c r="B141" s="24" t="s">
        <v>1200</v>
      </c>
      <c r="C141" s="24" t="s">
        <v>541</v>
      </c>
      <c r="D141" s="24" t="s">
        <v>855</v>
      </c>
      <c r="E141" s="24" t="s">
        <v>443</v>
      </c>
    </row>
    <row r="142" spans="1:5" ht="15" customHeight="1" x14ac:dyDescent="0.3">
      <c r="A142">
        <v>141</v>
      </c>
      <c r="B142" s="24" t="s">
        <v>1201</v>
      </c>
      <c r="C142" s="24" t="s">
        <v>541</v>
      </c>
      <c r="D142" s="24" t="s">
        <v>857</v>
      </c>
      <c r="E142" s="24" t="s">
        <v>443</v>
      </c>
    </row>
    <row r="143" spans="1:5" ht="15" customHeight="1" x14ac:dyDescent="0.3">
      <c r="A143">
        <v>142</v>
      </c>
      <c r="B143" s="24" t="s">
        <v>1202</v>
      </c>
      <c r="C143" s="24" t="s">
        <v>541</v>
      </c>
      <c r="D143" s="24" t="s">
        <v>856</v>
      </c>
      <c r="E143" s="24" t="s">
        <v>443</v>
      </c>
    </row>
    <row r="144" spans="1:5" ht="15" customHeight="1" x14ac:dyDescent="0.3">
      <c r="A144">
        <v>143</v>
      </c>
      <c r="B144" s="24" t="s">
        <v>1203</v>
      </c>
      <c r="C144" s="24" t="s">
        <v>541</v>
      </c>
      <c r="D144" s="24" t="s">
        <v>851</v>
      </c>
      <c r="E144" s="24" t="s">
        <v>444</v>
      </c>
    </row>
    <row r="145" spans="1:5" ht="15" customHeight="1" x14ac:dyDescent="0.3">
      <c r="A145">
        <v>144</v>
      </c>
      <c r="B145" s="24" t="s">
        <v>1204</v>
      </c>
      <c r="C145" s="24" t="s">
        <v>541</v>
      </c>
      <c r="D145" s="24" t="s">
        <v>850</v>
      </c>
      <c r="E145" s="24" t="s">
        <v>444</v>
      </c>
    </row>
    <row r="146" spans="1:5" ht="15" customHeight="1" x14ac:dyDescent="0.3">
      <c r="A146">
        <v>145</v>
      </c>
      <c r="B146" s="24" t="s">
        <v>1205</v>
      </c>
      <c r="C146" s="24" t="s">
        <v>542</v>
      </c>
      <c r="D146" s="24" t="s">
        <v>854</v>
      </c>
      <c r="E146" s="24" t="s">
        <v>443</v>
      </c>
    </row>
    <row r="147" spans="1:5" ht="15" customHeight="1" x14ac:dyDescent="0.3">
      <c r="A147">
        <v>146</v>
      </c>
      <c r="B147" s="24" t="s">
        <v>1206</v>
      </c>
      <c r="C147" s="24" t="s">
        <v>542</v>
      </c>
      <c r="D147" s="24" t="s">
        <v>855</v>
      </c>
      <c r="E147" s="24" t="s">
        <v>443</v>
      </c>
    </row>
    <row r="148" spans="1:5" ht="15" customHeight="1" x14ac:dyDescent="0.3">
      <c r="A148">
        <v>147</v>
      </c>
      <c r="B148" s="24" t="s">
        <v>1207</v>
      </c>
      <c r="C148" s="24" t="s">
        <v>542</v>
      </c>
      <c r="D148" s="24" t="s">
        <v>857</v>
      </c>
      <c r="E148" s="24" t="s">
        <v>443</v>
      </c>
    </row>
    <row r="149" spans="1:5" ht="15" customHeight="1" x14ac:dyDescent="0.3">
      <c r="A149">
        <v>148</v>
      </c>
      <c r="B149" s="24" t="s">
        <v>1208</v>
      </c>
      <c r="C149" s="24" t="s">
        <v>542</v>
      </c>
      <c r="D149" s="24" t="s">
        <v>856</v>
      </c>
      <c r="E149" s="24" t="s">
        <v>443</v>
      </c>
    </row>
    <row r="150" spans="1:5" ht="15" customHeight="1" x14ac:dyDescent="0.3">
      <c r="A150">
        <v>149</v>
      </c>
      <c r="B150" s="24" t="s">
        <v>1209</v>
      </c>
      <c r="C150" s="24" t="s">
        <v>542</v>
      </c>
      <c r="D150" s="24" t="s">
        <v>851</v>
      </c>
      <c r="E150" s="24" t="s">
        <v>444</v>
      </c>
    </row>
    <row r="151" spans="1:5" ht="15" customHeight="1" x14ac:dyDescent="0.3">
      <c r="A151">
        <v>150</v>
      </c>
      <c r="B151" s="24" t="s">
        <v>1210</v>
      </c>
      <c r="C151" s="24" t="s">
        <v>542</v>
      </c>
      <c r="D151" s="24" t="s">
        <v>850</v>
      </c>
      <c r="E151" s="24" t="s">
        <v>444</v>
      </c>
    </row>
    <row r="152" spans="1:5" ht="15" customHeight="1" x14ac:dyDescent="0.3">
      <c r="A152">
        <v>151</v>
      </c>
      <c r="B152" s="24" t="s">
        <v>1211</v>
      </c>
      <c r="C152" s="24" t="s">
        <v>753</v>
      </c>
      <c r="D152" s="24" t="s">
        <v>854</v>
      </c>
      <c r="E152" s="24" t="s">
        <v>443</v>
      </c>
    </row>
    <row r="153" spans="1:5" ht="15" customHeight="1" x14ac:dyDescent="0.3">
      <c r="A153">
        <v>152</v>
      </c>
      <c r="B153" s="24" t="s">
        <v>1212</v>
      </c>
      <c r="C153" s="24" t="s">
        <v>753</v>
      </c>
      <c r="D153" s="24" t="s">
        <v>855</v>
      </c>
      <c r="E153" s="24" t="s">
        <v>443</v>
      </c>
    </row>
    <row r="154" spans="1:5" ht="15" customHeight="1" x14ac:dyDescent="0.3">
      <c r="A154">
        <v>153</v>
      </c>
      <c r="B154" s="24" t="s">
        <v>1213</v>
      </c>
      <c r="C154" s="24" t="s">
        <v>753</v>
      </c>
      <c r="D154" s="24" t="s">
        <v>857</v>
      </c>
      <c r="E154" s="24" t="s">
        <v>443</v>
      </c>
    </row>
    <row r="155" spans="1:5" ht="15" customHeight="1" x14ac:dyDescent="0.3">
      <c r="A155">
        <v>154</v>
      </c>
      <c r="B155" s="24" t="s">
        <v>1214</v>
      </c>
      <c r="C155" s="24" t="s">
        <v>753</v>
      </c>
      <c r="D155" s="24" t="s">
        <v>856</v>
      </c>
      <c r="E155" s="24" t="s">
        <v>443</v>
      </c>
    </row>
    <row r="156" spans="1:5" ht="15" customHeight="1" x14ac:dyDescent="0.3">
      <c r="A156">
        <v>155</v>
      </c>
      <c r="B156" s="24" t="s">
        <v>1215</v>
      </c>
      <c r="C156" s="24" t="s">
        <v>753</v>
      </c>
      <c r="D156" s="24" t="s">
        <v>851</v>
      </c>
      <c r="E156" s="24" t="s">
        <v>444</v>
      </c>
    </row>
    <row r="157" spans="1:5" ht="15" customHeight="1" x14ac:dyDescent="0.3">
      <c r="A157">
        <v>156</v>
      </c>
      <c r="B157" s="24" t="s">
        <v>1216</v>
      </c>
      <c r="C157" s="24" t="s">
        <v>753</v>
      </c>
      <c r="D157" s="24" t="s">
        <v>850</v>
      </c>
      <c r="E157" s="24" t="s">
        <v>444</v>
      </c>
    </row>
    <row r="158" spans="1:5" ht="15" customHeight="1" x14ac:dyDescent="0.3">
      <c r="A158">
        <v>157</v>
      </c>
      <c r="B158" s="24" t="s">
        <v>1217</v>
      </c>
      <c r="C158" s="24" t="s">
        <v>543</v>
      </c>
      <c r="D158" s="24" t="s">
        <v>854</v>
      </c>
      <c r="E158" s="24" t="s">
        <v>443</v>
      </c>
    </row>
    <row r="159" spans="1:5" ht="15" customHeight="1" x14ac:dyDescent="0.3">
      <c r="A159">
        <v>158</v>
      </c>
      <c r="B159" s="24" t="s">
        <v>1218</v>
      </c>
      <c r="C159" s="24" t="s">
        <v>543</v>
      </c>
      <c r="D159" s="24" t="s">
        <v>855</v>
      </c>
      <c r="E159" s="24" t="s">
        <v>443</v>
      </c>
    </row>
    <row r="160" spans="1:5" ht="15" customHeight="1" x14ac:dyDescent="0.3">
      <c r="A160">
        <v>159</v>
      </c>
      <c r="B160" s="24" t="s">
        <v>1219</v>
      </c>
      <c r="C160" s="24" t="s">
        <v>543</v>
      </c>
      <c r="D160" s="24" t="s">
        <v>857</v>
      </c>
      <c r="E160" s="24" t="s">
        <v>443</v>
      </c>
    </row>
    <row r="161" spans="1:5" ht="15" customHeight="1" x14ac:dyDescent="0.3">
      <c r="A161">
        <v>160</v>
      </c>
      <c r="B161" s="24" t="s">
        <v>1220</v>
      </c>
      <c r="C161" s="24" t="s">
        <v>543</v>
      </c>
      <c r="D161" s="24" t="s">
        <v>856</v>
      </c>
      <c r="E161" s="24" t="s">
        <v>443</v>
      </c>
    </row>
    <row r="162" spans="1:5" ht="15" customHeight="1" x14ac:dyDescent="0.3">
      <c r="A162">
        <v>161</v>
      </c>
      <c r="B162" s="24" t="s">
        <v>1221</v>
      </c>
      <c r="C162" s="24" t="s">
        <v>543</v>
      </c>
      <c r="D162" s="24" t="s">
        <v>851</v>
      </c>
      <c r="E162" s="24" t="s">
        <v>444</v>
      </c>
    </row>
    <row r="163" spans="1:5" ht="15" customHeight="1" x14ac:dyDescent="0.3">
      <c r="A163">
        <v>162</v>
      </c>
      <c r="B163" s="24" t="s">
        <v>1222</v>
      </c>
      <c r="C163" s="24" t="s">
        <v>543</v>
      </c>
      <c r="D163" s="24" t="s">
        <v>850</v>
      </c>
      <c r="E163" s="24" t="s">
        <v>444</v>
      </c>
    </row>
    <row r="164" spans="1:5" ht="15" customHeight="1" x14ac:dyDescent="0.3">
      <c r="A164">
        <v>163</v>
      </c>
      <c r="B164" s="24" t="s">
        <v>1223</v>
      </c>
      <c r="C164" s="24" t="s">
        <v>544</v>
      </c>
      <c r="D164" s="24" t="s">
        <v>854</v>
      </c>
      <c r="E164" s="24" t="s">
        <v>443</v>
      </c>
    </row>
    <row r="165" spans="1:5" s="11" customFormat="1" ht="15" customHeight="1" x14ac:dyDescent="0.3">
      <c r="A165">
        <v>164</v>
      </c>
      <c r="B165" s="33" t="s">
        <v>1224</v>
      </c>
      <c r="C165" s="33" t="s">
        <v>544</v>
      </c>
      <c r="D165" s="33" t="s">
        <v>855</v>
      </c>
      <c r="E165" s="33" t="s">
        <v>443</v>
      </c>
    </row>
    <row r="166" spans="1:5" s="11" customFormat="1" ht="15" customHeight="1" x14ac:dyDescent="0.3">
      <c r="A166">
        <v>165</v>
      </c>
      <c r="B166" s="33" t="s">
        <v>1225</v>
      </c>
      <c r="C166" s="33" t="s">
        <v>544</v>
      </c>
      <c r="D166" s="33" t="s">
        <v>857</v>
      </c>
      <c r="E166" s="33" t="s">
        <v>443</v>
      </c>
    </row>
    <row r="167" spans="1:5" ht="15" customHeight="1" x14ac:dyDescent="0.3">
      <c r="A167">
        <v>166</v>
      </c>
      <c r="B167" s="24" t="s">
        <v>1226</v>
      </c>
      <c r="C167" s="24" t="s">
        <v>544</v>
      </c>
      <c r="D167" s="24" t="s">
        <v>856</v>
      </c>
      <c r="E167" s="24" t="s">
        <v>443</v>
      </c>
    </row>
    <row r="168" spans="1:5" ht="15" customHeight="1" x14ac:dyDescent="0.3">
      <c r="A168">
        <v>167</v>
      </c>
      <c r="B168" s="24" t="s">
        <v>1227</v>
      </c>
      <c r="C168" s="24" t="s">
        <v>544</v>
      </c>
      <c r="D168" s="24" t="s">
        <v>851</v>
      </c>
      <c r="E168" s="24" t="s">
        <v>444</v>
      </c>
    </row>
    <row r="169" spans="1:5" ht="15" customHeight="1" x14ac:dyDescent="0.3">
      <c r="A169">
        <v>168</v>
      </c>
      <c r="B169" s="24" t="s">
        <v>1228</v>
      </c>
      <c r="C169" s="24" t="s">
        <v>544</v>
      </c>
      <c r="D169" s="24" t="s">
        <v>850</v>
      </c>
      <c r="E169" s="24" t="s">
        <v>444</v>
      </c>
    </row>
    <row r="170" spans="1:5" ht="15" customHeight="1" x14ac:dyDescent="0.3">
      <c r="A170">
        <v>169</v>
      </c>
      <c r="B170" s="24" t="s">
        <v>1229</v>
      </c>
      <c r="C170" s="24" t="s">
        <v>545</v>
      </c>
      <c r="D170" s="24" t="s">
        <v>854</v>
      </c>
      <c r="E170" s="24" t="s">
        <v>443</v>
      </c>
    </row>
    <row r="171" spans="1:5" ht="15" customHeight="1" x14ac:dyDescent="0.3">
      <c r="A171">
        <v>170</v>
      </c>
      <c r="B171" s="24" t="s">
        <v>1230</v>
      </c>
      <c r="C171" s="24" t="s">
        <v>545</v>
      </c>
      <c r="D171" s="24" t="s">
        <v>855</v>
      </c>
      <c r="E171" s="24" t="s">
        <v>443</v>
      </c>
    </row>
    <row r="172" spans="1:5" s="11" customFormat="1" ht="15" customHeight="1" x14ac:dyDescent="0.3">
      <c r="A172">
        <v>171</v>
      </c>
      <c r="B172" s="33" t="s">
        <v>1231</v>
      </c>
      <c r="C172" s="33" t="s">
        <v>545</v>
      </c>
      <c r="D172" s="33" t="s">
        <v>857</v>
      </c>
      <c r="E172" s="33" t="s">
        <v>443</v>
      </c>
    </row>
    <row r="173" spans="1:5" ht="15" customHeight="1" x14ac:dyDescent="0.3">
      <c r="A173">
        <v>172</v>
      </c>
      <c r="B173" s="24" t="s">
        <v>1232</v>
      </c>
      <c r="C173" s="24" t="s">
        <v>545</v>
      </c>
      <c r="D173" s="24" t="s">
        <v>856</v>
      </c>
      <c r="E173" s="24" t="s">
        <v>443</v>
      </c>
    </row>
    <row r="174" spans="1:5" ht="15" customHeight="1" x14ac:dyDescent="0.3">
      <c r="A174">
        <v>173</v>
      </c>
      <c r="B174" s="24" t="s">
        <v>1233</v>
      </c>
      <c r="C174" s="24" t="s">
        <v>545</v>
      </c>
      <c r="D174" s="24" t="s">
        <v>851</v>
      </c>
      <c r="E174" s="24" t="s">
        <v>444</v>
      </c>
    </row>
    <row r="175" spans="1:5" ht="15" customHeight="1" x14ac:dyDescent="0.3">
      <c r="A175">
        <v>174</v>
      </c>
      <c r="B175" s="24" t="s">
        <v>1234</v>
      </c>
      <c r="C175" s="24" t="s">
        <v>545</v>
      </c>
      <c r="D175" s="24" t="s">
        <v>850</v>
      </c>
      <c r="E175" s="24" t="s">
        <v>444</v>
      </c>
    </row>
    <row r="176" spans="1:5" ht="15" customHeight="1" x14ac:dyDescent="0.3">
      <c r="A176">
        <v>175</v>
      </c>
      <c r="B176" s="24" t="s">
        <v>1235</v>
      </c>
      <c r="C176" s="24" t="s">
        <v>546</v>
      </c>
      <c r="D176" s="24" t="s">
        <v>854</v>
      </c>
      <c r="E176" s="24" t="s">
        <v>443</v>
      </c>
    </row>
    <row r="177" spans="1:5" ht="15" customHeight="1" x14ac:dyDescent="0.3">
      <c r="A177">
        <v>176</v>
      </c>
      <c r="B177" s="24" t="s">
        <v>1236</v>
      </c>
      <c r="C177" s="24" t="s">
        <v>546</v>
      </c>
      <c r="D177" s="24" t="s">
        <v>855</v>
      </c>
      <c r="E177" s="24" t="s">
        <v>443</v>
      </c>
    </row>
    <row r="178" spans="1:5" s="11" customFormat="1" ht="15" customHeight="1" x14ac:dyDescent="0.3">
      <c r="A178">
        <v>177</v>
      </c>
      <c r="B178" s="33" t="s">
        <v>1237</v>
      </c>
      <c r="C178" s="33" t="s">
        <v>546</v>
      </c>
      <c r="D178" s="33" t="s">
        <v>857</v>
      </c>
      <c r="E178" s="33" t="s">
        <v>443</v>
      </c>
    </row>
    <row r="179" spans="1:5" s="11" customFormat="1" ht="15" customHeight="1" x14ac:dyDescent="0.3">
      <c r="A179">
        <v>178</v>
      </c>
      <c r="B179" s="33" t="s">
        <v>1238</v>
      </c>
      <c r="C179" s="33" t="s">
        <v>546</v>
      </c>
      <c r="D179" s="33" t="s">
        <v>856</v>
      </c>
      <c r="E179" s="33" t="s">
        <v>443</v>
      </c>
    </row>
    <row r="180" spans="1:5" s="11" customFormat="1" ht="15" customHeight="1" x14ac:dyDescent="0.3">
      <c r="A180">
        <v>179</v>
      </c>
      <c r="B180" s="33" t="s">
        <v>1239</v>
      </c>
      <c r="C180" s="33" t="s">
        <v>546</v>
      </c>
      <c r="D180" s="33" t="s">
        <v>851</v>
      </c>
      <c r="E180" s="33" t="s">
        <v>444</v>
      </c>
    </row>
    <row r="181" spans="1:5" s="11" customFormat="1" ht="15" customHeight="1" x14ac:dyDescent="0.3">
      <c r="A181">
        <v>180</v>
      </c>
      <c r="B181" s="33" t="s">
        <v>1240</v>
      </c>
      <c r="C181" s="33" t="s">
        <v>546</v>
      </c>
      <c r="D181" s="33" t="s">
        <v>850</v>
      </c>
      <c r="E181" s="33" t="s">
        <v>444</v>
      </c>
    </row>
    <row r="182" spans="1:5" s="11" customFormat="1" ht="15" customHeight="1" x14ac:dyDescent="0.3">
      <c r="A182">
        <v>181</v>
      </c>
      <c r="B182" s="33" t="s">
        <v>1241</v>
      </c>
      <c r="C182" s="33" t="s">
        <v>547</v>
      </c>
      <c r="D182" s="33" t="s">
        <v>854</v>
      </c>
      <c r="E182" s="33" t="s">
        <v>443</v>
      </c>
    </row>
    <row r="183" spans="1:5" ht="15" customHeight="1" x14ac:dyDescent="0.3">
      <c r="A183">
        <v>182</v>
      </c>
      <c r="B183" s="24" t="s">
        <v>1242</v>
      </c>
      <c r="C183" s="24" t="s">
        <v>547</v>
      </c>
      <c r="D183" s="24" t="s">
        <v>855</v>
      </c>
      <c r="E183" s="24" t="s">
        <v>443</v>
      </c>
    </row>
    <row r="184" spans="1:5" ht="15" customHeight="1" x14ac:dyDescent="0.3">
      <c r="A184">
        <v>183</v>
      </c>
      <c r="B184" s="24" t="s">
        <v>1243</v>
      </c>
      <c r="C184" s="24" t="s">
        <v>547</v>
      </c>
      <c r="D184" s="24" t="s">
        <v>857</v>
      </c>
      <c r="E184" s="24" t="s">
        <v>443</v>
      </c>
    </row>
    <row r="185" spans="1:5" ht="15" customHeight="1" x14ac:dyDescent="0.3">
      <c r="A185">
        <v>184</v>
      </c>
      <c r="B185" s="24" t="s">
        <v>1244</v>
      </c>
      <c r="C185" s="24" t="s">
        <v>547</v>
      </c>
      <c r="D185" s="24" t="s">
        <v>856</v>
      </c>
      <c r="E185" s="24" t="s">
        <v>443</v>
      </c>
    </row>
    <row r="186" spans="1:5" ht="15" customHeight="1" x14ac:dyDescent="0.3">
      <c r="A186">
        <v>185</v>
      </c>
      <c r="B186" s="24" t="s">
        <v>1245</v>
      </c>
      <c r="C186" s="24" t="s">
        <v>547</v>
      </c>
      <c r="D186" s="24" t="s">
        <v>851</v>
      </c>
      <c r="E186" s="24" t="s">
        <v>444</v>
      </c>
    </row>
    <row r="187" spans="1:5" ht="15" customHeight="1" x14ac:dyDescent="0.3">
      <c r="A187">
        <v>186</v>
      </c>
      <c r="B187" s="24" t="s">
        <v>1246</v>
      </c>
      <c r="C187" s="24" t="s">
        <v>547</v>
      </c>
      <c r="D187" s="24" t="s">
        <v>850</v>
      </c>
      <c r="E187" s="24" t="s">
        <v>444</v>
      </c>
    </row>
    <row r="188" spans="1:5" ht="15" customHeight="1" x14ac:dyDescent="0.3">
      <c r="A188">
        <v>187</v>
      </c>
      <c r="B188" s="24" t="s">
        <v>1247</v>
      </c>
      <c r="C188" s="24" t="s">
        <v>548</v>
      </c>
      <c r="D188" s="24" t="s">
        <v>854</v>
      </c>
      <c r="E188" s="24" t="s">
        <v>443</v>
      </c>
    </row>
    <row r="189" spans="1:5" s="11" customFormat="1" ht="15" customHeight="1" x14ac:dyDescent="0.3">
      <c r="A189">
        <v>188</v>
      </c>
      <c r="B189" s="33" t="s">
        <v>1248</v>
      </c>
      <c r="C189" s="33" t="s">
        <v>548</v>
      </c>
      <c r="D189" s="33" t="s">
        <v>855</v>
      </c>
      <c r="E189" s="33" t="s">
        <v>443</v>
      </c>
    </row>
    <row r="190" spans="1:5" s="30" customFormat="1" ht="15" customHeight="1" x14ac:dyDescent="0.3">
      <c r="A190">
        <v>189</v>
      </c>
      <c r="B190" s="33" t="s">
        <v>1249</v>
      </c>
      <c r="C190" s="33" t="s">
        <v>548</v>
      </c>
      <c r="D190" s="33" t="s">
        <v>857</v>
      </c>
      <c r="E190" s="33" t="s">
        <v>443</v>
      </c>
    </row>
    <row r="191" spans="1:5" ht="15" customHeight="1" x14ac:dyDescent="0.3">
      <c r="A191">
        <v>190</v>
      </c>
      <c r="B191" s="24" t="s">
        <v>1250</v>
      </c>
      <c r="C191" s="24" t="s">
        <v>548</v>
      </c>
      <c r="D191" s="24" t="s">
        <v>856</v>
      </c>
      <c r="E191" s="24" t="s">
        <v>443</v>
      </c>
    </row>
    <row r="192" spans="1:5" ht="15" customHeight="1" x14ac:dyDescent="0.3">
      <c r="A192">
        <v>191</v>
      </c>
      <c r="B192" s="24" t="s">
        <v>1251</v>
      </c>
      <c r="C192" s="24" t="s">
        <v>548</v>
      </c>
      <c r="D192" s="24" t="s">
        <v>851</v>
      </c>
      <c r="E192" s="24" t="s">
        <v>444</v>
      </c>
    </row>
    <row r="193" spans="1:5" s="11" customFormat="1" ht="15" customHeight="1" x14ac:dyDescent="0.3">
      <c r="A193">
        <v>192</v>
      </c>
      <c r="B193" s="33" t="s">
        <v>1252</v>
      </c>
      <c r="C193" s="33" t="s">
        <v>548</v>
      </c>
      <c r="D193" s="33" t="s">
        <v>850</v>
      </c>
      <c r="E193" s="33" t="s">
        <v>444</v>
      </c>
    </row>
    <row r="194" spans="1:5" s="11" customFormat="1" ht="15" customHeight="1" x14ac:dyDescent="0.3">
      <c r="A194">
        <v>193</v>
      </c>
      <c r="B194" s="33" t="s">
        <v>1253</v>
      </c>
      <c r="C194" s="33" t="s">
        <v>549</v>
      </c>
      <c r="D194" s="33" t="s">
        <v>854</v>
      </c>
      <c r="E194" s="33" t="s">
        <v>443</v>
      </c>
    </row>
    <row r="195" spans="1:5" ht="15" customHeight="1" x14ac:dyDescent="0.3">
      <c r="A195">
        <v>194</v>
      </c>
      <c r="B195" s="24" t="s">
        <v>1254</v>
      </c>
      <c r="C195" s="24" t="s">
        <v>549</v>
      </c>
      <c r="D195" s="24" t="s">
        <v>855</v>
      </c>
      <c r="E195" s="24" t="s">
        <v>443</v>
      </c>
    </row>
    <row r="196" spans="1:5" ht="15" customHeight="1" x14ac:dyDescent="0.3">
      <c r="A196">
        <v>195</v>
      </c>
      <c r="B196" s="24" t="s">
        <v>1255</v>
      </c>
      <c r="C196" s="24" t="s">
        <v>549</v>
      </c>
      <c r="D196" s="24" t="s">
        <v>857</v>
      </c>
      <c r="E196" s="24" t="s">
        <v>443</v>
      </c>
    </row>
    <row r="197" spans="1:5" s="11" customFormat="1" ht="15" customHeight="1" x14ac:dyDescent="0.3">
      <c r="A197">
        <v>196</v>
      </c>
      <c r="B197" s="33" t="s">
        <v>1256</v>
      </c>
      <c r="C197" s="33" t="s">
        <v>549</v>
      </c>
      <c r="D197" s="33" t="s">
        <v>856</v>
      </c>
      <c r="E197" s="33" t="s">
        <v>443</v>
      </c>
    </row>
    <row r="198" spans="1:5" s="11" customFormat="1" ht="15" customHeight="1" x14ac:dyDescent="0.3">
      <c r="A198">
        <v>197</v>
      </c>
      <c r="B198" s="33" t="s">
        <v>1257</v>
      </c>
      <c r="C198" s="33" t="s">
        <v>549</v>
      </c>
      <c r="D198" s="33" t="s">
        <v>851</v>
      </c>
      <c r="E198" s="33" t="s">
        <v>444</v>
      </c>
    </row>
    <row r="199" spans="1:5" ht="15" customHeight="1" x14ac:dyDescent="0.3">
      <c r="A199">
        <v>198</v>
      </c>
      <c r="B199" s="24" t="s">
        <v>1258</v>
      </c>
      <c r="C199" s="24" t="s">
        <v>549</v>
      </c>
      <c r="D199" s="24" t="s">
        <v>850</v>
      </c>
      <c r="E199" s="24" t="s">
        <v>444</v>
      </c>
    </row>
    <row r="200" spans="1:5" ht="15" customHeight="1" x14ac:dyDescent="0.3">
      <c r="A200">
        <v>199</v>
      </c>
      <c r="B200" s="24" t="s">
        <v>1259</v>
      </c>
      <c r="C200" s="24" t="s">
        <v>550</v>
      </c>
      <c r="D200" s="24" t="s">
        <v>854</v>
      </c>
      <c r="E200" s="24" t="s">
        <v>443</v>
      </c>
    </row>
    <row r="201" spans="1:5" s="11" customFormat="1" ht="15" customHeight="1" x14ac:dyDescent="0.3">
      <c r="A201">
        <v>200</v>
      </c>
      <c r="B201" s="33" t="s">
        <v>1260</v>
      </c>
      <c r="C201" s="33" t="s">
        <v>550</v>
      </c>
      <c r="D201" s="33" t="s">
        <v>855</v>
      </c>
      <c r="E201" s="33" t="s">
        <v>443</v>
      </c>
    </row>
    <row r="202" spans="1:5" ht="15" customHeight="1" x14ac:dyDescent="0.3">
      <c r="A202">
        <v>201</v>
      </c>
      <c r="B202" s="24" t="s">
        <v>1261</v>
      </c>
      <c r="C202" s="24" t="s">
        <v>550</v>
      </c>
      <c r="D202" s="24" t="s">
        <v>857</v>
      </c>
      <c r="E202" s="24" t="s">
        <v>443</v>
      </c>
    </row>
    <row r="203" spans="1:5" ht="15" customHeight="1" x14ac:dyDescent="0.3">
      <c r="A203">
        <v>202</v>
      </c>
      <c r="B203" s="24" t="s">
        <v>1262</v>
      </c>
      <c r="C203" s="24" t="s">
        <v>550</v>
      </c>
      <c r="D203" s="24" t="s">
        <v>856</v>
      </c>
      <c r="E203" s="24" t="s">
        <v>443</v>
      </c>
    </row>
    <row r="204" spans="1:5" ht="15" customHeight="1" x14ac:dyDescent="0.3">
      <c r="A204">
        <v>203</v>
      </c>
      <c r="B204" s="24" t="s">
        <v>1263</v>
      </c>
      <c r="C204" s="24" t="s">
        <v>550</v>
      </c>
      <c r="D204" s="24" t="s">
        <v>851</v>
      </c>
      <c r="E204" s="24" t="s">
        <v>444</v>
      </c>
    </row>
    <row r="205" spans="1:5" ht="15" customHeight="1" x14ac:dyDescent="0.3">
      <c r="A205">
        <v>204</v>
      </c>
      <c r="B205" s="24" t="s">
        <v>1264</v>
      </c>
      <c r="C205" s="24" t="s">
        <v>550</v>
      </c>
      <c r="D205" s="24" t="s">
        <v>850</v>
      </c>
      <c r="E205" s="24" t="s">
        <v>444</v>
      </c>
    </row>
    <row r="206" spans="1:5" ht="15" customHeight="1" x14ac:dyDescent="0.3">
      <c r="A206">
        <v>205</v>
      </c>
      <c r="B206" s="24" t="s">
        <v>1265</v>
      </c>
      <c r="C206" s="24" t="s">
        <v>551</v>
      </c>
      <c r="D206" s="24" t="s">
        <v>854</v>
      </c>
      <c r="E206" s="24" t="s">
        <v>443</v>
      </c>
    </row>
    <row r="207" spans="1:5" ht="15" customHeight="1" x14ac:dyDescent="0.3">
      <c r="A207">
        <v>206</v>
      </c>
      <c r="B207" s="24" t="s">
        <v>1266</v>
      </c>
      <c r="C207" s="24" t="s">
        <v>551</v>
      </c>
      <c r="D207" s="24" t="s">
        <v>855</v>
      </c>
      <c r="E207" s="24" t="s">
        <v>443</v>
      </c>
    </row>
    <row r="208" spans="1:5" ht="15" customHeight="1" x14ac:dyDescent="0.3">
      <c r="A208">
        <v>207</v>
      </c>
      <c r="B208" s="24" t="s">
        <v>1267</v>
      </c>
      <c r="C208" s="24" t="s">
        <v>551</v>
      </c>
      <c r="D208" s="24" t="s">
        <v>857</v>
      </c>
      <c r="E208" s="24" t="s">
        <v>443</v>
      </c>
    </row>
    <row r="209" spans="1:5" ht="15" customHeight="1" x14ac:dyDescent="0.3">
      <c r="A209">
        <v>208</v>
      </c>
      <c r="B209" s="24" t="s">
        <v>1268</v>
      </c>
      <c r="C209" s="24" t="s">
        <v>551</v>
      </c>
      <c r="D209" s="24" t="s">
        <v>856</v>
      </c>
      <c r="E209" s="24" t="s">
        <v>443</v>
      </c>
    </row>
    <row r="210" spans="1:5" ht="15" customHeight="1" x14ac:dyDescent="0.3">
      <c r="A210">
        <v>209</v>
      </c>
      <c r="B210" s="24" t="s">
        <v>1269</v>
      </c>
      <c r="C210" s="24" t="s">
        <v>551</v>
      </c>
      <c r="D210" s="24" t="s">
        <v>851</v>
      </c>
      <c r="E210" s="24" t="s">
        <v>444</v>
      </c>
    </row>
    <row r="211" spans="1:5" ht="15" customHeight="1" x14ac:dyDescent="0.3">
      <c r="A211">
        <v>210</v>
      </c>
      <c r="B211" s="24" t="s">
        <v>1270</v>
      </c>
      <c r="C211" s="24" t="s">
        <v>551</v>
      </c>
      <c r="D211" s="24" t="s">
        <v>850</v>
      </c>
      <c r="E211" s="24" t="s">
        <v>444</v>
      </c>
    </row>
    <row r="212" spans="1:5" ht="15" customHeight="1" x14ac:dyDescent="0.3">
      <c r="A212">
        <v>211</v>
      </c>
      <c r="B212" s="24" t="s">
        <v>1271</v>
      </c>
      <c r="C212" s="24" t="s">
        <v>552</v>
      </c>
      <c r="D212" s="24" t="s">
        <v>854</v>
      </c>
      <c r="E212" s="24" t="s">
        <v>443</v>
      </c>
    </row>
    <row r="213" spans="1:5" ht="15" customHeight="1" x14ac:dyDescent="0.3">
      <c r="A213">
        <v>212</v>
      </c>
      <c r="B213" s="24" t="s">
        <v>1272</v>
      </c>
      <c r="C213" s="24" t="s">
        <v>552</v>
      </c>
      <c r="D213" s="24" t="s">
        <v>855</v>
      </c>
      <c r="E213" s="24" t="s">
        <v>443</v>
      </c>
    </row>
    <row r="214" spans="1:5" ht="15" customHeight="1" x14ac:dyDescent="0.3">
      <c r="A214">
        <v>213</v>
      </c>
      <c r="B214" s="24" t="s">
        <v>1273</v>
      </c>
      <c r="C214" s="24" t="s">
        <v>552</v>
      </c>
      <c r="D214" s="24" t="s">
        <v>857</v>
      </c>
      <c r="E214" s="24" t="s">
        <v>443</v>
      </c>
    </row>
    <row r="215" spans="1:5" ht="15" customHeight="1" x14ac:dyDescent="0.3">
      <c r="A215">
        <v>214</v>
      </c>
      <c r="B215" s="24" t="s">
        <v>1274</v>
      </c>
      <c r="C215" s="24" t="s">
        <v>552</v>
      </c>
      <c r="D215" s="24" t="s">
        <v>856</v>
      </c>
      <c r="E215" s="24" t="s">
        <v>443</v>
      </c>
    </row>
    <row r="216" spans="1:5" ht="15" customHeight="1" x14ac:dyDescent="0.3">
      <c r="A216">
        <v>215</v>
      </c>
      <c r="B216" s="24" t="s">
        <v>1275</v>
      </c>
      <c r="C216" s="24" t="s">
        <v>552</v>
      </c>
      <c r="D216" s="24" t="s">
        <v>851</v>
      </c>
      <c r="E216" s="24" t="s">
        <v>444</v>
      </c>
    </row>
    <row r="217" spans="1:5" ht="15" customHeight="1" x14ac:dyDescent="0.3">
      <c r="A217">
        <v>216</v>
      </c>
      <c r="B217" s="24" t="s">
        <v>1276</v>
      </c>
      <c r="C217" s="24" t="s">
        <v>552</v>
      </c>
      <c r="D217" s="24" t="s">
        <v>850</v>
      </c>
      <c r="E217" s="24" t="s">
        <v>444</v>
      </c>
    </row>
    <row r="218" spans="1:5" ht="15" customHeight="1" x14ac:dyDescent="0.3">
      <c r="A218">
        <v>217</v>
      </c>
      <c r="B218" s="24" t="s">
        <v>1277</v>
      </c>
      <c r="C218" s="24" t="s">
        <v>553</v>
      </c>
      <c r="D218" s="24" t="s">
        <v>854</v>
      </c>
      <c r="E218" s="24" t="s">
        <v>443</v>
      </c>
    </row>
    <row r="219" spans="1:5" ht="15" customHeight="1" x14ac:dyDescent="0.3">
      <c r="A219">
        <v>218</v>
      </c>
      <c r="B219" s="24" t="s">
        <v>1278</v>
      </c>
      <c r="C219" s="24" t="s">
        <v>553</v>
      </c>
      <c r="D219" s="24" t="s">
        <v>855</v>
      </c>
      <c r="E219" s="24" t="s">
        <v>443</v>
      </c>
    </row>
    <row r="220" spans="1:5" ht="15" customHeight="1" x14ac:dyDescent="0.3">
      <c r="A220">
        <v>219</v>
      </c>
      <c r="B220" s="24" t="s">
        <v>1279</v>
      </c>
      <c r="C220" s="24" t="s">
        <v>553</v>
      </c>
      <c r="D220" s="24" t="s">
        <v>857</v>
      </c>
      <c r="E220" s="24" t="s">
        <v>443</v>
      </c>
    </row>
    <row r="221" spans="1:5" ht="15" customHeight="1" x14ac:dyDescent="0.3">
      <c r="A221">
        <v>220</v>
      </c>
      <c r="B221" s="24" t="s">
        <v>1280</v>
      </c>
      <c r="C221" s="24" t="s">
        <v>553</v>
      </c>
      <c r="D221" s="24" t="s">
        <v>856</v>
      </c>
      <c r="E221" s="24" t="s">
        <v>443</v>
      </c>
    </row>
    <row r="222" spans="1:5" s="11" customFormat="1" ht="15" customHeight="1" x14ac:dyDescent="0.3">
      <c r="A222">
        <v>221</v>
      </c>
      <c r="B222" s="33" t="s">
        <v>1281</v>
      </c>
      <c r="C222" s="33" t="s">
        <v>553</v>
      </c>
      <c r="D222" s="33" t="s">
        <v>851</v>
      </c>
      <c r="E222" s="33" t="s">
        <v>444</v>
      </c>
    </row>
    <row r="223" spans="1:5" ht="15" customHeight="1" x14ac:dyDescent="0.3">
      <c r="A223">
        <v>222</v>
      </c>
      <c r="B223" s="24" t="s">
        <v>1282</v>
      </c>
      <c r="C223" s="24" t="s">
        <v>553</v>
      </c>
      <c r="D223" s="24" t="s">
        <v>850</v>
      </c>
      <c r="E223" s="24" t="s">
        <v>444</v>
      </c>
    </row>
    <row r="224" spans="1:5" ht="15" customHeight="1" x14ac:dyDescent="0.3">
      <c r="A224">
        <v>223</v>
      </c>
      <c r="B224" s="24" t="s">
        <v>1283</v>
      </c>
      <c r="C224" s="24" t="s">
        <v>554</v>
      </c>
      <c r="D224" s="24" t="s">
        <v>854</v>
      </c>
      <c r="E224" s="24" t="s">
        <v>443</v>
      </c>
    </row>
    <row r="225" spans="1:5" ht="15" customHeight="1" x14ac:dyDescent="0.3">
      <c r="A225">
        <v>224</v>
      </c>
      <c r="B225" s="24" t="s">
        <v>1284</v>
      </c>
      <c r="C225" s="24" t="s">
        <v>554</v>
      </c>
      <c r="D225" s="24" t="s">
        <v>855</v>
      </c>
      <c r="E225" s="24" t="s">
        <v>443</v>
      </c>
    </row>
    <row r="226" spans="1:5" ht="15" customHeight="1" x14ac:dyDescent="0.3">
      <c r="A226">
        <v>225</v>
      </c>
      <c r="B226" s="24" t="s">
        <v>1285</v>
      </c>
      <c r="C226" s="24" t="s">
        <v>554</v>
      </c>
      <c r="D226" s="24" t="s">
        <v>857</v>
      </c>
      <c r="E226" s="24" t="s">
        <v>443</v>
      </c>
    </row>
    <row r="227" spans="1:5" ht="15" customHeight="1" x14ac:dyDescent="0.3">
      <c r="A227">
        <v>226</v>
      </c>
      <c r="B227" s="24" t="s">
        <v>1286</v>
      </c>
      <c r="C227" s="24" t="s">
        <v>554</v>
      </c>
      <c r="D227" s="24" t="s">
        <v>856</v>
      </c>
      <c r="E227" s="24" t="s">
        <v>443</v>
      </c>
    </row>
    <row r="228" spans="1:5" ht="15" customHeight="1" x14ac:dyDescent="0.3">
      <c r="A228">
        <v>227</v>
      </c>
      <c r="B228" s="24" t="s">
        <v>1287</v>
      </c>
      <c r="C228" s="24" t="s">
        <v>554</v>
      </c>
      <c r="D228" s="24" t="s">
        <v>851</v>
      </c>
      <c r="E228" s="24" t="s">
        <v>444</v>
      </c>
    </row>
    <row r="229" spans="1:5" ht="15" customHeight="1" x14ac:dyDescent="0.3">
      <c r="A229">
        <v>228</v>
      </c>
      <c r="B229" s="24" t="s">
        <v>1288</v>
      </c>
      <c r="C229" s="24" t="s">
        <v>554</v>
      </c>
      <c r="D229" s="24" t="s">
        <v>850</v>
      </c>
      <c r="E229" s="24" t="s">
        <v>444</v>
      </c>
    </row>
    <row r="230" spans="1:5" ht="15" customHeight="1" x14ac:dyDescent="0.3">
      <c r="A230">
        <v>229</v>
      </c>
      <c r="B230" s="24" t="s">
        <v>1289</v>
      </c>
      <c r="C230" s="24" t="s">
        <v>555</v>
      </c>
      <c r="D230" s="24" t="s">
        <v>854</v>
      </c>
      <c r="E230" s="24" t="s">
        <v>443</v>
      </c>
    </row>
    <row r="231" spans="1:5" ht="15" customHeight="1" x14ac:dyDescent="0.3">
      <c r="A231">
        <v>230</v>
      </c>
      <c r="B231" s="24" t="s">
        <v>1290</v>
      </c>
      <c r="C231" s="24" t="s">
        <v>555</v>
      </c>
      <c r="D231" s="24" t="s">
        <v>855</v>
      </c>
      <c r="E231" s="24" t="s">
        <v>443</v>
      </c>
    </row>
    <row r="232" spans="1:5" ht="15" customHeight="1" x14ac:dyDescent="0.3">
      <c r="A232">
        <v>231</v>
      </c>
      <c r="B232" s="24" t="s">
        <v>1291</v>
      </c>
      <c r="C232" s="24" t="s">
        <v>555</v>
      </c>
      <c r="D232" s="24" t="s">
        <v>857</v>
      </c>
      <c r="E232" s="24" t="s">
        <v>443</v>
      </c>
    </row>
    <row r="233" spans="1:5" ht="15" customHeight="1" x14ac:dyDescent="0.3">
      <c r="A233">
        <v>232</v>
      </c>
      <c r="B233" s="24" t="s">
        <v>1292</v>
      </c>
      <c r="C233" s="24" t="s">
        <v>555</v>
      </c>
      <c r="D233" s="24" t="s">
        <v>856</v>
      </c>
      <c r="E233" s="24" t="s">
        <v>443</v>
      </c>
    </row>
    <row r="234" spans="1:5" s="11" customFormat="1" ht="15" customHeight="1" x14ac:dyDescent="0.3">
      <c r="A234">
        <v>233</v>
      </c>
      <c r="B234" s="33" t="s">
        <v>1293</v>
      </c>
      <c r="C234" s="33" t="s">
        <v>555</v>
      </c>
      <c r="D234" s="33" t="s">
        <v>851</v>
      </c>
      <c r="E234" s="33" t="s">
        <v>444</v>
      </c>
    </row>
    <row r="235" spans="1:5" s="11" customFormat="1" ht="15" customHeight="1" x14ac:dyDescent="0.3">
      <c r="A235">
        <v>234</v>
      </c>
      <c r="B235" s="33" t="s">
        <v>1294</v>
      </c>
      <c r="C235" s="33" t="s">
        <v>555</v>
      </c>
      <c r="D235" s="33" t="s">
        <v>850</v>
      </c>
      <c r="E235" s="33" t="s">
        <v>444</v>
      </c>
    </row>
    <row r="236" spans="1:5" s="11" customFormat="1" ht="15" customHeight="1" x14ac:dyDescent="0.3">
      <c r="A236">
        <v>235</v>
      </c>
      <c r="B236" s="33" t="s">
        <v>1295</v>
      </c>
      <c r="C236" s="33" t="s">
        <v>556</v>
      </c>
      <c r="D236" s="33" t="s">
        <v>854</v>
      </c>
      <c r="E236" s="33" t="s">
        <v>443</v>
      </c>
    </row>
    <row r="237" spans="1:5" s="11" customFormat="1" ht="15" customHeight="1" x14ac:dyDescent="0.3">
      <c r="A237">
        <v>236</v>
      </c>
      <c r="B237" s="33" t="s">
        <v>1296</v>
      </c>
      <c r="C237" s="33" t="s">
        <v>556</v>
      </c>
      <c r="D237" s="33" t="s">
        <v>855</v>
      </c>
      <c r="E237" s="33" t="s">
        <v>443</v>
      </c>
    </row>
    <row r="238" spans="1:5" s="11" customFormat="1" ht="15" customHeight="1" x14ac:dyDescent="0.3">
      <c r="A238">
        <v>237</v>
      </c>
      <c r="B238" s="33" t="s">
        <v>1297</v>
      </c>
      <c r="C238" s="33" t="s">
        <v>556</v>
      </c>
      <c r="D238" s="33" t="s">
        <v>857</v>
      </c>
      <c r="E238" s="33" t="s">
        <v>443</v>
      </c>
    </row>
    <row r="239" spans="1:5" ht="15" customHeight="1" x14ac:dyDescent="0.3">
      <c r="A239">
        <v>238</v>
      </c>
      <c r="B239" s="24" t="s">
        <v>1298</v>
      </c>
      <c r="C239" s="24" t="s">
        <v>556</v>
      </c>
      <c r="D239" s="24" t="s">
        <v>856</v>
      </c>
      <c r="E239" s="24" t="s">
        <v>443</v>
      </c>
    </row>
    <row r="240" spans="1:5" ht="15" customHeight="1" x14ac:dyDescent="0.3">
      <c r="A240">
        <v>239</v>
      </c>
      <c r="B240" s="24" t="s">
        <v>1299</v>
      </c>
      <c r="C240" s="24" t="s">
        <v>556</v>
      </c>
      <c r="D240" s="24" t="s">
        <v>851</v>
      </c>
      <c r="E240" s="24" t="s">
        <v>444</v>
      </c>
    </row>
    <row r="241" spans="1:5" ht="15" customHeight="1" x14ac:dyDescent="0.3">
      <c r="A241">
        <v>240</v>
      </c>
      <c r="B241" s="24" t="s">
        <v>1300</v>
      </c>
      <c r="C241" s="24" t="s">
        <v>556</v>
      </c>
      <c r="D241" s="24" t="s">
        <v>850</v>
      </c>
      <c r="E241" s="24" t="s">
        <v>444</v>
      </c>
    </row>
    <row r="242" spans="1:5" ht="15" customHeight="1" x14ac:dyDescent="0.3">
      <c r="A242">
        <v>241</v>
      </c>
      <c r="B242" s="24" t="s">
        <v>1301</v>
      </c>
      <c r="C242" s="24" t="s">
        <v>557</v>
      </c>
      <c r="D242" s="24" t="s">
        <v>854</v>
      </c>
      <c r="E242" s="24" t="s">
        <v>443</v>
      </c>
    </row>
    <row r="243" spans="1:5" ht="15" customHeight="1" x14ac:dyDescent="0.3">
      <c r="A243">
        <v>242</v>
      </c>
      <c r="B243" s="24" t="s">
        <v>1302</v>
      </c>
      <c r="C243" s="24" t="s">
        <v>557</v>
      </c>
      <c r="D243" s="24" t="s">
        <v>855</v>
      </c>
      <c r="E243" s="24" t="s">
        <v>443</v>
      </c>
    </row>
    <row r="244" spans="1:5" ht="15" customHeight="1" x14ac:dyDescent="0.3">
      <c r="A244">
        <v>243</v>
      </c>
      <c r="B244" s="24" t="s">
        <v>1303</v>
      </c>
      <c r="C244" s="24" t="s">
        <v>557</v>
      </c>
      <c r="D244" s="24" t="s">
        <v>857</v>
      </c>
      <c r="E244" s="24" t="s">
        <v>443</v>
      </c>
    </row>
    <row r="245" spans="1:5" ht="15" customHeight="1" x14ac:dyDescent="0.3">
      <c r="A245">
        <v>244</v>
      </c>
      <c r="B245" s="24" t="s">
        <v>1304</v>
      </c>
      <c r="C245" s="24" t="s">
        <v>557</v>
      </c>
      <c r="D245" s="24" t="s">
        <v>856</v>
      </c>
      <c r="E245" s="24" t="s">
        <v>443</v>
      </c>
    </row>
    <row r="246" spans="1:5" ht="15" customHeight="1" x14ac:dyDescent="0.3">
      <c r="A246">
        <v>245</v>
      </c>
      <c r="B246" s="24" t="s">
        <v>1305</v>
      </c>
      <c r="C246" s="24" t="s">
        <v>557</v>
      </c>
      <c r="D246" s="24" t="s">
        <v>851</v>
      </c>
      <c r="E246" s="24" t="s">
        <v>444</v>
      </c>
    </row>
    <row r="247" spans="1:5" ht="15" customHeight="1" x14ac:dyDescent="0.3">
      <c r="A247">
        <v>246</v>
      </c>
      <c r="B247" s="24" t="s">
        <v>1306</v>
      </c>
      <c r="C247" s="24" t="s">
        <v>557</v>
      </c>
      <c r="D247" s="24" t="s">
        <v>850</v>
      </c>
      <c r="E247" s="24" t="s">
        <v>444</v>
      </c>
    </row>
    <row r="248" spans="1:5" ht="15" customHeight="1" x14ac:dyDescent="0.3">
      <c r="A248">
        <v>247</v>
      </c>
      <c r="B248" s="24" t="s">
        <v>1307</v>
      </c>
      <c r="C248" s="24" t="s">
        <v>558</v>
      </c>
      <c r="D248" s="24" t="s">
        <v>846</v>
      </c>
      <c r="E248" s="24" t="s">
        <v>497</v>
      </c>
    </row>
    <row r="249" spans="1:5" ht="15" customHeight="1" x14ac:dyDescent="0.3">
      <c r="A249">
        <v>248</v>
      </c>
      <c r="B249" s="24" t="s">
        <v>1308</v>
      </c>
      <c r="C249" s="24" t="s">
        <v>558</v>
      </c>
      <c r="D249" s="24" t="s">
        <v>847</v>
      </c>
      <c r="E249" s="24" t="s">
        <v>443</v>
      </c>
    </row>
    <row r="250" spans="1:5" ht="15" customHeight="1" x14ac:dyDescent="0.3">
      <c r="A250">
        <v>249</v>
      </c>
      <c r="B250" s="24" t="s">
        <v>1309</v>
      </c>
      <c r="C250" s="24" t="s">
        <v>558</v>
      </c>
      <c r="D250" s="24" t="s">
        <v>848</v>
      </c>
      <c r="E250" s="24" t="s">
        <v>443</v>
      </c>
    </row>
    <row r="251" spans="1:5" s="11" customFormat="1" ht="15" customHeight="1" x14ac:dyDescent="0.3">
      <c r="A251">
        <v>250</v>
      </c>
      <c r="B251" s="33" t="s">
        <v>1310</v>
      </c>
      <c r="C251" s="33" t="s">
        <v>558</v>
      </c>
      <c r="D251" s="33" t="s">
        <v>849</v>
      </c>
      <c r="E251" s="33" t="s">
        <v>443</v>
      </c>
    </row>
    <row r="252" spans="1:5" s="30" customFormat="1" ht="15" customHeight="1" x14ac:dyDescent="0.3">
      <c r="A252">
        <v>251</v>
      </c>
      <c r="B252" s="33" t="s">
        <v>1311</v>
      </c>
      <c r="C252" s="33" t="s">
        <v>558</v>
      </c>
      <c r="D252" s="33" t="s">
        <v>851</v>
      </c>
      <c r="E252" s="33" t="s">
        <v>444</v>
      </c>
    </row>
    <row r="253" spans="1:5" s="30" customFormat="1" ht="15" customHeight="1" x14ac:dyDescent="0.3">
      <c r="A253">
        <v>252</v>
      </c>
      <c r="B253" s="33" t="s">
        <v>1312</v>
      </c>
      <c r="C253" s="33" t="s">
        <v>558</v>
      </c>
      <c r="D253" s="33" t="s">
        <v>850</v>
      </c>
      <c r="E253" s="33" t="s">
        <v>444</v>
      </c>
    </row>
    <row r="254" spans="1:5" s="30" customFormat="1" ht="15" customHeight="1" x14ac:dyDescent="0.3">
      <c r="A254">
        <v>253</v>
      </c>
      <c r="B254" s="33" t="s">
        <v>1313</v>
      </c>
      <c r="C254" s="33" t="s">
        <v>559</v>
      </c>
      <c r="D254" s="33" t="s">
        <v>846</v>
      </c>
      <c r="E254" s="33" t="s">
        <v>497</v>
      </c>
    </row>
    <row r="255" spans="1:5" ht="15" customHeight="1" x14ac:dyDescent="0.3">
      <c r="A255">
        <v>254</v>
      </c>
      <c r="B255" s="33" t="s">
        <v>1314</v>
      </c>
      <c r="C255" s="24" t="s">
        <v>559</v>
      </c>
      <c r="D255" s="24" t="s">
        <v>847</v>
      </c>
      <c r="E255" s="24" t="s">
        <v>443</v>
      </c>
    </row>
    <row r="256" spans="1:5" ht="15" customHeight="1" x14ac:dyDescent="0.3">
      <c r="A256">
        <v>255</v>
      </c>
      <c r="B256" s="24" t="s">
        <v>1315</v>
      </c>
      <c r="C256" s="24" t="s">
        <v>559</v>
      </c>
      <c r="D256" s="24" t="s">
        <v>848</v>
      </c>
      <c r="E256" s="24" t="s">
        <v>443</v>
      </c>
    </row>
    <row r="257" spans="1:5" ht="15" customHeight="1" x14ac:dyDescent="0.3">
      <c r="A257">
        <v>256</v>
      </c>
      <c r="B257" s="24" t="s">
        <v>1316</v>
      </c>
      <c r="C257" s="24" t="s">
        <v>559</v>
      </c>
      <c r="D257" s="24" t="s">
        <v>849</v>
      </c>
      <c r="E257" s="24" t="s">
        <v>443</v>
      </c>
    </row>
    <row r="258" spans="1:5" ht="15" customHeight="1" x14ac:dyDescent="0.3">
      <c r="A258">
        <v>257</v>
      </c>
      <c r="B258" s="24" t="s">
        <v>1317</v>
      </c>
      <c r="C258" s="24" t="s">
        <v>559</v>
      </c>
      <c r="D258" s="24" t="s">
        <v>851</v>
      </c>
      <c r="E258" s="24" t="s">
        <v>444</v>
      </c>
    </row>
    <row r="259" spans="1:5" ht="15" customHeight="1" x14ac:dyDescent="0.3">
      <c r="A259">
        <v>258</v>
      </c>
      <c r="B259" s="24" t="s">
        <v>1318</v>
      </c>
      <c r="C259" s="24" t="s">
        <v>559</v>
      </c>
      <c r="D259" s="24" t="s">
        <v>850</v>
      </c>
      <c r="E259" s="24" t="s">
        <v>444</v>
      </c>
    </row>
    <row r="260" spans="1:5" ht="15" customHeight="1" x14ac:dyDescent="0.3">
      <c r="A260">
        <v>259</v>
      </c>
      <c r="B260" s="24" t="s">
        <v>1319</v>
      </c>
      <c r="C260" s="24" t="s">
        <v>560</v>
      </c>
      <c r="D260" s="24" t="s">
        <v>846</v>
      </c>
      <c r="E260" s="24" t="s">
        <v>497</v>
      </c>
    </row>
    <row r="261" spans="1:5" ht="15" customHeight="1" x14ac:dyDescent="0.3">
      <c r="A261">
        <v>260</v>
      </c>
      <c r="B261" s="24" t="s">
        <v>1320</v>
      </c>
      <c r="C261" s="24" t="s">
        <v>560</v>
      </c>
      <c r="D261" s="24" t="s">
        <v>847</v>
      </c>
      <c r="E261" s="24" t="s">
        <v>443</v>
      </c>
    </row>
    <row r="262" spans="1:5" ht="15" customHeight="1" x14ac:dyDescent="0.3">
      <c r="A262">
        <v>261</v>
      </c>
      <c r="B262" s="24" t="s">
        <v>1321</v>
      </c>
      <c r="C262" s="24" t="s">
        <v>560</v>
      </c>
      <c r="D262" s="24" t="s">
        <v>848</v>
      </c>
      <c r="E262" s="24" t="s">
        <v>443</v>
      </c>
    </row>
    <row r="263" spans="1:5" ht="15" customHeight="1" x14ac:dyDescent="0.3">
      <c r="A263">
        <v>262</v>
      </c>
      <c r="B263" s="24" t="s">
        <v>1322</v>
      </c>
      <c r="C263" s="24" t="s">
        <v>560</v>
      </c>
      <c r="D263" s="24" t="s">
        <v>849</v>
      </c>
      <c r="E263" s="24" t="s">
        <v>443</v>
      </c>
    </row>
    <row r="264" spans="1:5" x14ac:dyDescent="0.3">
      <c r="A264">
        <v>263</v>
      </c>
      <c r="B264" s="24" t="s">
        <v>1323</v>
      </c>
      <c r="C264" s="24" t="s">
        <v>560</v>
      </c>
      <c r="D264" s="24" t="s">
        <v>851</v>
      </c>
      <c r="E264" s="24" t="s">
        <v>444</v>
      </c>
    </row>
    <row r="265" spans="1:5" x14ac:dyDescent="0.3">
      <c r="A265">
        <v>264</v>
      </c>
      <c r="B265" s="24" t="s">
        <v>1324</v>
      </c>
      <c r="C265" s="24" t="s">
        <v>560</v>
      </c>
      <c r="D265" s="24" t="s">
        <v>850</v>
      </c>
      <c r="E265" s="24" t="s">
        <v>444</v>
      </c>
    </row>
    <row r="266" spans="1:5" x14ac:dyDescent="0.3">
      <c r="A266">
        <v>265</v>
      </c>
      <c r="B266" s="24" t="s">
        <v>1325</v>
      </c>
      <c r="C266" s="24" t="s">
        <v>561</v>
      </c>
      <c r="D266" s="24" t="s">
        <v>846</v>
      </c>
      <c r="E266" s="24" t="s">
        <v>497</v>
      </c>
    </row>
    <row r="267" spans="1:5" x14ac:dyDescent="0.3">
      <c r="A267">
        <v>266</v>
      </c>
      <c r="B267" s="24" t="s">
        <v>1326</v>
      </c>
      <c r="C267" s="24" t="s">
        <v>561</v>
      </c>
      <c r="D267" s="24" t="s">
        <v>847</v>
      </c>
      <c r="E267" s="24" t="s">
        <v>443</v>
      </c>
    </row>
    <row r="268" spans="1:5" x14ac:dyDescent="0.3">
      <c r="A268">
        <v>267</v>
      </c>
      <c r="B268" s="24" t="s">
        <v>1327</v>
      </c>
      <c r="C268" s="24" t="s">
        <v>561</v>
      </c>
      <c r="D268" s="24" t="s">
        <v>848</v>
      </c>
      <c r="E268" s="24" t="s">
        <v>443</v>
      </c>
    </row>
    <row r="269" spans="1:5" x14ac:dyDescent="0.3">
      <c r="A269">
        <v>268</v>
      </c>
      <c r="B269" s="24" t="s">
        <v>1328</v>
      </c>
      <c r="C269" s="24" t="s">
        <v>561</v>
      </c>
      <c r="D269" s="24" t="s">
        <v>849</v>
      </c>
      <c r="E269" s="24" t="s">
        <v>443</v>
      </c>
    </row>
    <row r="270" spans="1:5" x14ac:dyDescent="0.3">
      <c r="A270">
        <v>269</v>
      </c>
      <c r="B270" s="24" t="s">
        <v>1329</v>
      </c>
      <c r="C270" s="24" t="s">
        <v>561</v>
      </c>
      <c r="D270" s="24" t="s">
        <v>851</v>
      </c>
      <c r="E270" s="24" t="s">
        <v>444</v>
      </c>
    </row>
    <row r="271" spans="1:5" s="28" customFormat="1" x14ac:dyDescent="0.3">
      <c r="A271">
        <v>270</v>
      </c>
      <c r="B271" s="24" t="s">
        <v>1330</v>
      </c>
      <c r="C271" s="24" t="s">
        <v>561</v>
      </c>
      <c r="D271" s="24" t="s">
        <v>850</v>
      </c>
      <c r="E271" s="24" t="s">
        <v>444</v>
      </c>
    </row>
    <row r="272" spans="1:5" x14ac:dyDescent="0.3">
      <c r="A272">
        <v>271</v>
      </c>
      <c r="B272" s="24" t="s">
        <v>1331</v>
      </c>
      <c r="C272" s="24" t="s">
        <v>562</v>
      </c>
      <c r="D272" s="24" t="s">
        <v>846</v>
      </c>
      <c r="E272" s="24" t="s">
        <v>497</v>
      </c>
    </row>
    <row r="273" spans="1:5" x14ac:dyDescent="0.3">
      <c r="A273">
        <v>272</v>
      </c>
      <c r="B273" s="24" t="s">
        <v>1332</v>
      </c>
      <c r="C273" s="24" t="s">
        <v>562</v>
      </c>
      <c r="D273" s="24" t="s">
        <v>847</v>
      </c>
      <c r="E273" s="24" t="s">
        <v>443</v>
      </c>
    </row>
    <row r="274" spans="1:5" x14ac:dyDescent="0.3">
      <c r="A274">
        <v>273</v>
      </c>
      <c r="B274" s="24" t="s">
        <v>1333</v>
      </c>
      <c r="C274" s="24" t="s">
        <v>562</v>
      </c>
      <c r="D274" s="24" t="s">
        <v>848</v>
      </c>
      <c r="E274" s="24" t="s">
        <v>443</v>
      </c>
    </row>
    <row r="275" spans="1:5" x14ac:dyDescent="0.3">
      <c r="A275">
        <v>274</v>
      </c>
      <c r="B275" s="24" t="s">
        <v>1334</v>
      </c>
      <c r="C275" s="24" t="s">
        <v>562</v>
      </c>
      <c r="D275" s="24" t="s">
        <v>849</v>
      </c>
      <c r="E275" s="24" t="s">
        <v>443</v>
      </c>
    </row>
    <row r="276" spans="1:5" x14ac:dyDescent="0.3">
      <c r="A276">
        <v>275</v>
      </c>
      <c r="B276" s="24" t="s">
        <v>1335</v>
      </c>
      <c r="C276" s="24" t="s">
        <v>562</v>
      </c>
      <c r="D276" s="24" t="s">
        <v>851</v>
      </c>
      <c r="E276" s="24" t="s">
        <v>444</v>
      </c>
    </row>
    <row r="277" spans="1:5" x14ac:dyDescent="0.3">
      <c r="A277">
        <v>276</v>
      </c>
      <c r="B277" s="24" t="s">
        <v>1336</v>
      </c>
      <c r="C277" s="24" t="s">
        <v>562</v>
      </c>
      <c r="D277" s="24" t="s">
        <v>850</v>
      </c>
      <c r="E277" s="24" t="s">
        <v>444</v>
      </c>
    </row>
    <row r="278" spans="1:5" x14ac:dyDescent="0.3">
      <c r="A278">
        <v>277</v>
      </c>
      <c r="B278" s="24" t="s">
        <v>1337</v>
      </c>
      <c r="C278" s="24" t="s">
        <v>563</v>
      </c>
      <c r="D278" s="24" t="s">
        <v>846</v>
      </c>
      <c r="E278" s="24" t="s">
        <v>497</v>
      </c>
    </row>
    <row r="279" spans="1:5" x14ac:dyDescent="0.3">
      <c r="A279">
        <v>278</v>
      </c>
      <c r="B279" s="24" t="s">
        <v>1338</v>
      </c>
      <c r="C279" s="24" t="s">
        <v>563</v>
      </c>
      <c r="D279" s="24" t="s">
        <v>847</v>
      </c>
      <c r="E279" s="24" t="s">
        <v>443</v>
      </c>
    </row>
    <row r="280" spans="1:5" x14ac:dyDescent="0.3">
      <c r="A280">
        <v>279</v>
      </c>
      <c r="B280" s="24" t="s">
        <v>1339</v>
      </c>
      <c r="C280" s="24" t="s">
        <v>563</v>
      </c>
      <c r="D280" s="24" t="s">
        <v>848</v>
      </c>
      <c r="E280" s="24" t="s">
        <v>443</v>
      </c>
    </row>
    <row r="281" spans="1:5" x14ac:dyDescent="0.3">
      <c r="A281">
        <v>280</v>
      </c>
      <c r="B281" s="24" t="s">
        <v>1340</v>
      </c>
      <c r="C281" s="24" t="s">
        <v>563</v>
      </c>
      <c r="D281" s="24" t="s">
        <v>849</v>
      </c>
      <c r="E281" s="24" t="s">
        <v>443</v>
      </c>
    </row>
    <row r="282" spans="1:5" x14ac:dyDescent="0.3">
      <c r="A282">
        <v>281</v>
      </c>
      <c r="B282" s="24" t="s">
        <v>1341</v>
      </c>
      <c r="C282" s="24" t="s">
        <v>563</v>
      </c>
      <c r="D282" s="24" t="s">
        <v>851</v>
      </c>
      <c r="E282" s="24" t="s">
        <v>444</v>
      </c>
    </row>
    <row r="283" spans="1:5" x14ac:dyDescent="0.3">
      <c r="A283">
        <v>282</v>
      </c>
      <c r="B283" s="24" t="s">
        <v>1342</v>
      </c>
      <c r="C283" s="24" t="s">
        <v>563</v>
      </c>
      <c r="D283" s="24" t="s">
        <v>850</v>
      </c>
      <c r="E283" s="24" t="s">
        <v>444</v>
      </c>
    </row>
    <row r="284" spans="1:5" x14ac:dyDescent="0.3">
      <c r="A284">
        <v>283</v>
      </c>
      <c r="B284" s="24" t="s">
        <v>1343</v>
      </c>
      <c r="C284" s="24" t="s">
        <v>564</v>
      </c>
      <c r="D284" s="24" t="s">
        <v>846</v>
      </c>
      <c r="E284" s="24" t="s">
        <v>497</v>
      </c>
    </row>
    <row r="285" spans="1:5" x14ac:dyDescent="0.3">
      <c r="A285">
        <v>284</v>
      </c>
      <c r="B285" s="24" t="s">
        <v>1344</v>
      </c>
      <c r="C285" s="24" t="s">
        <v>564</v>
      </c>
      <c r="D285" s="24" t="s">
        <v>847</v>
      </c>
      <c r="E285" s="24" t="s">
        <v>443</v>
      </c>
    </row>
    <row r="286" spans="1:5" x14ac:dyDescent="0.3">
      <c r="A286">
        <v>285</v>
      </c>
      <c r="B286" s="24" t="s">
        <v>1345</v>
      </c>
      <c r="C286" s="24" t="s">
        <v>564</v>
      </c>
      <c r="D286" s="24" t="s">
        <v>848</v>
      </c>
      <c r="E286" s="24" t="s">
        <v>443</v>
      </c>
    </row>
    <row r="287" spans="1:5" x14ac:dyDescent="0.3">
      <c r="A287">
        <v>286</v>
      </c>
      <c r="B287" s="24" t="s">
        <v>1346</v>
      </c>
      <c r="C287" s="24" t="s">
        <v>564</v>
      </c>
      <c r="D287" s="24" t="s">
        <v>849</v>
      </c>
      <c r="E287" s="24" t="s">
        <v>443</v>
      </c>
    </row>
    <row r="288" spans="1:5" x14ac:dyDescent="0.3">
      <c r="A288">
        <v>287</v>
      </c>
      <c r="B288" s="24" t="s">
        <v>1347</v>
      </c>
      <c r="C288" s="24" t="s">
        <v>564</v>
      </c>
      <c r="D288" s="24" t="s">
        <v>852</v>
      </c>
      <c r="E288" s="24" t="s">
        <v>443</v>
      </c>
    </row>
    <row r="289" spans="1:5" x14ac:dyDescent="0.3">
      <c r="A289">
        <v>288</v>
      </c>
      <c r="B289" s="24" t="s">
        <v>1348</v>
      </c>
      <c r="C289" s="24" t="s">
        <v>564</v>
      </c>
      <c r="D289" s="24" t="s">
        <v>853</v>
      </c>
      <c r="E289" s="24" t="s">
        <v>443</v>
      </c>
    </row>
    <row r="290" spans="1:5" x14ac:dyDescent="0.3">
      <c r="A290">
        <v>289</v>
      </c>
      <c r="B290" s="24" t="s">
        <v>1349</v>
      </c>
      <c r="C290" s="24" t="s">
        <v>564</v>
      </c>
      <c r="D290" s="24" t="s">
        <v>851</v>
      </c>
      <c r="E290" s="24" t="s">
        <v>444</v>
      </c>
    </row>
    <row r="291" spans="1:5" x14ac:dyDescent="0.3">
      <c r="A291">
        <v>290</v>
      </c>
      <c r="B291" s="24" t="s">
        <v>1350</v>
      </c>
      <c r="C291" s="24" t="s">
        <v>564</v>
      </c>
      <c r="D291" s="24" t="s">
        <v>850</v>
      </c>
      <c r="E291" s="24" t="s">
        <v>444</v>
      </c>
    </row>
    <row r="292" spans="1:5" x14ac:dyDescent="0.3">
      <c r="A292">
        <v>291</v>
      </c>
      <c r="B292" s="24" t="s">
        <v>1029</v>
      </c>
      <c r="C292" s="24" t="s">
        <v>520</v>
      </c>
      <c r="D292" s="24" t="s">
        <v>846</v>
      </c>
      <c r="E292" s="24" t="s">
        <v>497</v>
      </c>
    </row>
    <row r="293" spans="1:5" x14ac:dyDescent="0.3">
      <c r="A293">
        <v>292</v>
      </c>
      <c r="B293" s="24" t="s">
        <v>1030</v>
      </c>
      <c r="C293" s="24" t="s">
        <v>520</v>
      </c>
      <c r="D293" s="24" t="s">
        <v>847</v>
      </c>
      <c r="E293" s="24" t="s">
        <v>443</v>
      </c>
    </row>
    <row r="294" spans="1:5" x14ac:dyDescent="0.3">
      <c r="A294">
        <v>293</v>
      </c>
      <c r="B294" s="24" t="s">
        <v>1031</v>
      </c>
      <c r="C294" s="24" t="s">
        <v>520</v>
      </c>
      <c r="D294" s="24" t="s">
        <v>848</v>
      </c>
      <c r="E294" s="24" t="s">
        <v>443</v>
      </c>
    </row>
    <row r="295" spans="1:5" x14ac:dyDescent="0.3">
      <c r="A295">
        <v>294</v>
      </c>
      <c r="B295" s="24" t="s">
        <v>1032</v>
      </c>
      <c r="C295" s="24" t="s">
        <v>520</v>
      </c>
      <c r="D295" s="24" t="s">
        <v>849</v>
      </c>
      <c r="E295" s="24" t="s">
        <v>443</v>
      </c>
    </row>
    <row r="296" spans="1:5" x14ac:dyDescent="0.3">
      <c r="A296">
        <v>295</v>
      </c>
      <c r="B296" s="24" t="s">
        <v>1033</v>
      </c>
      <c r="C296" s="24" t="s">
        <v>520</v>
      </c>
      <c r="D296" s="24" t="s">
        <v>852</v>
      </c>
      <c r="E296" s="24" t="s">
        <v>443</v>
      </c>
    </row>
    <row r="297" spans="1:5" x14ac:dyDescent="0.3">
      <c r="A297">
        <v>296</v>
      </c>
      <c r="B297" s="24" t="s">
        <v>1034</v>
      </c>
      <c r="C297" s="24" t="s">
        <v>520</v>
      </c>
      <c r="D297" s="24" t="s">
        <v>853</v>
      </c>
      <c r="E297" s="24" t="s">
        <v>443</v>
      </c>
    </row>
    <row r="298" spans="1:5" x14ac:dyDescent="0.3">
      <c r="A298">
        <v>297</v>
      </c>
      <c r="B298" s="24" t="s">
        <v>1035</v>
      </c>
      <c r="C298" s="24" t="s">
        <v>520</v>
      </c>
      <c r="D298" s="24" t="s">
        <v>851</v>
      </c>
      <c r="E298" s="24" t="s">
        <v>444</v>
      </c>
    </row>
    <row r="299" spans="1:5" x14ac:dyDescent="0.3">
      <c r="A299">
        <v>298</v>
      </c>
      <c r="B299" s="24" t="s">
        <v>1036</v>
      </c>
      <c r="C299" s="24" t="s">
        <v>520</v>
      </c>
      <c r="D299" s="24" t="s">
        <v>850</v>
      </c>
      <c r="E299" s="24" t="s">
        <v>444</v>
      </c>
    </row>
    <row r="300" spans="1:5" x14ac:dyDescent="0.3">
      <c r="A300">
        <v>299</v>
      </c>
      <c r="B300" s="24" t="s">
        <v>1037</v>
      </c>
      <c r="C300" s="24" t="s">
        <v>521</v>
      </c>
      <c r="D300" s="24" t="s">
        <v>846</v>
      </c>
      <c r="E300" s="24" t="s">
        <v>497</v>
      </c>
    </row>
    <row r="301" spans="1:5" x14ac:dyDescent="0.3">
      <c r="A301">
        <v>300</v>
      </c>
      <c r="B301" s="24" t="s">
        <v>1038</v>
      </c>
      <c r="C301" s="24" t="s">
        <v>521</v>
      </c>
      <c r="D301" s="24" t="s">
        <v>847</v>
      </c>
      <c r="E301" s="24" t="s">
        <v>443</v>
      </c>
    </row>
    <row r="302" spans="1:5" x14ac:dyDescent="0.3">
      <c r="A302">
        <v>301</v>
      </c>
      <c r="B302" s="24" t="s">
        <v>1039</v>
      </c>
      <c r="C302" s="24" t="s">
        <v>521</v>
      </c>
      <c r="D302" s="24" t="s">
        <v>848</v>
      </c>
      <c r="E302" s="24" t="s">
        <v>443</v>
      </c>
    </row>
    <row r="303" spans="1:5" x14ac:dyDescent="0.3">
      <c r="A303">
        <v>302</v>
      </c>
      <c r="B303" s="24" t="s">
        <v>1040</v>
      </c>
      <c r="C303" s="24" t="s">
        <v>521</v>
      </c>
      <c r="D303" s="24" t="s">
        <v>849</v>
      </c>
      <c r="E303" s="24" t="s">
        <v>443</v>
      </c>
    </row>
    <row r="304" spans="1:5" x14ac:dyDescent="0.3">
      <c r="A304">
        <v>303</v>
      </c>
      <c r="B304" s="24" t="s">
        <v>1041</v>
      </c>
      <c r="C304" s="24" t="s">
        <v>521</v>
      </c>
      <c r="D304" s="24" t="s">
        <v>852</v>
      </c>
      <c r="E304" s="24" t="s">
        <v>443</v>
      </c>
    </row>
    <row r="305" spans="1:5" x14ac:dyDescent="0.3">
      <c r="A305">
        <v>304</v>
      </c>
      <c r="B305" s="24" t="s">
        <v>1042</v>
      </c>
      <c r="C305" s="24" t="s">
        <v>521</v>
      </c>
      <c r="D305" s="24" t="s">
        <v>853</v>
      </c>
      <c r="E305" s="24" t="s">
        <v>443</v>
      </c>
    </row>
    <row r="306" spans="1:5" x14ac:dyDescent="0.3">
      <c r="A306">
        <v>305</v>
      </c>
      <c r="B306" s="24" t="s">
        <v>1043</v>
      </c>
      <c r="C306" s="24" t="s">
        <v>521</v>
      </c>
      <c r="D306" s="24" t="s">
        <v>851</v>
      </c>
      <c r="E306" s="24" t="s">
        <v>444</v>
      </c>
    </row>
    <row r="307" spans="1:5" x14ac:dyDescent="0.3">
      <c r="A307">
        <v>306</v>
      </c>
      <c r="B307" s="24" t="s">
        <v>1044</v>
      </c>
      <c r="C307" s="24" t="s">
        <v>521</v>
      </c>
      <c r="D307" s="24" t="s">
        <v>850</v>
      </c>
      <c r="E307" s="24" t="s">
        <v>444</v>
      </c>
    </row>
    <row r="308" spans="1:5" x14ac:dyDescent="0.3">
      <c r="A308">
        <v>307</v>
      </c>
      <c r="B308" s="24" t="s">
        <v>1045</v>
      </c>
      <c r="C308" s="24" t="s">
        <v>522</v>
      </c>
      <c r="D308" s="24" t="s">
        <v>846</v>
      </c>
      <c r="E308" s="24" t="s">
        <v>497</v>
      </c>
    </row>
    <row r="309" spans="1:5" x14ac:dyDescent="0.3">
      <c r="A309">
        <v>308</v>
      </c>
      <c r="B309" s="24" t="s">
        <v>1046</v>
      </c>
      <c r="C309" s="24" t="s">
        <v>522</v>
      </c>
      <c r="D309" s="24" t="s">
        <v>847</v>
      </c>
      <c r="E309" s="24" t="s">
        <v>443</v>
      </c>
    </row>
    <row r="310" spans="1:5" x14ac:dyDescent="0.3">
      <c r="A310">
        <v>309</v>
      </c>
      <c r="B310" s="24" t="s">
        <v>1047</v>
      </c>
      <c r="C310" s="24" t="s">
        <v>522</v>
      </c>
      <c r="D310" s="24" t="s">
        <v>848</v>
      </c>
      <c r="E310" s="24" t="s">
        <v>443</v>
      </c>
    </row>
    <row r="311" spans="1:5" x14ac:dyDescent="0.3">
      <c r="A311">
        <v>310</v>
      </c>
      <c r="B311" s="24" t="s">
        <v>1048</v>
      </c>
      <c r="C311" s="24" t="s">
        <v>522</v>
      </c>
      <c r="D311" s="24" t="s">
        <v>849</v>
      </c>
      <c r="E311" s="24" t="s">
        <v>443</v>
      </c>
    </row>
    <row r="312" spans="1:5" x14ac:dyDescent="0.3">
      <c r="A312">
        <v>311</v>
      </c>
      <c r="B312" s="24" t="s">
        <v>1049</v>
      </c>
      <c r="C312" s="24" t="s">
        <v>522</v>
      </c>
      <c r="D312" s="24" t="s">
        <v>852</v>
      </c>
      <c r="E312" s="24" t="s">
        <v>443</v>
      </c>
    </row>
    <row r="313" spans="1:5" x14ac:dyDescent="0.3">
      <c r="A313">
        <v>312</v>
      </c>
      <c r="B313" s="24" t="s">
        <v>1050</v>
      </c>
      <c r="C313" s="24" t="s">
        <v>522</v>
      </c>
      <c r="D313" s="24" t="s">
        <v>853</v>
      </c>
      <c r="E313" s="24" t="s">
        <v>443</v>
      </c>
    </row>
    <row r="314" spans="1:5" x14ac:dyDescent="0.3">
      <c r="A314">
        <v>313</v>
      </c>
      <c r="B314" s="24" t="s">
        <v>1051</v>
      </c>
      <c r="C314" s="24" t="s">
        <v>522</v>
      </c>
      <c r="D314" s="24" t="s">
        <v>851</v>
      </c>
      <c r="E314" s="24" t="s">
        <v>444</v>
      </c>
    </row>
    <row r="315" spans="1:5" x14ac:dyDescent="0.3">
      <c r="A315">
        <v>314</v>
      </c>
      <c r="B315" s="24" t="s">
        <v>1052</v>
      </c>
      <c r="C315" s="24" t="s">
        <v>522</v>
      </c>
      <c r="D315" s="24" t="s">
        <v>850</v>
      </c>
      <c r="E315" s="24" t="s">
        <v>444</v>
      </c>
    </row>
    <row r="316" spans="1:5" x14ac:dyDescent="0.3">
      <c r="A316">
        <v>315</v>
      </c>
      <c r="B316" s="24" t="s">
        <v>1053</v>
      </c>
      <c r="C316" s="24" t="s">
        <v>523</v>
      </c>
      <c r="D316" s="24" t="s">
        <v>846</v>
      </c>
      <c r="E316" s="24" t="s">
        <v>497</v>
      </c>
    </row>
    <row r="317" spans="1:5" x14ac:dyDescent="0.3">
      <c r="A317">
        <v>316</v>
      </c>
      <c r="B317" s="24" t="s">
        <v>1054</v>
      </c>
      <c r="C317" s="24" t="s">
        <v>523</v>
      </c>
      <c r="D317" s="24" t="s">
        <v>847</v>
      </c>
      <c r="E317" s="24" t="s">
        <v>443</v>
      </c>
    </row>
    <row r="318" spans="1:5" x14ac:dyDescent="0.3">
      <c r="A318">
        <v>317</v>
      </c>
      <c r="B318" s="24" t="s">
        <v>1055</v>
      </c>
      <c r="C318" s="24" t="s">
        <v>523</v>
      </c>
      <c r="D318" s="24" t="s">
        <v>848</v>
      </c>
      <c r="E318" s="24" t="s">
        <v>443</v>
      </c>
    </row>
    <row r="319" spans="1:5" x14ac:dyDescent="0.3">
      <c r="A319">
        <v>318</v>
      </c>
      <c r="B319" s="24" t="s">
        <v>1056</v>
      </c>
      <c r="C319" s="24" t="s">
        <v>523</v>
      </c>
      <c r="D319" s="24" t="s">
        <v>849</v>
      </c>
      <c r="E319" s="24" t="s">
        <v>443</v>
      </c>
    </row>
    <row r="320" spans="1:5" x14ac:dyDescent="0.3">
      <c r="A320">
        <v>319</v>
      </c>
      <c r="B320" s="24" t="s">
        <v>1057</v>
      </c>
      <c r="C320" s="24" t="s">
        <v>523</v>
      </c>
      <c r="D320" s="24" t="s">
        <v>852</v>
      </c>
      <c r="E320" s="24" t="s">
        <v>443</v>
      </c>
    </row>
    <row r="321" spans="1:5" x14ac:dyDescent="0.3">
      <c r="A321">
        <v>320</v>
      </c>
      <c r="B321" s="24" t="s">
        <v>1058</v>
      </c>
      <c r="C321" s="24" t="s">
        <v>523</v>
      </c>
      <c r="D321" s="24" t="s">
        <v>853</v>
      </c>
      <c r="E321" s="24" t="s">
        <v>443</v>
      </c>
    </row>
    <row r="322" spans="1:5" x14ac:dyDescent="0.3">
      <c r="A322">
        <v>321</v>
      </c>
      <c r="B322" s="24" t="s">
        <v>1059</v>
      </c>
      <c r="C322" s="24" t="s">
        <v>523</v>
      </c>
      <c r="D322" s="24" t="s">
        <v>851</v>
      </c>
      <c r="E322" s="24" t="s">
        <v>444</v>
      </c>
    </row>
    <row r="323" spans="1:5" x14ac:dyDescent="0.3">
      <c r="A323">
        <v>322</v>
      </c>
      <c r="B323" s="24" t="s">
        <v>1060</v>
      </c>
      <c r="C323" s="24" t="s">
        <v>523</v>
      </c>
      <c r="D323" s="24" t="s">
        <v>850</v>
      </c>
      <c r="E323" s="24" t="s">
        <v>444</v>
      </c>
    </row>
    <row r="324" spans="1:5" x14ac:dyDescent="0.3">
      <c r="A324">
        <v>323</v>
      </c>
      <c r="B324" s="24" t="s">
        <v>1351</v>
      </c>
      <c r="C324" s="24" t="s">
        <v>755</v>
      </c>
      <c r="D324" s="24" t="s">
        <v>846</v>
      </c>
      <c r="E324" s="24" t="s">
        <v>497</v>
      </c>
    </row>
    <row r="325" spans="1:5" x14ac:dyDescent="0.3">
      <c r="A325">
        <v>324</v>
      </c>
      <c r="B325" s="24" t="s">
        <v>1352</v>
      </c>
      <c r="C325" s="24" t="s">
        <v>755</v>
      </c>
      <c r="D325" s="24" t="s">
        <v>847</v>
      </c>
      <c r="E325" s="24" t="s">
        <v>443</v>
      </c>
    </row>
    <row r="326" spans="1:5" x14ac:dyDescent="0.3">
      <c r="A326">
        <v>325</v>
      </c>
      <c r="B326" s="24" t="s">
        <v>1353</v>
      </c>
      <c r="C326" s="24" t="s">
        <v>755</v>
      </c>
      <c r="D326" s="24" t="s">
        <v>848</v>
      </c>
      <c r="E326" s="24" t="s">
        <v>443</v>
      </c>
    </row>
    <row r="327" spans="1:5" x14ac:dyDescent="0.3">
      <c r="A327">
        <v>326</v>
      </c>
      <c r="B327" s="24" t="s">
        <v>1354</v>
      </c>
      <c r="C327" s="24" t="s">
        <v>755</v>
      </c>
      <c r="D327" s="24" t="s">
        <v>849</v>
      </c>
      <c r="E327" s="24" t="s">
        <v>443</v>
      </c>
    </row>
    <row r="328" spans="1:5" x14ac:dyDescent="0.3">
      <c r="A328">
        <v>327</v>
      </c>
      <c r="B328" s="24" t="s">
        <v>1355</v>
      </c>
      <c r="C328" s="24" t="s">
        <v>755</v>
      </c>
      <c r="D328" s="24" t="s">
        <v>851</v>
      </c>
      <c r="E328" s="24" t="s">
        <v>444</v>
      </c>
    </row>
    <row r="329" spans="1:5" x14ac:dyDescent="0.3">
      <c r="A329">
        <v>328</v>
      </c>
      <c r="B329" s="24" t="s">
        <v>1356</v>
      </c>
      <c r="C329" s="24" t="s">
        <v>755</v>
      </c>
      <c r="D329" s="24" t="s">
        <v>850</v>
      </c>
      <c r="E329" s="24" t="s">
        <v>444</v>
      </c>
    </row>
    <row r="330" spans="1:5" x14ac:dyDescent="0.3">
      <c r="A330">
        <v>329</v>
      </c>
      <c r="B330" s="24" t="s">
        <v>1357</v>
      </c>
      <c r="C330" s="24" t="s">
        <v>756</v>
      </c>
      <c r="D330" s="24" t="s">
        <v>846</v>
      </c>
      <c r="E330" s="24" t="s">
        <v>497</v>
      </c>
    </row>
    <row r="331" spans="1:5" x14ac:dyDescent="0.3">
      <c r="A331">
        <v>330</v>
      </c>
      <c r="B331" s="24" t="s">
        <v>1358</v>
      </c>
      <c r="C331" s="24" t="s">
        <v>756</v>
      </c>
      <c r="D331" s="24" t="s">
        <v>847</v>
      </c>
      <c r="E331" s="24" t="s">
        <v>443</v>
      </c>
    </row>
    <row r="332" spans="1:5" x14ac:dyDescent="0.3">
      <c r="A332">
        <v>331</v>
      </c>
      <c r="B332" s="24" t="s">
        <v>1359</v>
      </c>
      <c r="C332" s="24" t="s">
        <v>756</v>
      </c>
      <c r="D332" s="24" t="s">
        <v>848</v>
      </c>
      <c r="E332" s="24" t="s">
        <v>443</v>
      </c>
    </row>
    <row r="333" spans="1:5" x14ac:dyDescent="0.3">
      <c r="A333">
        <v>332</v>
      </c>
      <c r="B333" s="24" t="s">
        <v>1360</v>
      </c>
      <c r="C333" s="24" t="s">
        <v>756</v>
      </c>
      <c r="D333" s="24" t="s">
        <v>849</v>
      </c>
      <c r="E333" s="24" t="s">
        <v>443</v>
      </c>
    </row>
    <row r="334" spans="1:5" x14ac:dyDescent="0.3">
      <c r="A334">
        <v>333</v>
      </c>
      <c r="B334" s="24" t="s">
        <v>1361</v>
      </c>
      <c r="C334" s="24" t="s">
        <v>756</v>
      </c>
      <c r="D334" s="24" t="s">
        <v>851</v>
      </c>
      <c r="E334" s="24" t="s">
        <v>444</v>
      </c>
    </row>
    <row r="335" spans="1:5" x14ac:dyDescent="0.3">
      <c r="A335">
        <v>334</v>
      </c>
      <c r="B335" s="24" t="s">
        <v>1362</v>
      </c>
      <c r="C335" s="24" t="s">
        <v>756</v>
      </c>
      <c r="D335" s="24" t="s">
        <v>850</v>
      </c>
      <c r="E335" s="24" t="s">
        <v>444</v>
      </c>
    </row>
    <row r="336" spans="1:5" x14ac:dyDescent="0.3">
      <c r="A336">
        <v>335</v>
      </c>
      <c r="B336" s="24" t="s">
        <v>1363</v>
      </c>
      <c r="C336" s="24" t="s">
        <v>757</v>
      </c>
      <c r="D336" s="24" t="s">
        <v>846</v>
      </c>
      <c r="E336" s="24" t="s">
        <v>497</v>
      </c>
    </row>
    <row r="337" spans="1:5" x14ac:dyDescent="0.3">
      <c r="A337">
        <v>336</v>
      </c>
      <c r="B337" s="24" t="s">
        <v>1364</v>
      </c>
      <c r="C337" s="24" t="s">
        <v>757</v>
      </c>
      <c r="D337" s="24" t="s">
        <v>847</v>
      </c>
      <c r="E337" s="24" t="s">
        <v>443</v>
      </c>
    </row>
    <row r="338" spans="1:5" x14ac:dyDescent="0.3">
      <c r="A338">
        <v>337</v>
      </c>
      <c r="B338" s="24" t="s">
        <v>1365</v>
      </c>
      <c r="C338" s="24" t="s">
        <v>757</v>
      </c>
      <c r="D338" s="24" t="s">
        <v>848</v>
      </c>
      <c r="E338" s="24" t="s">
        <v>443</v>
      </c>
    </row>
    <row r="339" spans="1:5" x14ac:dyDescent="0.3">
      <c r="A339">
        <v>338</v>
      </c>
      <c r="B339" s="24" t="s">
        <v>1366</v>
      </c>
      <c r="C339" s="24" t="s">
        <v>757</v>
      </c>
      <c r="D339" s="24" t="s">
        <v>849</v>
      </c>
      <c r="E339" s="24" t="s">
        <v>443</v>
      </c>
    </row>
    <row r="340" spans="1:5" x14ac:dyDescent="0.3">
      <c r="A340">
        <v>339</v>
      </c>
      <c r="B340" s="24" t="s">
        <v>1367</v>
      </c>
      <c r="C340" s="24" t="s">
        <v>757</v>
      </c>
      <c r="D340" s="24" t="s">
        <v>851</v>
      </c>
      <c r="E340" s="24" t="s">
        <v>444</v>
      </c>
    </row>
    <row r="341" spans="1:5" x14ac:dyDescent="0.3">
      <c r="A341">
        <v>340</v>
      </c>
      <c r="B341" s="24" t="s">
        <v>1368</v>
      </c>
      <c r="C341" s="24" t="s">
        <v>757</v>
      </c>
      <c r="D341" s="24" t="s">
        <v>850</v>
      </c>
      <c r="E341" s="24" t="s">
        <v>444</v>
      </c>
    </row>
    <row r="342" spans="1:5" x14ac:dyDescent="0.3">
      <c r="A342">
        <v>341</v>
      </c>
      <c r="B342" s="24" t="s">
        <v>1369</v>
      </c>
      <c r="C342" s="24" t="s">
        <v>758</v>
      </c>
      <c r="D342" s="24" t="s">
        <v>846</v>
      </c>
      <c r="E342" s="24" t="s">
        <v>497</v>
      </c>
    </row>
    <row r="343" spans="1:5" x14ac:dyDescent="0.3">
      <c r="A343">
        <v>342</v>
      </c>
      <c r="B343" s="24" t="s">
        <v>1370</v>
      </c>
      <c r="C343" s="24" t="s">
        <v>758</v>
      </c>
      <c r="D343" s="24" t="s">
        <v>847</v>
      </c>
      <c r="E343" s="24" t="s">
        <v>443</v>
      </c>
    </row>
    <row r="344" spans="1:5" x14ac:dyDescent="0.3">
      <c r="A344">
        <v>343</v>
      </c>
      <c r="B344" s="24" t="s">
        <v>1371</v>
      </c>
      <c r="C344" s="24" t="s">
        <v>758</v>
      </c>
      <c r="D344" s="24" t="s">
        <v>848</v>
      </c>
      <c r="E344" s="24" t="s">
        <v>443</v>
      </c>
    </row>
    <row r="345" spans="1:5" x14ac:dyDescent="0.3">
      <c r="A345">
        <v>344</v>
      </c>
      <c r="B345" s="24" t="s">
        <v>1372</v>
      </c>
      <c r="C345" s="24" t="s">
        <v>758</v>
      </c>
      <c r="D345" s="24" t="s">
        <v>849</v>
      </c>
      <c r="E345" s="24" t="s">
        <v>443</v>
      </c>
    </row>
    <row r="346" spans="1:5" x14ac:dyDescent="0.3">
      <c r="A346">
        <v>345</v>
      </c>
      <c r="B346" s="24" t="s">
        <v>1373</v>
      </c>
      <c r="C346" s="24" t="s">
        <v>758</v>
      </c>
      <c r="D346" s="24" t="s">
        <v>851</v>
      </c>
      <c r="E346" s="24" t="s">
        <v>444</v>
      </c>
    </row>
    <row r="347" spans="1:5" x14ac:dyDescent="0.3">
      <c r="A347">
        <v>346</v>
      </c>
      <c r="B347" s="24" t="s">
        <v>1374</v>
      </c>
      <c r="C347" s="24" t="s">
        <v>758</v>
      </c>
      <c r="D347" s="24" t="s">
        <v>850</v>
      </c>
      <c r="E347" s="24" t="s">
        <v>444</v>
      </c>
    </row>
    <row r="348" spans="1:5" x14ac:dyDescent="0.3">
      <c r="A348">
        <v>347</v>
      </c>
      <c r="B348" s="24" t="s">
        <v>1375</v>
      </c>
      <c r="C348" s="24" t="s">
        <v>759</v>
      </c>
      <c r="D348" s="24" t="s">
        <v>846</v>
      </c>
      <c r="E348" s="24" t="s">
        <v>497</v>
      </c>
    </row>
    <row r="349" spans="1:5" x14ac:dyDescent="0.3">
      <c r="A349">
        <v>348</v>
      </c>
      <c r="B349" s="24" t="s">
        <v>1376</v>
      </c>
      <c r="C349" s="24" t="s">
        <v>759</v>
      </c>
      <c r="D349" s="24" t="s">
        <v>847</v>
      </c>
      <c r="E349" s="24" t="s">
        <v>443</v>
      </c>
    </row>
    <row r="350" spans="1:5" x14ac:dyDescent="0.3">
      <c r="A350">
        <v>349</v>
      </c>
      <c r="B350" s="24" t="s">
        <v>1377</v>
      </c>
      <c r="C350" s="24" t="s">
        <v>759</v>
      </c>
      <c r="D350" s="24" t="s">
        <v>848</v>
      </c>
      <c r="E350" s="24" t="s">
        <v>443</v>
      </c>
    </row>
    <row r="351" spans="1:5" x14ac:dyDescent="0.3">
      <c r="A351">
        <v>350</v>
      </c>
      <c r="B351" s="24" t="s">
        <v>1378</v>
      </c>
      <c r="C351" s="24" t="s">
        <v>759</v>
      </c>
      <c r="D351" s="24" t="s">
        <v>849</v>
      </c>
      <c r="E351" s="24" t="s">
        <v>443</v>
      </c>
    </row>
    <row r="352" spans="1:5" x14ac:dyDescent="0.3">
      <c r="A352">
        <v>351</v>
      </c>
      <c r="B352" s="24" t="s">
        <v>1379</v>
      </c>
      <c r="C352" s="24" t="s">
        <v>759</v>
      </c>
      <c r="D352" s="24" t="s">
        <v>851</v>
      </c>
      <c r="E352" s="24" t="s">
        <v>444</v>
      </c>
    </row>
    <row r="353" spans="1:5" x14ac:dyDescent="0.3">
      <c r="A353">
        <v>352</v>
      </c>
      <c r="B353" s="24" t="s">
        <v>1380</v>
      </c>
      <c r="C353" s="24" t="s">
        <v>759</v>
      </c>
      <c r="D353" s="24" t="s">
        <v>850</v>
      </c>
      <c r="E353" s="24" t="s">
        <v>444</v>
      </c>
    </row>
    <row r="354" spans="1:5" x14ac:dyDescent="0.3">
      <c r="A354">
        <v>353</v>
      </c>
      <c r="B354" s="24" t="s">
        <v>1381</v>
      </c>
      <c r="C354" s="24" t="s">
        <v>760</v>
      </c>
      <c r="D354" s="24" t="s">
        <v>846</v>
      </c>
      <c r="E354" s="24" t="s">
        <v>497</v>
      </c>
    </row>
    <row r="355" spans="1:5" x14ac:dyDescent="0.3">
      <c r="A355">
        <v>354</v>
      </c>
      <c r="B355" s="24" t="s">
        <v>1382</v>
      </c>
      <c r="C355" s="24" t="s">
        <v>760</v>
      </c>
      <c r="D355" s="24" t="s">
        <v>847</v>
      </c>
      <c r="E355" s="24" t="s">
        <v>443</v>
      </c>
    </row>
    <row r="356" spans="1:5" x14ac:dyDescent="0.3">
      <c r="A356">
        <v>355</v>
      </c>
      <c r="B356" s="24" t="s">
        <v>1383</v>
      </c>
      <c r="C356" s="24" t="s">
        <v>760</v>
      </c>
      <c r="D356" s="24" t="s">
        <v>848</v>
      </c>
      <c r="E356" s="24" t="s">
        <v>443</v>
      </c>
    </row>
    <row r="357" spans="1:5" x14ac:dyDescent="0.3">
      <c r="A357">
        <v>356</v>
      </c>
      <c r="B357" s="24" t="s">
        <v>1384</v>
      </c>
      <c r="C357" s="24" t="s">
        <v>760</v>
      </c>
      <c r="D357" s="24" t="s">
        <v>849</v>
      </c>
      <c r="E357" s="24" t="s">
        <v>443</v>
      </c>
    </row>
    <row r="358" spans="1:5" x14ac:dyDescent="0.3">
      <c r="A358">
        <v>357</v>
      </c>
      <c r="B358" s="24" t="s">
        <v>1385</v>
      </c>
      <c r="C358" s="24" t="s">
        <v>760</v>
      </c>
      <c r="D358" s="24" t="s">
        <v>851</v>
      </c>
      <c r="E358" s="24" t="s">
        <v>444</v>
      </c>
    </row>
    <row r="359" spans="1:5" x14ac:dyDescent="0.3">
      <c r="A359">
        <v>358</v>
      </c>
      <c r="B359" s="24" t="s">
        <v>1386</v>
      </c>
      <c r="C359" s="24" t="s">
        <v>760</v>
      </c>
      <c r="D359" s="24" t="s">
        <v>850</v>
      </c>
      <c r="E359" s="24" t="s">
        <v>444</v>
      </c>
    </row>
    <row r="360" spans="1:5" x14ac:dyDescent="0.3">
      <c r="A360">
        <v>359</v>
      </c>
      <c r="B360" s="24" t="s">
        <v>1387</v>
      </c>
      <c r="C360" s="24" t="s">
        <v>761</v>
      </c>
      <c r="D360" s="24" t="s">
        <v>846</v>
      </c>
      <c r="E360" s="24" t="s">
        <v>497</v>
      </c>
    </row>
    <row r="361" spans="1:5" x14ac:dyDescent="0.3">
      <c r="A361">
        <v>360</v>
      </c>
      <c r="B361" s="24" t="s">
        <v>1388</v>
      </c>
      <c r="C361" s="24" t="s">
        <v>761</v>
      </c>
      <c r="D361" s="24" t="s">
        <v>847</v>
      </c>
      <c r="E361" s="24" t="s">
        <v>443</v>
      </c>
    </row>
    <row r="362" spans="1:5" x14ac:dyDescent="0.3">
      <c r="A362">
        <v>361</v>
      </c>
      <c r="B362" s="24" t="s">
        <v>1389</v>
      </c>
      <c r="C362" s="24" t="s">
        <v>761</v>
      </c>
      <c r="D362" s="24" t="s">
        <v>848</v>
      </c>
      <c r="E362" s="24" t="s">
        <v>443</v>
      </c>
    </row>
    <row r="363" spans="1:5" x14ac:dyDescent="0.3">
      <c r="A363">
        <v>362</v>
      </c>
      <c r="B363" s="24" t="s">
        <v>1390</v>
      </c>
      <c r="C363" s="24" t="s">
        <v>761</v>
      </c>
      <c r="D363" s="24" t="s">
        <v>849</v>
      </c>
      <c r="E363" s="24" t="s">
        <v>443</v>
      </c>
    </row>
    <row r="364" spans="1:5" x14ac:dyDescent="0.3">
      <c r="A364">
        <v>363</v>
      </c>
      <c r="B364" s="24" t="s">
        <v>1391</v>
      </c>
      <c r="C364" s="24" t="s">
        <v>761</v>
      </c>
      <c r="D364" s="24" t="s">
        <v>851</v>
      </c>
      <c r="E364" s="24" t="s">
        <v>444</v>
      </c>
    </row>
    <row r="365" spans="1:5" x14ac:dyDescent="0.3">
      <c r="A365">
        <v>364</v>
      </c>
      <c r="B365" s="24" t="s">
        <v>1392</v>
      </c>
      <c r="C365" s="24" t="s">
        <v>761</v>
      </c>
      <c r="D365" s="24" t="s">
        <v>850</v>
      </c>
      <c r="E365" s="24" t="s">
        <v>444</v>
      </c>
    </row>
    <row r="366" spans="1:5" x14ac:dyDescent="0.3">
      <c r="A366">
        <v>365</v>
      </c>
      <c r="B366" s="24" t="s">
        <v>1393</v>
      </c>
      <c r="C366" s="24" t="s">
        <v>762</v>
      </c>
      <c r="D366" s="24" t="s">
        <v>846</v>
      </c>
      <c r="E366" s="24" t="s">
        <v>497</v>
      </c>
    </row>
    <row r="367" spans="1:5" x14ac:dyDescent="0.3">
      <c r="A367">
        <v>366</v>
      </c>
      <c r="B367" s="24" t="s">
        <v>1394</v>
      </c>
      <c r="C367" s="24" t="s">
        <v>762</v>
      </c>
      <c r="D367" s="24" t="s">
        <v>847</v>
      </c>
      <c r="E367" s="24" t="s">
        <v>443</v>
      </c>
    </row>
    <row r="368" spans="1:5" x14ac:dyDescent="0.3">
      <c r="A368">
        <v>367</v>
      </c>
      <c r="B368" s="24" t="s">
        <v>1395</v>
      </c>
      <c r="C368" s="24" t="s">
        <v>762</v>
      </c>
      <c r="D368" s="24" t="s">
        <v>848</v>
      </c>
      <c r="E368" s="24" t="s">
        <v>443</v>
      </c>
    </row>
    <row r="369" spans="1:5" x14ac:dyDescent="0.3">
      <c r="A369">
        <v>368</v>
      </c>
      <c r="B369" s="24" t="s">
        <v>1396</v>
      </c>
      <c r="C369" s="24" t="s">
        <v>762</v>
      </c>
      <c r="D369" s="24" t="s">
        <v>849</v>
      </c>
      <c r="E369" s="24" t="s">
        <v>443</v>
      </c>
    </row>
    <row r="370" spans="1:5" x14ac:dyDescent="0.3">
      <c r="A370">
        <v>369</v>
      </c>
      <c r="B370" s="24" t="s">
        <v>1397</v>
      </c>
      <c r="C370" s="24" t="s">
        <v>762</v>
      </c>
      <c r="D370" s="24" t="s">
        <v>851</v>
      </c>
      <c r="E370" s="24" t="s">
        <v>444</v>
      </c>
    </row>
    <row r="371" spans="1:5" x14ac:dyDescent="0.3">
      <c r="A371">
        <v>370</v>
      </c>
      <c r="B371" s="24" t="s">
        <v>1398</v>
      </c>
      <c r="C371" s="24" t="s">
        <v>762</v>
      </c>
      <c r="D371" s="24" t="s">
        <v>850</v>
      </c>
      <c r="E371" s="24" t="s">
        <v>444</v>
      </c>
    </row>
    <row r="372" spans="1:5" x14ac:dyDescent="0.3">
      <c r="A372">
        <v>371</v>
      </c>
      <c r="B372" s="24" t="s">
        <v>1399</v>
      </c>
      <c r="C372" s="24" t="s">
        <v>763</v>
      </c>
      <c r="D372" s="24" t="s">
        <v>846</v>
      </c>
      <c r="E372" s="24" t="s">
        <v>497</v>
      </c>
    </row>
    <row r="373" spans="1:5" x14ac:dyDescent="0.3">
      <c r="A373">
        <v>372</v>
      </c>
      <c r="B373" s="24" t="s">
        <v>1400</v>
      </c>
      <c r="C373" s="24" t="s">
        <v>763</v>
      </c>
      <c r="D373" s="24" t="s">
        <v>847</v>
      </c>
      <c r="E373" s="24" t="s">
        <v>443</v>
      </c>
    </row>
    <row r="374" spans="1:5" x14ac:dyDescent="0.3">
      <c r="A374">
        <v>373</v>
      </c>
      <c r="B374" s="24" t="s">
        <v>1401</v>
      </c>
      <c r="C374" s="24" t="s">
        <v>763</v>
      </c>
      <c r="D374" s="24" t="s">
        <v>848</v>
      </c>
      <c r="E374" s="24" t="s">
        <v>443</v>
      </c>
    </row>
    <row r="375" spans="1:5" x14ac:dyDescent="0.3">
      <c r="A375">
        <v>374</v>
      </c>
      <c r="B375" s="24" t="s">
        <v>1402</v>
      </c>
      <c r="C375" s="24" t="s">
        <v>763</v>
      </c>
      <c r="D375" s="24" t="s">
        <v>849</v>
      </c>
      <c r="E375" s="24" t="s">
        <v>443</v>
      </c>
    </row>
    <row r="376" spans="1:5" x14ac:dyDescent="0.3">
      <c r="A376">
        <v>375</v>
      </c>
      <c r="B376" s="24" t="s">
        <v>1403</v>
      </c>
      <c r="C376" s="24" t="s">
        <v>763</v>
      </c>
      <c r="D376" s="24" t="s">
        <v>851</v>
      </c>
      <c r="E376" s="24" t="s">
        <v>444</v>
      </c>
    </row>
    <row r="377" spans="1:5" x14ac:dyDescent="0.3">
      <c r="A377">
        <v>376</v>
      </c>
      <c r="B377" s="24" t="s">
        <v>1404</v>
      </c>
      <c r="C377" s="24" t="s">
        <v>763</v>
      </c>
      <c r="D377" s="24" t="s">
        <v>850</v>
      </c>
      <c r="E377" s="24" t="s">
        <v>444</v>
      </c>
    </row>
    <row r="378" spans="1:5" x14ac:dyDescent="0.3">
      <c r="A378">
        <v>377</v>
      </c>
      <c r="B378" s="24" t="s">
        <v>1405</v>
      </c>
      <c r="C378" s="24" t="s">
        <v>764</v>
      </c>
      <c r="D378" s="24" t="s">
        <v>846</v>
      </c>
      <c r="E378" s="24" t="s">
        <v>497</v>
      </c>
    </row>
    <row r="379" spans="1:5" x14ac:dyDescent="0.3">
      <c r="A379">
        <v>378</v>
      </c>
      <c r="B379" s="24" t="s">
        <v>1406</v>
      </c>
      <c r="C379" s="24" t="s">
        <v>764</v>
      </c>
      <c r="D379" s="24" t="s">
        <v>847</v>
      </c>
      <c r="E379" s="24" t="s">
        <v>443</v>
      </c>
    </row>
    <row r="380" spans="1:5" x14ac:dyDescent="0.3">
      <c r="A380">
        <v>379</v>
      </c>
      <c r="B380" s="24" t="s">
        <v>1407</v>
      </c>
      <c r="C380" s="24" t="s">
        <v>764</v>
      </c>
      <c r="D380" s="24" t="s">
        <v>848</v>
      </c>
      <c r="E380" s="24" t="s">
        <v>443</v>
      </c>
    </row>
    <row r="381" spans="1:5" x14ac:dyDescent="0.3">
      <c r="A381">
        <v>380</v>
      </c>
      <c r="B381" s="24" t="s">
        <v>1408</v>
      </c>
      <c r="C381" s="24" t="s">
        <v>764</v>
      </c>
      <c r="D381" s="24" t="s">
        <v>849</v>
      </c>
      <c r="E381" s="24" t="s">
        <v>443</v>
      </c>
    </row>
    <row r="382" spans="1:5" x14ac:dyDescent="0.3">
      <c r="A382">
        <v>381</v>
      </c>
      <c r="B382" s="24" t="s">
        <v>1409</v>
      </c>
      <c r="C382" s="24" t="s">
        <v>764</v>
      </c>
      <c r="D382" s="24" t="s">
        <v>851</v>
      </c>
      <c r="E382" s="24" t="s">
        <v>444</v>
      </c>
    </row>
    <row r="383" spans="1:5" x14ac:dyDescent="0.3">
      <c r="A383">
        <v>382</v>
      </c>
      <c r="B383" s="24" t="s">
        <v>1410</v>
      </c>
      <c r="C383" s="24" t="s">
        <v>764</v>
      </c>
      <c r="D383" s="24" t="s">
        <v>850</v>
      </c>
      <c r="E383" s="24" t="s">
        <v>444</v>
      </c>
    </row>
    <row r="384" spans="1:5" x14ac:dyDescent="0.3">
      <c r="A384">
        <v>383</v>
      </c>
      <c r="B384" s="24" t="s">
        <v>1411</v>
      </c>
      <c r="C384" s="24" t="s">
        <v>765</v>
      </c>
      <c r="D384" s="24" t="s">
        <v>846</v>
      </c>
      <c r="E384" s="24" t="s">
        <v>497</v>
      </c>
    </row>
    <row r="385" spans="1:5" x14ac:dyDescent="0.3">
      <c r="A385">
        <v>384</v>
      </c>
      <c r="B385" s="24" t="s">
        <v>1412</v>
      </c>
      <c r="C385" s="24" t="s">
        <v>765</v>
      </c>
      <c r="D385" s="24" t="s">
        <v>847</v>
      </c>
      <c r="E385" s="24" t="s">
        <v>443</v>
      </c>
    </row>
    <row r="386" spans="1:5" x14ac:dyDescent="0.3">
      <c r="A386">
        <v>385</v>
      </c>
      <c r="B386" s="24" t="s">
        <v>1413</v>
      </c>
      <c r="C386" s="24" t="s">
        <v>765</v>
      </c>
      <c r="D386" s="24" t="s">
        <v>848</v>
      </c>
      <c r="E386" s="24" t="s">
        <v>443</v>
      </c>
    </row>
    <row r="387" spans="1:5" x14ac:dyDescent="0.3">
      <c r="A387">
        <v>386</v>
      </c>
      <c r="B387" s="24" t="s">
        <v>1414</v>
      </c>
      <c r="C387" s="24" t="s">
        <v>765</v>
      </c>
      <c r="D387" s="24" t="s">
        <v>849</v>
      </c>
      <c r="E387" s="24" t="s">
        <v>443</v>
      </c>
    </row>
    <row r="388" spans="1:5" x14ac:dyDescent="0.3">
      <c r="A388">
        <v>387</v>
      </c>
      <c r="B388" s="24" t="s">
        <v>1415</v>
      </c>
      <c r="C388" s="24" t="s">
        <v>765</v>
      </c>
      <c r="D388" s="24" t="s">
        <v>851</v>
      </c>
      <c r="E388" s="24" t="s">
        <v>444</v>
      </c>
    </row>
    <row r="389" spans="1:5" x14ac:dyDescent="0.3">
      <c r="A389">
        <v>388</v>
      </c>
      <c r="B389" s="24" t="s">
        <v>1416</v>
      </c>
      <c r="C389" s="24" t="s">
        <v>765</v>
      </c>
      <c r="D389" s="24" t="s">
        <v>850</v>
      </c>
      <c r="E389" s="24" t="s">
        <v>444</v>
      </c>
    </row>
    <row r="390" spans="1:5" x14ac:dyDescent="0.3">
      <c r="A390">
        <v>389</v>
      </c>
      <c r="B390" s="24" t="s">
        <v>1417</v>
      </c>
      <c r="C390" s="24" t="s">
        <v>766</v>
      </c>
      <c r="D390" s="24" t="s">
        <v>846</v>
      </c>
      <c r="E390" s="24" t="s">
        <v>497</v>
      </c>
    </row>
    <row r="391" spans="1:5" x14ac:dyDescent="0.3">
      <c r="A391">
        <v>390</v>
      </c>
      <c r="B391" s="24" t="s">
        <v>1418</v>
      </c>
      <c r="C391" s="24" t="s">
        <v>766</v>
      </c>
      <c r="D391" s="24" t="s">
        <v>847</v>
      </c>
      <c r="E391" s="24" t="s">
        <v>443</v>
      </c>
    </row>
    <row r="392" spans="1:5" x14ac:dyDescent="0.3">
      <c r="A392">
        <v>391</v>
      </c>
      <c r="B392" s="24" t="s">
        <v>1419</v>
      </c>
      <c r="C392" s="24" t="s">
        <v>766</v>
      </c>
      <c r="D392" s="24" t="s">
        <v>848</v>
      </c>
      <c r="E392" s="24" t="s">
        <v>443</v>
      </c>
    </row>
    <row r="393" spans="1:5" x14ac:dyDescent="0.3">
      <c r="A393">
        <v>392</v>
      </c>
      <c r="B393" s="24" t="s">
        <v>1420</v>
      </c>
      <c r="C393" s="24" t="s">
        <v>766</v>
      </c>
      <c r="D393" s="24" t="s">
        <v>849</v>
      </c>
      <c r="E393" s="24" t="s">
        <v>443</v>
      </c>
    </row>
    <row r="394" spans="1:5" x14ac:dyDescent="0.3">
      <c r="A394">
        <v>393</v>
      </c>
      <c r="B394" s="24" t="s">
        <v>1421</v>
      </c>
      <c r="C394" s="24" t="s">
        <v>766</v>
      </c>
      <c r="D394" s="24" t="s">
        <v>851</v>
      </c>
      <c r="E394" s="24" t="s">
        <v>444</v>
      </c>
    </row>
    <row r="395" spans="1:5" x14ac:dyDescent="0.3">
      <c r="A395">
        <v>394</v>
      </c>
      <c r="B395" s="24" t="s">
        <v>1422</v>
      </c>
      <c r="C395" s="24" t="s">
        <v>766</v>
      </c>
      <c r="D395" s="24" t="s">
        <v>850</v>
      </c>
      <c r="E395" s="24" t="s">
        <v>444</v>
      </c>
    </row>
    <row r="396" spans="1:5" x14ac:dyDescent="0.3">
      <c r="A396">
        <v>395</v>
      </c>
      <c r="B396" s="24" t="s">
        <v>1423</v>
      </c>
      <c r="C396" s="24" t="s">
        <v>767</v>
      </c>
      <c r="D396" s="24" t="s">
        <v>846</v>
      </c>
      <c r="E396" s="24" t="s">
        <v>497</v>
      </c>
    </row>
    <row r="397" spans="1:5" x14ac:dyDescent="0.3">
      <c r="A397">
        <v>396</v>
      </c>
      <c r="B397" s="24" t="s">
        <v>1424</v>
      </c>
      <c r="C397" s="24" t="s">
        <v>767</v>
      </c>
      <c r="D397" s="24" t="s">
        <v>847</v>
      </c>
      <c r="E397" s="24" t="s">
        <v>443</v>
      </c>
    </row>
    <row r="398" spans="1:5" x14ac:dyDescent="0.3">
      <c r="A398">
        <v>397</v>
      </c>
      <c r="B398" s="24" t="s">
        <v>1425</v>
      </c>
      <c r="C398" s="24" t="s">
        <v>767</v>
      </c>
      <c r="D398" s="24" t="s">
        <v>848</v>
      </c>
      <c r="E398" s="24" t="s">
        <v>443</v>
      </c>
    </row>
    <row r="399" spans="1:5" x14ac:dyDescent="0.3">
      <c r="A399">
        <v>398</v>
      </c>
      <c r="B399" s="24" t="s">
        <v>1426</v>
      </c>
      <c r="C399" s="24" t="s">
        <v>767</v>
      </c>
      <c r="D399" s="24" t="s">
        <v>849</v>
      </c>
      <c r="E399" s="24" t="s">
        <v>443</v>
      </c>
    </row>
    <row r="400" spans="1:5" x14ac:dyDescent="0.3">
      <c r="A400">
        <v>399</v>
      </c>
      <c r="B400" s="24" t="s">
        <v>1427</v>
      </c>
      <c r="C400" s="24" t="s">
        <v>767</v>
      </c>
      <c r="D400" s="24" t="s">
        <v>851</v>
      </c>
      <c r="E400" s="24" t="s">
        <v>444</v>
      </c>
    </row>
    <row r="401" spans="1:5" x14ac:dyDescent="0.3">
      <c r="A401">
        <v>400</v>
      </c>
      <c r="B401" s="24" t="s">
        <v>1428</v>
      </c>
      <c r="C401" s="24" t="s">
        <v>767</v>
      </c>
      <c r="D401" s="24" t="s">
        <v>850</v>
      </c>
      <c r="E401" s="24" t="s">
        <v>444</v>
      </c>
    </row>
    <row r="402" spans="1:5" x14ac:dyDescent="0.3">
      <c r="A402">
        <v>401</v>
      </c>
      <c r="B402" s="24" t="s">
        <v>1429</v>
      </c>
      <c r="C402" s="24" t="s">
        <v>768</v>
      </c>
      <c r="D402" s="24" t="s">
        <v>846</v>
      </c>
      <c r="E402" s="24" t="s">
        <v>497</v>
      </c>
    </row>
    <row r="403" spans="1:5" x14ac:dyDescent="0.3">
      <c r="A403">
        <v>402</v>
      </c>
      <c r="B403" s="24" t="s">
        <v>1430</v>
      </c>
      <c r="C403" s="24" t="s">
        <v>768</v>
      </c>
      <c r="D403" s="24" t="s">
        <v>847</v>
      </c>
      <c r="E403" s="24" t="s">
        <v>443</v>
      </c>
    </row>
    <row r="404" spans="1:5" x14ac:dyDescent="0.3">
      <c r="A404">
        <v>403</v>
      </c>
      <c r="B404" s="24" t="s">
        <v>1431</v>
      </c>
      <c r="C404" s="24" t="s">
        <v>768</v>
      </c>
      <c r="D404" s="24" t="s">
        <v>848</v>
      </c>
      <c r="E404" s="24" t="s">
        <v>443</v>
      </c>
    </row>
    <row r="405" spans="1:5" x14ac:dyDescent="0.3">
      <c r="A405">
        <v>404</v>
      </c>
      <c r="B405" s="24" t="s">
        <v>1432</v>
      </c>
      <c r="C405" s="24" t="s">
        <v>768</v>
      </c>
      <c r="D405" s="24" t="s">
        <v>849</v>
      </c>
      <c r="E405" s="24" t="s">
        <v>443</v>
      </c>
    </row>
    <row r="406" spans="1:5" x14ac:dyDescent="0.3">
      <c r="A406">
        <v>405</v>
      </c>
      <c r="B406" s="24" t="s">
        <v>1433</v>
      </c>
      <c r="C406" s="24" t="s">
        <v>768</v>
      </c>
      <c r="D406" s="24" t="s">
        <v>851</v>
      </c>
      <c r="E406" s="24" t="s">
        <v>444</v>
      </c>
    </row>
    <row r="407" spans="1:5" x14ac:dyDescent="0.3">
      <c r="A407">
        <v>406</v>
      </c>
      <c r="B407" s="24" t="s">
        <v>1434</v>
      </c>
      <c r="C407" s="24" t="s">
        <v>768</v>
      </c>
      <c r="D407" s="24" t="s">
        <v>850</v>
      </c>
      <c r="E407" s="24" t="s">
        <v>444</v>
      </c>
    </row>
    <row r="408" spans="1:5" x14ac:dyDescent="0.3">
      <c r="A408">
        <v>407</v>
      </c>
      <c r="B408" s="24" t="s">
        <v>1435</v>
      </c>
      <c r="C408" s="24" t="s">
        <v>565</v>
      </c>
      <c r="D408" s="24" t="s">
        <v>846</v>
      </c>
      <c r="E408" s="24" t="s">
        <v>497</v>
      </c>
    </row>
    <row r="409" spans="1:5" x14ac:dyDescent="0.3">
      <c r="A409">
        <v>408</v>
      </c>
      <c r="B409" s="24" t="s">
        <v>1436</v>
      </c>
      <c r="C409" s="24" t="s">
        <v>565</v>
      </c>
      <c r="D409" s="24" t="s">
        <v>847</v>
      </c>
      <c r="E409" s="24" t="s">
        <v>443</v>
      </c>
    </row>
    <row r="410" spans="1:5" x14ac:dyDescent="0.3">
      <c r="A410">
        <v>409</v>
      </c>
      <c r="B410" s="24" t="s">
        <v>1437</v>
      </c>
      <c r="C410" s="24" t="s">
        <v>565</v>
      </c>
      <c r="D410" s="24" t="s">
        <v>848</v>
      </c>
      <c r="E410" s="24" t="s">
        <v>443</v>
      </c>
    </row>
    <row r="411" spans="1:5" x14ac:dyDescent="0.3">
      <c r="A411">
        <v>410</v>
      </c>
      <c r="B411" s="24" t="s">
        <v>1438</v>
      </c>
      <c r="C411" s="24" t="s">
        <v>565</v>
      </c>
      <c r="D411" s="24" t="s">
        <v>849</v>
      </c>
      <c r="E411" s="24" t="s">
        <v>443</v>
      </c>
    </row>
    <row r="412" spans="1:5" x14ac:dyDescent="0.3">
      <c r="A412">
        <v>411</v>
      </c>
      <c r="B412" s="24" t="s">
        <v>1439</v>
      </c>
      <c r="C412" s="24" t="s">
        <v>565</v>
      </c>
      <c r="D412" s="24" t="s">
        <v>851</v>
      </c>
      <c r="E412" s="24" t="s">
        <v>444</v>
      </c>
    </row>
    <row r="413" spans="1:5" x14ac:dyDescent="0.3">
      <c r="A413">
        <v>412</v>
      </c>
      <c r="B413" s="24" t="s">
        <v>1440</v>
      </c>
      <c r="C413" s="24" t="s">
        <v>565</v>
      </c>
      <c r="D413" s="24" t="s">
        <v>850</v>
      </c>
      <c r="E413" s="24" t="s">
        <v>444</v>
      </c>
    </row>
    <row r="414" spans="1:5" x14ac:dyDescent="0.3">
      <c r="A414">
        <v>413</v>
      </c>
      <c r="B414" s="24" t="s">
        <v>1441</v>
      </c>
      <c r="C414" s="24" t="s">
        <v>566</v>
      </c>
      <c r="D414" s="24" t="s">
        <v>846</v>
      </c>
      <c r="E414" s="24" t="s">
        <v>497</v>
      </c>
    </row>
    <row r="415" spans="1:5" x14ac:dyDescent="0.3">
      <c r="A415">
        <v>414</v>
      </c>
      <c r="B415" s="24" t="s">
        <v>1442</v>
      </c>
      <c r="C415" s="24" t="s">
        <v>566</v>
      </c>
      <c r="D415" s="24" t="s">
        <v>847</v>
      </c>
      <c r="E415" s="24" t="s">
        <v>443</v>
      </c>
    </row>
    <row r="416" spans="1:5" x14ac:dyDescent="0.3">
      <c r="A416">
        <v>415</v>
      </c>
      <c r="B416" s="24" t="s">
        <v>1443</v>
      </c>
      <c r="C416" s="24" t="s">
        <v>566</v>
      </c>
      <c r="D416" s="24" t="s">
        <v>848</v>
      </c>
      <c r="E416" s="24" t="s">
        <v>443</v>
      </c>
    </row>
    <row r="417" spans="1:5" x14ac:dyDescent="0.3">
      <c r="A417">
        <v>416</v>
      </c>
      <c r="B417" s="24" t="s">
        <v>1444</v>
      </c>
      <c r="C417" s="24" t="s">
        <v>566</v>
      </c>
      <c r="D417" s="24" t="s">
        <v>849</v>
      </c>
      <c r="E417" s="24" t="s">
        <v>443</v>
      </c>
    </row>
    <row r="418" spans="1:5" x14ac:dyDescent="0.3">
      <c r="A418">
        <v>417</v>
      </c>
      <c r="B418" s="24" t="s">
        <v>1445</v>
      </c>
      <c r="C418" s="24" t="s">
        <v>566</v>
      </c>
      <c r="D418" s="24" t="s">
        <v>851</v>
      </c>
      <c r="E418" s="24" t="s">
        <v>444</v>
      </c>
    </row>
    <row r="419" spans="1:5" x14ac:dyDescent="0.3">
      <c r="A419">
        <v>418</v>
      </c>
      <c r="B419" s="24" t="s">
        <v>1446</v>
      </c>
      <c r="C419" s="24" t="s">
        <v>566</v>
      </c>
      <c r="D419" s="24" t="s">
        <v>850</v>
      </c>
      <c r="E419" s="24" t="s">
        <v>444</v>
      </c>
    </row>
    <row r="420" spans="1:5" x14ac:dyDescent="0.3">
      <c r="A420">
        <v>419</v>
      </c>
      <c r="B420" s="24" t="s">
        <v>1447</v>
      </c>
      <c r="C420" s="24" t="s">
        <v>567</v>
      </c>
      <c r="D420" s="24" t="s">
        <v>846</v>
      </c>
      <c r="E420" s="24" t="s">
        <v>497</v>
      </c>
    </row>
    <row r="421" spans="1:5" x14ac:dyDescent="0.3">
      <c r="A421">
        <v>420</v>
      </c>
      <c r="B421" s="24" t="s">
        <v>1448</v>
      </c>
      <c r="C421" s="24" t="s">
        <v>567</v>
      </c>
      <c r="D421" s="24" t="s">
        <v>847</v>
      </c>
      <c r="E421" s="24" t="s">
        <v>443</v>
      </c>
    </row>
    <row r="422" spans="1:5" x14ac:dyDescent="0.3">
      <c r="A422">
        <v>421</v>
      </c>
      <c r="B422" s="24" t="s">
        <v>1449</v>
      </c>
      <c r="C422" s="24" t="s">
        <v>567</v>
      </c>
      <c r="D422" s="24" t="s">
        <v>848</v>
      </c>
      <c r="E422" s="24" t="s">
        <v>443</v>
      </c>
    </row>
    <row r="423" spans="1:5" x14ac:dyDescent="0.3">
      <c r="A423">
        <v>422</v>
      </c>
      <c r="B423" s="24" t="s">
        <v>1450</v>
      </c>
      <c r="C423" s="24" t="s">
        <v>567</v>
      </c>
      <c r="D423" s="24" t="s">
        <v>849</v>
      </c>
      <c r="E423" s="24" t="s">
        <v>443</v>
      </c>
    </row>
    <row r="424" spans="1:5" x14ac:dyDescent="0.3">
      <c r="A424">
        <v>423</v>
      </c>
      <c r="B424" s="24" t="s">
        <v>1451</v>
      </c>
      <c r="C424" s="24" t="s">
        <v>567</v>
      </c>
      <c r="D424" s="24" t="s">
        <v>851</v>
      </c>
      <c r="E424" s="24" t="s">
        <v>444</v>
      </c>
    </row>
    <row r="425" spans="1:5" x14ac:dyDescent="0.3">
      <c r="A425">
        <v>424</v>
      </c>
      <c r="B425" s="24" t="s">
        <v>1452</v>
      </c>
      <c r="C425" s="24" t="s">
        <v>567</v>
      </c>
      <c r="D425" s="24" t="s">
        <v>850</v>
      </c>
      <c r="E425" s="24" t="s">
        <v>444</v>
      </c>
    </row>
    <row r="426" spans="1:5" x14ac:dyDescent="0.3">
      <c r="A426">
        <v>425</v>
      </c>
      <c r="B426" s="24" t="s">
        <v>1453</v>
      </c>
      <c r="C426" s="24" t="s">
        <v>568</v>
      </c>
      <c r="D426" s="24" t="s">
        <v>846</v>
      </c>
      <c r="E426" s="24" t="s">
        <v>497</v>
      </c>
    </row>
    <row r="427" spans="1:5" x14ac:dyDescent="0.3">
      <c r="A427">
        <v>426</v>
      </c>
      <c r="B427" s="24" t="s">
        <v>1454</v>
      </c>
      <c r="C427" s="24" t="s">
        <v>568</v>
      </c>
      <c r="D427" s="24" t="s">
        <v>847</v>
      </c>
      <c r="E427" s="24" t="s">
        <v>443</v>
      </c>
    </row>
    <row r="428" spans="1:5" x14ac:dyDescent="0.3">
      <c r="A428">
        <v>427</v>
      </c>
      <c r="B428" s="24" t="s">
        <v>1455</v>
      </c>
      <c r="C428" s="24" t="s">
        <v>568</v>
      </c>
      <c r="D428" s="24" t="s">
        <v>848</v>
      </c>
      <c r="E428" s="24" t="s">
        <v>443</v>
      </c>
    </row>
    <row r="429" spans="1:5" x14ac:dyDescent="0.3">
      <c r="A429">
        <v>428</v>
      </c>
      <c r="B429" s="24" t="s">
        <v>1456</v>
      </c>
      <c r="C429" s="24" t="s">
        <v>568</v>
      </c>
      <c r="D429" s="24" t="s">
        <v>849</v>
      </c>
      <c r="E429" s="24" t="s">
        <v>443</v>
      </c>
    </row>
    <row r="430" spans="1:5" x14ac:dyDescent="0.3">
      <c r="A430">
        <v>429</v>
      </c>
      <c r="B430" s="24" t="s">
        <v>1457</v>
      </c>
      <c r="C430" s="24" t="s">
        <v>568</v>
      </c>
      <c r="D430" s="24" t="s">
        <v>851</v>
      </c>
      <c r="E430" s="24" t="s">
        <v>444</v>
      </c>
    </row>
    <row r="431" spans="1:5" x14ac:dyDescent="0.3">
      <c r="A431">
        <v>430</v>
      </c>
      <c r="B431" s="24" t="s">
        <v>1458</v>
      </c>
      <c r="C431" s="24" t="s">
        <v>568</v>
      </c>
      <c r="D431" s="24" t="s">
        <v>850</v>
      </c>
      <c r="E431" s="24" t="s">
        <v>444</v>
      </c>
    </row>
    <row r="432" spans="1:5" x14ac:dyDescent="0.3">
      <c r="A432">
        <v>431</v>
      </c>
      <c r="B432" s="24" t="s">
        <v>1459</v>
      </c>
      <c r="C432" s="24" t="s">
        <v>569</v>
      </c>
      <c r="D432" s="24" t="s">
        <v>846</v>
      </c>
      <c r="E432" s="24" t="s">
        <v>497</v>
      </c>
    </row>
    <row r="433" spans="1:5" x14ac:dyDescent="0.3">
      <c r="A433">
        <v>432</v>
      </c>
      <c r="B433" s="24" t="s">
        <v>1460</v>
      </c>
      <c r="C433" s="24" t="s">
        <v>569</v>
      </c>
      <c r="D433" s="24" t="s">
        <v>847</v>
      </c>
      <c r="E433" s="24" t="s">
        <v>443</v>
      </c>
    </row>
    <row r="434" spans="1:5" x14ac:dyDescent="0.3">
      <c r="A434">
        <v>433</v>
      </c>
      <c r="B434" s="24" t="s">
        <v>1461</v>
      </c>
      <c r="C434" s="24" t="s">
        <v>569</v>
      </c>
      <c r="D434" s="24" t="s">
        <v>848</v>
      </c>
      <c r="E434" s="24" t="s">
        <v>443</v>
      </c>
    </row>
    <row r="435" spans="1:5" x14ac:dyDescent="0.3">
      <c r="A435">
        <v>434</v>
      </c>
      <c r="B435" s="24" t="s">
        <v>1462</v>
      </c>
      <c r="C435" s="24" t="s">
        <v>569</v>
      </c>
      <c r="D435" s="24" t="s">
        <v>849</v>
      </c>
      <c r="E435" s="24" t="s">
        <v>443</v>
      </c>
    </row>
    <row r="436" spans="1:5" x14ac:dyDescent="0.3">
      <c r="A436">
        <v>435</v>
      </c>
      <c r="B436" s="24" t="s">
        <v>1463</v>
      </c>
      <c r="C436" s="24" t="s">
        <v>569</v>
      </c>
      <c r="D436" s="24" t="s">
        <v>852</v>
      </c>
      <c r="E436" s="24" t="s">
        <v>443</v>
      </c>
    </row>
    <row r="437" spans="1:5" x14ac:dyDescent="0.3">
      <c r="A437">
        <v>436</v>
      </c>
      <c r="B437" s="24" t="s">
        <v>1464</v>
      </c>
      <c r="C437" s="24" t="s">
        <v>569</v>
      </c>
      <c r="D437" s="24" t="s">
        <v>853</v>
      </c>
      <c r="E437" s="24" t="s">
        <v>443</v>
      </c>
    </row>
    <row r="438" spans="1:5" x14ac:dyDescent="0.3">
      <c r="A438">
        <v>437</v>
      </c>
      <c r="B438" s="24" t="s">
        <v>1465</v>
      </c>
      <c r="C438" s="24" t="s">
        <v>569</v>
      </c>
      <c r="D438" s="24" t="s">
        <v>851</v>
      </c>
      <c r="E438" s="24" t="s">
        <v>444</v>
      </c>
    </row>
    <row r="439" spans="1:5" x14ac:dyDescent="0.3">
      <c r="A439">
        <v>438</v>
      </c>
      <c r="B439" s="24" t="s">
        <v>1466</v>
      </c>
      <c r="C439" s="24" t="s">
        <v>569</v>
      </c>
      <c r="D439" s="24" t="s">
        <v>850</v>
      </c>
      <c r="E439" s="24" t="s">
        <v>444</v>
      </c>
    </row>
    <row r="440" spans="1:5" x14ac:dyDescent="0.3">
      <c r="A440">
        <v>439</v>
      </c>
      <c r="B440" s="24" t="s">
        <v>1467</v>
      </c>
      <c r="C440" s="24" t="s">
        <v>570</v>
      </c>
      <c r="D440" s="24" t="s">
        <v>846</v>
      </c>
      <c r="E440" s="24" t="s">
        <v>497</v>
      </c>
    </row>
    <row r="441" spans="1:5" x14ac:dyDescent="0.3">
      <c r="A441">
        <v>440</v>
      </c>
      <c r="B441" s="24" t="s">
        <v>1468</v>
      </c>
      <c r="C441" s="24" t="s">
        <v>570</v>
      </c>
      <c r="D441" s="24" t="s">
        <v>847</v>
      </c>
      <c r="E441" s="24" t="s">
        <v>443</v>
      </c>
    </row>
    <row r="442" spans="1:5" x14ac:dyDescent="0.3">
      <c r="A442">
        <v>441</v>
      </c>
      <c r="B442" s="24" t="s">
        <v>1469</v>
      </c>
      <c r="C442" s="24" t="s">
        <v>570</v>
      </c>
      <c r="D442" s="24" t="s">
        <v>848</v>
      </c>
      <c r="E442" s="24" t="s">
        <v>443</v>
      </c>
    </row>
    <row r="443" spans="1:5" x14ac:dyDescent="0.3">
      <c r="A443">
        <v>442</v>
      </c>
      <c r="B443" s="24" t="s">
        <v>1470</v>
      </c>
      <c r="C443" s="24" t="s">
        <v>570</v>
      </c>
      <c r="D443" s="24" t="s">
        <v>849</v>
      </c>
      <c r="E443" s="24" t="s">
        <v>443</v>
      </c>
    </row>
    <row r="444" spans="1:5" x14ac:dyDescent="0.3">
      <c r="A444">
        <v>443</v>
      </c>
      <c r="B444" s="24" t="s">
        <v>1471</v>
      </c>
      <c r="C444" s="24" t="s">
        <v>570</v>
      </c>
      <c r="D444" s="24" t="s">
        <v>852</v>
      </c>
      <c r="E444" s="24" t="s">
        <v>443</v>
      </c>
    </row>
    <row r="445" spans="1:5" x14ac:dyDescent="0.3">
      <c r="A445">
        <v>444</v>
      </c>
      <c r="B445" s="24" t="s">
        <v>1472</v>
      </c>
      <c r="C445" s="24" t="s">
        <v>570</v>
      </c>
      <c r="D445" s="24" t="s">
        <v>853</v>
      </c>
      <c r="E445" s="24" t="s">
        <v>443</v>
      </c>
    </row>
    <row r="446" spans="1:5" x14ac:dyDescent="0.3">
      <c r="A446">
        <v>445</v>
      </c>
      <c r="B446" s="24" t="s">
        <v>1473</v>
      </c>
      <c r="C446" s="24" t="s">
        <v>570</v>
      </c>
      <c r="D446" s="24" t="s">
        <v>851</v>
      </c>
      <c r="E446" s="24" t="s">
        <v>444</v>
      </c>
    </row>
    <row r="447" spans="1:5" x14ac:dyDescent="0.3">
      <c r="A447">
        <v>446</v>
      </c>
      <c r="B447" s="24" t="s">
        <v>1474</v>
      </c>
      <c r="C447" s="24" t="s">
        <v>570</v>
      </c>
      <c r="D447" s="24" t="s">
        <v>850</v>
      </c>
      <c r="E447" s="24" t="s">
        <v>444</v>
      </c>
    </row>
    <row r="448" spans="1:5" x14ac:dyDescent="0.3">
      <c r="A448">
        <v>447</v>
      </c>
      <c r="B448" s="24" t="s">
        <v>1475</v>
      </c>
      <c r="C448" s="24" t="s">
        <v>571</v>
      </c>
      <c r="D448" s="24" t="s">
        <v>846</v>
      </c>
      <c r="E448" s="24" t="s">
        <v>497</v>
      </c>
    </row>
    <row r="449" spans="1:5" x14ac:dyDescent="0.3">
      <c r="A449">
        <v>448</v>
      </c>
      <c r="B449" s="24" t="s">
        <v>1476</v>
      </c>
      <c r="C449" s="24" t="s">
        <v>571</v>
      </c>
      <c r="D449" s="24" t="s">
        <v>847</v>
      </c>
      <c r="E449" s="24" t="s">
        <v>443</v>
      </c>
    </row>
    <row r="450" spans="1:5" x14ac:dyDescent="0.3">
      <c r="A450">
        <v>449</v>
      </c>
      <c r="B450" s="24" t="s">
        <v>1477</v>
      </c>
      <c r="C450" s="24" t="s">
        <v>571</v>
      </c>
      <c r="D450" s="24" t="s">
        <v>848</v>
      </c>
      <c r="E450" s="24" t="s">
        <v>443</v>
      </c>
    </row>
    <row r="451" spans="1:5" x14ac:dyDescent="0.3">
      <c r="A451">
        <v>450</v>
      </c>
      <c r="B451" s="24" t="s">
        <v>1478</v>
      </c>
      <c r="C451" s="24" t="s">
        <v>571</v>
      </c>
      <c r="D451" s="24" t="s">
        <v>849</v>
      </c>
      <c r="E451" s="24" t="s">
        <v>443</v>
      </c>
    </row>
    <row r="452" spans="1:5" x14ac:dyDescent="0.3">
      <c r="A452">
        <v>451</v>
      </c>
      <c r="B452" s="24" t="s">
        <v>1479</v>
      </c>
      <c r="C452" s="24" t="s">
        <v>571</v>
      </c>
      <c r="D452" s="24" t="s">
        <v>852</v>
      </c>
      <c r="E452" s="24" t="s">
        <v>443</v>
      </c>
    </row>
    <row r="453" spans="1:5" x14ac:dyDescent="0.3">
      <c r="A453">
        <v>452</v>
      </c>
      <c r="B453" s="24" t="s">
        <v>1480</v>
      </c>
      <c r="C453" s="24" t="s">
        <v>571</v>
      </c>
      <c r="D453" s="24" t="s">
        <v>853</v>
      </c>
      <c r="E453" s="24" t="s">
        <v>443</v>
      </c>
    </row>
    <row r="454" spans="1:5" x14ac:dyDescent="0.3">
      <c r="A454">
        <v>453</v>
      </c>
      <c r="B454" s="24" t="s">
        <v>1481</v>
      </c>
      <c r="C454" s="24" t="s">
        <v>571</v>
      </c>
      <c r="D454" s="24" t="s">
        <v>851</v>
      </c>
      <c r="E454" s="24" t="s">
        <v>444</v>
      </c>
    </row>
    <row r="455" spans="1:5" x14ac:dyDescent="0.3">
      <c r="A455">
        <v>454</v>
      </c>
      <c r="B455" s="24" t="s">
        <v>1482</v>
      </c>
      <c r="C455" s="24" t="s">
        <v>571</v>
      </c>
      <c r="D455" s="24" t="s">
        <v>850</v>
      </c>
      <c r="E455" s="24" t="s">
        <v>444</v>
      </c>
    </row>
    <row r="456" spans="1:5" x14ac:dyDescent="0.3">
      <c r="A456">
        <v>455</v>
      </c>
      <c r="B456" s="24" t="s">
        <v>1483</v>
      </c>
      <c r="C456" s="24" t="s">
        <v>769</v>
      </c>
      <c r="D456" s="24" t="s">
        <v>846</v>
      </c>
      <c r="E456" s="24" t="s">
        <v>497</v>
      </c>
    </row>
    <row r="457" spans="1:5" x14ac:dyDescent="0.3">
      <c r="A457">
        <v>456</v>
      </c>
      <c r="B457" s="24" t="s">
        <v>1484</v>
      </c>
      <c r="C457" s="24" t="s">
        <v>769</v>
      </c>
      <c r="D457" s="24" t="s">
        <v>847</v>
      </c>
      <c r="E457" s="24" t="s">
        <v>443</v>
      </c>
    </row>
    <row r="458" spans="1:5" x14ac:dyDescent="0.3">
      <c r="A458">
        <v>457</v>
      </c>
      <c r="B458" s="24" t="s">
        <v>1485</v>
      </c>
      <c r="C458" s="24" t="s">
        <v>769</v>
      </c>
      <c r="D458" s="24" t="s">
        <v>848</v>
      </c>
      <c r="E458" s="24" t="s">
        <v>443</v>
      </c>
    </row>
    <row r="459" spans="1:5" x14ac:dyDescent="0.3">
      <c r="A459">
        <v>458</v>
      </c>
      <c r="B459" s="24" t="s">
        <v>1486</v>
      </c>
      <c r="C459" s="24" t="s">
        <v>769</v>
      </c>
      <c r="D459" s="24" t="s">
        <v>849</v>
      </c>
      <c r="E459" s="24" t="s">
        <v>443</v>
      </c>
    </row>
    <row r="460" spans="1:5" x14ac:dyDescent="0.3">
      <c r="A460">
        <v>459</v>
      </c>
      <c r="B460" s="24" t="s">
        <v>1487</v>
      </c>
      <c r="C460" s="24" t="s">
        <v>769</v>
      </c>
      <c r="D460" s="24" t="s">
        <v>852</v>
      </c>
      <c r="E460" s="24" t="s">
        <v>443</v>
      </c>
    </row>
    <row r="461" spans="1:5" x14ac:dyDescent="0.3">
      <c r="A461">
        <v>460</v>
      </c>
      <c r="B461" s="24" t="s">
        <v>1488</v>
      </c>
      <c r="C461" s="24" t="s">
        <v>769</v>
      </c>
      <c r="D461" s="24" t="s">
        <v>853</v>
      </c>
      <c r="E461" s="24" t="s">
        <v>443</v>
      </c>
    </row>
    <row r="462" spans="1:5" x14ac:dyDescent="0.3">
      <c r="A462">
        <v>461</v>
      </c>
      <c r="B462" s="24" t="s">
        <v>1489</v>
      </c>
      <c r="C462" s="24" t="s">
        <v>769</v>
      </c>
      <c r="D462" s="24" t="s">
        <v>851</v>
      </c>
      <c r="E462" s="24" t="s">
        <v>444</v>
      </c>
    </row>
    <row r="463" spans="1:5" x14ac:dyDescent="0.3">
      <c r="A463">
        <v>462</v>
      </c>
      <c r="B463" s="24" t="s">
        <v>1490</v>
      </c>
      <c r="C463" s="24" t="s">
        <v>769</v>
      </c>
      <c r="D463" s="24" t="s">
        <v>850</v>
      </c>
      <c r="E463" s="24" t="s">
        <v>444</v>
      </c>
    </row>
    <row r="464" spans="1:5" x14ac:dyDescent="0.3">
      <c r="A464">
        <v>463</v>
      </c>
      <c r="B464" s="24" t="s">
        <v>1491</v>
      </c>
      <c r="C464" s="24" t="s">
        <v>770</v>
      </c>
      <c r="D464" s="24" t="s">
        <v>846</v>
      </c>
      <c r="E464" s="24" t="s">
        <v>497</v>
      </c>
    </row>
    <row r="465" spans="1:5" x14ac:dyDescent="0.3">
      <c r="A465">
        <v>464</v>
      </c>
      <c r="B465" s="24" t="s">
        <v>1492</v>
      </c>
      <c r="C465" s="24" t="s">
        <v>770</v>
      </c>
      <c r="D465" s="24" t="s">
        <v>847</v>
      </c>
      <c r="E465" s="24" t="s">
        <v>443</v>
      </c>
    </row>
    <row r="466" spans="1:5" x14ac:dyDescent="0.3">
      <c r="A466">
        <v>465</v>
      </c>
      <c r="B466" s="24" t="s">
        <v>1493</v>
      </c>
      <c r="C466" s="24" t="s">
        <v>770</v>
      </c>
      <c r="D466" s="24" t="s">
        <v>848</v>
      </c>
      <c r="E466" s="24" t="s">
        <v>443</v>
      </c>
    </row>
    <row r="467" spans="1:5" x14ac:dyDescent="0.3">
      <c r="A467">
        <v>466</v>
      </c>
      <c r="B467" s="24" t="s">
        <v>1494</v>
      </c>
      <c r="C467" s="24" t="s">
        <v>770</v>
      </c>
      <c r="D467" s="24" t="s">
        <v>849</v>
      </c>
      <c r="E467" s="24" t="s">
        <v>443</v>
      </c>
    </row>
    <row r="468" spans="1:5" x14ac:dyDescent="0.3">
      <c r="A468">
        <v>467</v>
      </c>
      <c r="B468" s="24" t="s">
        <v>1495</v>
      </c>
      <c r="C468" s="24" t="s">
        <v>770</v>
      </c>
      <c r="D468" s="24" t="s">
        <v>852</v>
      </c>
      <c r="E468" s="24" t="s">
        <v>443</v>
      </c>
    </row>
    <row r="469" spans="1:5" x14ac:dyDescent="0.3">
      <c r="A469">
        <v>468</v>
      </c>
      <c r="B469" s="24" t="s">
        <v>1496</v>
      </c>
      <c r="C469" s="24" t="s">
        <v>770</v>
      </c>
      <c r="D469" s="24" t="s">
        <v>853</v>
      </c>
      <c r="E469" s="24" t="s">
        <v>443</v>
      </c>
    </row>
    <row r="470" spans="1:5" x14ac:dyDescent="0.3">
      <c r="A470">
        <v>469</v>
      </c>
      <c r="B470" s="24" t="s">
        <v>1497</v>
      </c>
      <c r="C470" s="24" t="s">
        <v>770</v>
      </c>
      <c r="D470" s="24" t="s">
        <v>851</v>
      </c>
      <c r="E470" s="24" t="s">
        <v>444</v>
      </c>
    </row>
    <row r="471" spans="1:5" x14ac:dyDescent="0.3">
      <c r="A471">
        <v>470</v>
      </c>
      <c r="B471" s="24" t="s">
        <v>1498</v>
      </c>
      <c r="C471" s="24" t="s">
        <v>770</v>
      </c>
      <c r="D471" s="24" t="s">
        <v>850</v>
      </c>
      <c r="E471" s="24" t="s">
        <v>444</v>
      </c>
    </row>
    <row r="472" spans="1:5" x14ac:dyDescent="0.3">
      <c r="A472">
        <v>471</v>
      </c>
      <c r="B472" s="24" t="s">
        <v>1499</v>
      </c>
      <c r="C472" s="24" t="s">
        <v>771</v>
      </c>
      <c r="D472" s="24" t="s">
        <v>846</v>
      </c>
      <c r="E472" s="24" t="s">
        <v>497</v>
      </c>
    </row>
    <row r="473" spans="1:5" x14ac:dyDescent="0.3">
      <c r="A473">
        <v>472</v>
      </c>
      <c r="B473" s="24" t="s">
        <v>1500</v>
      </c>
      <c r="C473" s="24" t="s">
        <v>771</v>
      </c>
      <c r="D473" s="24" t="s">
        <v>847</v>
      </c>
      <c r="E473" s="24" t="s">
        <v>443</v>
      </c>
    </row>
    <row r="474" spans="1:5" x14ac:dyDescent="0.3">
      <c r="A474">
        <v>473</v>
      </c>
      <c r="B474" s="24" t="s">
        <v>1501</v>
      </c>
      <c r="C474" s="24" t="s">
        <v>771</v>
      </c>
      <c r="D474" s="24" t="s">
        <v>848</v>
      </c>
      <c r="E474" s="24" t="s">
        <v>443</v>
      </c>
    </row>
    <row r="475" spans="1:5" x14ac:dyDescent="0.3">
      <c r="A475">
        <v>474</v>
      </c>
      <c r="B475" s="24" t="s">
        <v>1502</v>
      </c>
      <c r="C475" s="24" t="s">
        <v>771</v>
      </c>
      <c r="D475" s="24" t="s">
        <v>849</v>
      </c>
      <c r="E475" s="24" t="s">
        <v>443</v>
      </c>
    </row>
    <row r="476" spans="1:5" x14ac:dyDescent="0.3">
      <c r="A476">
        <v>475</v>
      </c>
      <c r="B476" s="24" t="s">
        <v>1503</v>
      </c>
      <c r="C476" s="24" t="s">
        <v>771</v>
      </c>
      <c r="D476" s="24" t="s">
        <v>852</v>
      </c>
      <c r="E476" s="24" t="s">
        <v>443</v>
      </c>
    </row>
    <row r="477" spans="1:5" x14ac:dyDescent="0.3">
      <c r="A477">
        <v>476</v>
      </c>
      <c r="B477" s="24" t="s">
        <v>1504</v>
      </c>
      <c r="C477" s="24" t="s">
        <v>771</v>
      </c>
      <c r="D477" s="24" t="s">
        <v>853</v>
      </c>
      <c r="E477" s="24" t="s">
        <v>443</v>
      </c>
    </row>
    <row r="478" spans="1:5" x14ac:dyDescent="0.3">
      <c r="A478">
        <v>477</v>
      </c>
      <c r="B478" s="24" t="s">
        <v>1505</v>
      </c>
      <c r="C478" s="24" t="s">
        <v>771</v>
      </c>
      <c r="D478" s="24" t="s">
        <v>851</v>
      </c>
      <c r="E478" s="24" t="s">
        <v>444</v>
      </c>
    </row>
    <row r="479" spans="1:5" x14ac:dyDescent="0.3">
      <c r="A479">
        <v>478</v>
      </c>
      <c r="B479" s="24" t="s">
        <v>1506</v>
      </c>
      <c r="C479" s="24" t="s">
        <v>771</v>
      </c>
      <c r="D479" s="24" t="s">
        <v>850</v>
      </c>
      <c r="E479" s="24" t="s">
        <v>444</v>
      </c>
    </row>
    <row r="480" spans="1:5" x14ac:dyDescent="0.3">
      <c r="A480">
        <v>479</v>
      </c>
      <c r="B480" s="24" t="s">
        <v>1507</v>
      </c>
      <c r="C480" s="24" t="s">
        <v>772</v>
      </c>
      <c r="D480" s="24" t="s">
        <v>846</v>
      </c>
      <c r="E480" s="24" t="s">
        <v>497</v>
      </c>
    </row>
    <row r="481" spans="1:5" x14ac:dyDescent="0.3">
      <c r="A481">
        <v>480</v>
      </c>
      <c r="B481" s="24" t="s">
        <v>1508</v>
      </c>
      <c r="C481" s="24" t="s">
        <v>772</v>
      </c>
      <c r="D481" s="24" t="s">
        <v>847</v>
      </c>
      <c r="E481" s="24" t="s">
        <v>443</v>
      </c>
    </row>
    <row r="482" spans="1:5" x14ac:dyDescent="0.3">
      <c r="A482">
        <v>481</v>
      </c>
      <c r="B482" s="24" t="s">
        <v>1509</v>
      </c>
      <c r="C482" s="24" t="s">
        <v>772</v>
      </c>
      <c r="D482" s="24" t="s">
        <v>848</v>
      </c>
      <c r="E482" s="24" t="s">
        <v>443</v>
      </c>
    </row>
    <row r="483" spans="1:5" x14ac:dyDescent="0.3">
      <c r="A483">
        <v>482</v>
      </c>
      <c r="B483" s="24" t="s">
        <v>1510</v>
      </c>
      <c r="C483" s="24" t="s">
        <v>772</v>
      </c>
      <c r="D483" s="24" t="s">
        <v>849</v>
      </c>
      <c r="E483" s="24" t="s">
        <v>443</v>
      </c>
    </row>
    <row r="484" spans="1:5" x14ac:dyDescent="0.3">
      <c r="A484">
        <v>483</v>
      </c>
      <c r="B484" s="24" t="s">
        <v>1511</v>
      </c>
      <c r="C484" s="24" t="s">
        <v>772</v>
      </c>
      <c r="D484" s="24" t="s">
        <v>852</v>
      </c>
      <c r="E484" s="24" t="s">
        <v>443</v>
      </c>
    </row>
    <row r="485" spans="1:5" x14ac:dyDescent="0.3">
      <c r="A485">
        <v>484</v>
      </c>
      <c r="B485" s="24" t="s">
        <v>1512</v>
      </c>
      <c r="C485" s="24" t="s">
        <v>772</v>
      </c>
      <c r="D485" s="24" t="s">
        <v>853</v>
      </c>
      <c r="E485" s="24" t="s">
        <v>443</v>
      </c>
    </row>
    <row r="486" spans="1:5" x14ac:dyDescent="0.3">
      <c r="A486">
        <v>485</v>
      </c>
      <c r="B486" s="24" t="s">
        <v>1513</v>
      </c>
      <c r="C486" s="24" t="s">
        <v>772</v>
      </c>
      <c r="D486" s="24" t="s">
        <v>851</v>
      </c>
      <c r="E486" s="24" t="s">
        <v>444</v>
      </c>
    </row>
    <row r="487" spans="1:5" x14ac:dyDescent="0.3">
      <c r="A487">
        <v>486</v>
      </c>
      <c r="B487" s="24" t="s">
        <v>1514</v>
      </c>
      <c r="C487" s="24" t="s">
        <v>772</v>
      </c>
      <c r="D487" s="24" t="s">
        <v>850</v>
      </c>
      <c r="E487" s="24" t="s">
        <v>444</v>
      </c>
    </row>
    <row r="488" spans="1:5" x14ac:dyDescent="0.3">
      <c r="A488">
        <v>487</v>
      </c>
      <c r="B488" s="24" t="s">
        <v>1515</v>
      </c>
      <c r="C488" s="24" t="s">
        <v>773</v>
      </c>
      <c r="D488" s="24" t="s">
        <v>846</v>
      </c>
      <c r="E488" s="24" t="s">
        <v>497</v>
      </c>
    </row>
    <row r="489" spans="1:5" x14ac:dyDescent="0.3">
      <c r="A489">
        <v>488</v>
      </c>
      <c r="B489" s="24" t="s">
        <v>1516</v>
      </c>
      <c r="C489" s="24" t="s">
        <v>773</v>
      </c>
      <c r="D489" s="24" t="s">
        <v>847</v>
      </c>
      <c r="E489" s="24" t="s">
        <v>443</v>
      </c>
    </row>
    <row r="490" spans="1:5" x14ac:dyDescent="0.3">
      <c r="A490">
        <v>489</v>
      </c>
      <c r="B490" s="24" t="s">
        <v>1517</v>
      </c>
      <c r="C490" s="24" t="s">
        <v>773</v>
      </c>
      <c r="D490" s="24" t="s">
        <v>848</v>
      </c>
      <c r="E490" s="24" t="s">
        <v>443</v>
      </c>
    </row>
    <row r="491" spans="1:5" x14ac:dyDescent="0.3">
      <c r="A491">
        <v>490</v>
      </c>
      <c r="B491" s="24" t="s">
        <v>1518</v>
      </c>
      <c r="C491" s="24" t="s">
        <v>773</v>
      </c>
      <c r="D491" s="24" t="s">
        <v>849</v>
      </c>
      <c r="E491" s="24" t="s">
        <v>443</v>
      </c>
    </row>
    <row r="492" spans="1:5" x14ac:dyDescent="0.3">
      <c r="A492">
        <v>491</v>
      </c>
      <c r="B492" s="24" t="s">
        <v>1519</v>
      </c>
      <c r="C492" s="24" t="s">
        <v>773</v>
      </c>
      <c r="D492" s="24" t="s">
        <v>852</v>
      </c>
      <c r="E492" s="24" t="s">
        <v>443</v>
      </c>
    </row>
    <row r="493" spans="1:5" x14ac:dyDescent="0.3">
      <c r="A493">
        <v>492</v>
      </c>
      <c r="B493" s="24" t="s">
        <v>1520</v>
      </c>
      <c r="C493" s="24" t="s">
        <v>773</v>
      </c>
      <c r="D493" s="24" t="s">
        <v>853</v>
      </c>
      <c r="E493" s="24" t="s">
        <v>443</v>
      </c>
    </row>
    <row r="494" spans="1:5" x14ac:dyDescent="0.3">
      <c r="A494">
        <v>493</v>
      </c>
      <c r="B494" s="24" t="s">
        <v>1521</v>
      </c>
      <c r="C494" s="24" t="s">
        <v>773</v>
      </c>
      <c r="D494" s="24" t="s">
        <v>851</v>
      </c>
      <c r="E494" s="24" t="s">
        <v>444</v>
      </c>
    </row>
    <row r="495" spans="1:5" x14ac:dyDescent="0.3">
      <c r="A495">
        <v>494</v>
      </c>
      <c r="B495" s="24" t="s">
        <v>1522</v>
      </c>
      <c r="C495" s="24" t="s">
        <v>773</v>
      </c>
      <c r="D495" s="24" t="s">
        <v>850</v>
      </c>
      <c r="E495" s="24" t="s">
        <v>444</v>
      </c>
    </row>
    <row r="496" spans="1:5" x14ac:dyDescent="0.3">
      <c r="A496">
        <v>495</v>
      </c>
      <c r="B496" s="24" t="s">
        <v>1523</v>
      </c>
      <c r="C496" s="24" t="s">
        <v>774</v>
      </c>
      <c r="D496" s="24" t="s">
        <v>846</v>
      </c>
      <c r="E496" s="24" t="s">
        <v>497</v>
      </c>
    </row>
    <row r="497" spans="1:5" x14ac:dyDescent="0.3">
      <c r="A497">
        <v>496</v>
      </c>
      <c r="B497" s="24" t="s">
        <v>1524</v>
      </c>
      <c r="C497" s="24" t="s">
        <v>774</v>
      </c>
      <c r="D497" s="24" t="s">
        <v>847</v>
      </c>
      <c r="E497" s="24" t="s">
        <v>443</v>
      </c>
    </row>
    <row r="498" spans="1:5" x14ac:dyDescent="0.3">
      <c r="A498">
        <v>497</v>
      </c>
      <c r="B498" s="24" t="s">
        <v>1525</v>
      </c>
      <c r="C498" s="24" t="s">
        <v>774</v>
      </c>
      <c r="D498" s="24" t="s">
        <v>848</v>
      </c>
      <c r="E498" s="24" t="s">
        <v>443</v>
      </c>
    </row>
    <row r="499" spans="1:5" x14ac:dyDescent="0.3">
      <c r="A499">
        <v>498</v>
      </c>
      <c r="B499" s="24" t="s">
        <v>1526</v>
      </c>
      <c r="C499" s="24" t="s">
        <v>774</v>
      </c>
      <c r="D499" s="24" t="s">
        <v>849</v>
      </c>
      <c r="E499" s="24" t="s">
        <v>443</v>
      </c>
    </row>
    <row r="500" spans="1:5" x14ac:dyDescent="0.3">
      <c r="A500">
        <v>499</v>
      </c>
      <c r="B500" s="24" t="s">
        <v>1527</v>
      </c>
      <c r="C500" s="24" t="s">
        <v>774</v>
      </c>
      <c r="D500" s="24" t="s">
        <v>852</v>
      </c>
      <c r="E500" s="24" t="s">
        <v>443</v>
      </c>
    </row>
    <row r="501" spans="1:5" x14ac:dyDescent="0.3">
      <c r="A501">
        <v>500</v>
      </c>
      <c r="B501" s="24" t="s">
        <v>1528</v>
      </c>
      <c r="C501" s="24" t="s">
        <v>774</v>
      </c>
      <c r="D501" s="24" t="s">
        <v>853</v>
      </c>
      <c r="E501" s="24" t="s">
        <v>443</v>
      </c>
    </row>
    <row r="502" spans="1:5" x14ac:dyDescent="0.3">
      <c r="A502">
        <v>501</v>
      </c>
      <c r="B502" s="24" t="s">
        <v>1529</v>
      </c>
      <c r="C502" s="24" t="s">
        <v>774</v>
      </c>
      <c r="D502" s="24" t="s">
        <v>851</v>
      </c>
      <c r="E502" s="24" t="s">
        <v>444</v>
      </c>
    </row>
    <row r="503" spans="1:5" x14ac:dyDescent="0.3">
      <c r="A503">
        <v>502</v>
      </c>
      <c r="B503" s="24" t="s">
        <v>1530</v>
      </c>
      <c r="C503" s="24" t="s">
        <v>774</v>
      </c>
      <c r="D503" s="24" t="s">
        <v>850</v>
      </c>
      <c r="E503" s="24" t="s">
        <v>444</v>
      </c>
    </row>
    <row r="504" spans="1:5" x14ac:dyDescent="0.3">
      <c r="A504">
        <v>503</v>
      </c>
      <c r="B504" s="24" t="s">
        <v>1531</v>
      </c>
      <c r="C504" s="24" t="s">
        <v>775</v>
      </c>
      <c r="D504" s="24" t="s">
        <v>846</v>
      </c>
      <c r="E504" s="24" t="s">
        <v>497</v>
      </c>
    </row>
    <row r="505" spans="1:5" x14ac:dyDescent="0.3">
      <c r="A505">
        <v>504</v>
      </c>
      <c r="B505" s="24" t="s">
        <v>1532</v>
      </c>
      <c r="C505" s="24" t="s">
        <v>775</v>
      </c>
      <c r="D505" s="24" t="s">
        <v>847</v>
      </c>
      <c r="E505" s="24" t="s">
        <v>443</v>
      </c>
    </row>
    <row r="506" spans="1:5" x14ac:dyDescent="0.3">
      <c r="A506">
        <v>505</v>
      </c>
      <c r="B506" s="24" t="s">
        <v>1533</v>
      </c>
      <c r="C506" s="24" t="s">
        <v>775</v>
      </c>
      <c r="D506" s="24" t="s">
        <v>848</v>
      </c>
      <c r="E506" s="24" t="s">
        <v>443</v>
      </c>
    </row>
    <row r="507" spans="1:5" x14ac:dyDescent="0.3">
      <c r="A507">
        <v>506</v>
      </c>
      <c r="B507" s="24" t="s">
        <v>1534</v>
      </c>
      <c r="C507" s="24" t="s">
        <v>775</v>
      </c>
      <c r="D507" s="24" t="s">
        <v>849</v>
      </c>
      <c r="E507" s="24" t="s">
        <v>443</v>
      </c>
    </row>
    <row r="508" spans="1:5" x14ac:dyDescent="0.3">
      <c r="A508">
        <v>507</v>
      </c>
      <c r="B508" s="24" t="s">
        <v>1535</v>
      </c>
      <c r="C508" s="24" t="s">
        <v>775</v>
      </c>
      <c r="D508" s="24" t="s">
        <v>851</v>
      </c>
      <c r="E508" s="24" t="s">
        <v>444</v>
      </c>
    </row>
    <row r="509" spans="1:5" x14ac:dyDescent="0.3">
      <c r="A509">
        <v>508</v>
      </c>
      <c r="B509" s="24" t="s">
        <v>1536</v>
      </c>
      <c r="C509" s="24" t="s">
        <v>775</v>
      </c>
      <c r="D509" s="24" t="s">
        <v>850</v>
      </c>
      <c r="E509" s="24" t="s">
        <v>444</v>
      </c>
    </row>
    <row r="510" spans="1:5" x14ac:dyDescent="0.3">
      <c r="A510">
        <v>509</v>
      </c>
      <c r="B510" s="24" t="s">
        <v>1537</v>
      </c>
      <c r="C510" s="24" t="s">
        <v>776</v>
      </c>
      <c r="D510" s="24" t="s">
        <v>846</v>
      </c>
      <c r="E510" s="24" t="s">
        <v>497</v>
      </c>
    </row>
    <row r="511" spans="1:5" x14ac:dyDescent="0.3">
      <c r="A511">
        <v>510</v>
      </c>
      <c r="B511" s="24" t="s">
        <v>1538</v>
      </c>
      <c r="C511" s="24" t="s">
        <v>776</v>
      </c>
      <c r="D511" s="24" t="s">
        <v>847</v>
      </c>
      <c r="E511" s="24" t="s">
        <v>443</v>
      </c>
    </row>
    <row r="512" spans="1:5" x14ac:dyDescent="0.3">
      <c r="A512">
        <v>511</v>
      </c>
      <c r="B512" s="24" t="s">
        <v>1539</v>
      </c>
      <c r="C512" s="24" t="s">
        <v>776</v>
      </c>
      <c r="D512" s="24" t="s">
        <v>848</v>
      </c>
      <c r="E512" s="24" t="s">
        <v>443</v>
      </c>
    </row>
    <row r="513" spans="1:5" x14ac:dyDescent="0.3">
      <c r="A513">
        <v>512</v>
      </c>
      <c r="B513" s="24" t="s">
        <v>1540</v>
      </c>
      <c r="C513" s="24" t="s">
        <v>776</v>
      </c>
      <c r="D513" s="24" t="s">
        <v>849</v>
      </c>
      <c r="E513" s="24" t="s">
        <v>443</v>
      </c>
    </row>
    <row r="514" spans="1:5" x14ac:dyDescent="0.3">
      <c r="A514">
        <v>513</v>
      </c>
      <c r="B514" s="24" t="s">
        <v>1541</v>
      </c>
      <c r="C514" s="24" t="s">
        <v>776</v>
      </c>
      <c r="D514" s="24" t="s">
        <v>851</v>
      </c>
      <c r="E514" s="24" t="s">
        <v>444</v>
      </c>
    </row>
    <row r="515" spans="1:5" x14ac:dyDescent="0.3">
      <c r="A515">
        <v>514</v>
      </c>
      <c r="B515" s="24" t="s">
        <v>1542</v>
      </c>
      <c r="C515" s="24" t="s">
        <v>776</v>
      </c>
      <c r="D515" s="24" t="s">
        <v>850</v>
      </c>
      <c r="E515" s="24" t="s">
        <v>444</v>
      </c>
    </row>
    <row r="516" spans="1:5" x14ac:dyDescent="0.3">
      <c r="A516">
        <v>515</v>
      </c>
      <c r="B516" s="24" t="s">
        <v>1543</v>
      </c>
      <c r="C516" s="24" t="s">
        <v>777</v>
      </c>
      <c r="D516" s="24" t="s">
        <v>846</v>
      </c>
      <c r="E516" s="24" t="s">
        <v>497</v>
      </c>
    </row>
    <row r="517" spans="1:5" x14ac:dyDescent="0.3">
      <c r="A517">
        <v>516</v>
      </c>
      <c r="B517" s="24" t="s">
        <v>1544</v>
      </c>
      <c r="C517" s="24" t="s">
        <v>777</v>
      </c>
      <c r="D517" s="24" t="s">
        <v>847</v>
      </c>
      <c r="E517" s="24" t="s">
        <v>443</v>
      </c>
    </row>
    <row r="518" spans="1:5" x14ac:dyDescent="0.3">
      <c r="A518">
        <v>517</v>
      </c>
      <c r="B518" s="24" t="s">
        <v>1545</v>
      </c>
      <c r="C518" s="24" t="s">
        <v>777</v>
      </c>
      <c r="D518" s="24" t="s">
        <v>848</v>
      </c>
      <c r="E518" s="24" t="s">
        <v>443</v>
      </c>
    </row>
    <row r="519" spans="1:5" x14ac:dyDescent="0.3">
      <c r="A519">
        <v>518</v>
      </c>
      <c r="B519" s="24" t="s">
        <v>1546</v>
      </c>
      <c r="C519" s="24" t="s">
        <v>777</v>
      </c>
      <c r="D519" s="24" t="s">
        <v>849</v>
      </c>
      <c r="E519" s="24" t="s">
        <v>443</v>
      </c>
    </row>
    <row r="520" spans="1:5" x14ac:dyDescent="0.3">
      <c r="A520">
        <v>519</v>
      </c>
      <c r="B520" s="24" t="s">
        <v>1547</v>
      </c>
      <c r="C520" s="24" t="s">
        <v>777</v>
      </c>
      <c r="D520" s="24" t="s">
        <v>851</v>
      </c>
      <c r="E520" s="24" t="s">
        <v>444</v>
      </c>
    </row>
    <row r="521" spans="1:5" x14ac:dyDescent="0.3">
      <c r="A521">
        <v>520</v>
      </c>
      <c r="B521" s="24" t="s">
        <v>1548</v>
      </c>
      <c r="C521" s="24" t="s">
        <v>777</v>
      </c>
      <c r="D521" s="24" t="s">
        <v>850</v>
      </c>
      <c r="E521" s="24" t="s">
        <v>444</v>
      </c>
    </row>
    <row r="522" spans="1:5" x14ac:dyDescent="0.3">
      <c r="A522">
        <v>521</v>
      </c>
      <c r="B522" s="24" t="s">
        <v>1549</v>
      </c>
      <c r="C522" s="24" t="s">
        <v>778</v>
      </c>
      <c r="D522" s="24" t="s">
        <v>846</v>
      </c>
      <c r="E522" s="24" t="s">
        <v>497</v>
      </c>
    </row>
    <row r="523" spans="1:5" x14ac:dyDescent="0.3">
      <c r="A523">
        <v>522</v>
      </c>
      <c r="B523" s="24" t="s">
        <v>1550</v>
      </c>
      <c r="C523" s="24" t="s">
        <v>778</v>
      </c>
      <c r="D523" s="24" t="s">
        <v>847</v>
      </c>
      <c r="E523" s="24" t="s">
        <v>443</v>
      </c>
    </row>
    <row r="524" spans="1:5" x14ac:dyDescent="0.3">
      <c r="A524">
        <v>523</v>
      </c>
      <c r="B524" s="24" t="s">
        <v>1551</v>
      </c>
      <c r="C524" s="24" t="s">
        <v>778</v>
      </c>
      <c r="D524" s="24" t="s">
        <v>848</v>
      </c>
      <c r="E524" s="24" t="s">
        <v>443</v>
      </c>
    </row>
    <row r="525" spans="1:5" x14ac:dyDescent="0.3">
      <c r="A525">
        <v>524</v>
      </c>
      <c r="B525" s="24" t="s">
        <v>1552</v>
      </c>
      <c r="C525" s="24" t="s">
        <v>778</v>
      </c>
      <c r="D525" s="24" t="s">
        <v>849</v>
      </c>
      <c r="E525" s="24" t="s">
        <v>443</v>
      </c>
    </row>
    <row r="526" spans="1:5" x14ac:dyDescent="0.3">
      <c r="A526">
        <v>525</v>
      </c>
      <c r="B526" s="24" t="s">
        <v>1553</v>
      </c>
      <c r="C526" s="24" t="s">
        <v>778</v>
      </c>
      <c r="D526" s="24" t="s">
        <v>851</v>
      </c>
      <c r="E526" s="24" t="s">
        <v>444</v>
      </c>
    </row>
    <row r="527" spans="1:5" x14ac:dyDescent="0.3">
      <c r="A527">
        <v>526</v>
      </c>
      <c r="B527" s="24" t="s">
        <v>1554</v>
      </c>
      <c r="C527" s="24" t="s">
        <v>778</v>
      </c>
      <c r="D527" s="24" t="s">
        <v>850</v>
      </c>
      <c r="E527" s="24" t="s">
        <v>444</v>
      </c>
    </row>
    <row r="528" spans="1:5" x14ac:dyDescent="0.3">
      <c r="A528">
        <v>527</v>
      </c>
      <c r="B528" s="24" t="s">
        <v>1555</v>
      </c>
      <c r="C528" s="24" t="s">
        <v>779</v>
      </c>
      <c r="D528" s="24" t="s">
        <v>846</v>
      </c>
      <c r="E528" s="24" t="s">
        <v>497</v>
      </c>
    </row>
    <row r="529" spans="1:5" x14ac:dyDescent="0.3">
      <c r="A529">
        <v>528</v>
      </c>
      <c r="B529" s="24" t="s">
        <v>1556</v>
      </c>
      <c r="C529" s="24" t="s">
        <v>779</v>
      </c>
      <c r="D529" s="24" t="s">
        <v>847</v>
      </c>
      <c r="E529" s="24" t="s">
        <v>443</v>
      </c>
    </row>
    <row r="530" spans="1:5" x14ac:dyDescent="0.3">
      <c r="A530">
        <v>529</v>
      </c>
      <c r="B530" s="24" t="s">
        <v>1557</v>
      </c>
      <c r="C530" s="24" t="s">
        <v>779</v>
      </c>
      <c r="D530" s="24" t="s">
        <v>848</v>
      </c>
      <c r="E530" s="24" t="s">
        <v>443</v>
      </c>
    </row>
    <row r="531" spans="1:5" x14ac:dyDescent="0.3">
      <c r="A531">
        <v>530</v>
      </c>
      <c r="B531" s="24" t="s">
        <v>1558</v>
      </c>
      <c r="C531" s="24" t="s">
        <v>779</v>
      </c>
      <c r="D531" s="24" t="s">
        <v>849</v>
      </c>
      <c r="E531" s="24" t="s">
        <v>443</v>
      </c>
    </row>
    <row r="532" spans="1:5" x14ac:dyDescent="0.3">
      <c r="A532">
        <v>531</v>
      </c>
      <c r="B532" s="24" t="s">
        <v>1559</v>
      </c>
      <c r="C532" s="24" t="s">
        <v>779</v>
      </c>
      <c r="D532" s="24" t="s">
        <v>851</v>
      </c>
      <c r="E532" s="24" t="s">
        <v>444</v>
      </c>
    </row>
    <row r="533" spans="1:5" x14ac:dyDescent="0.3">
      <c r="A533">
        <v>532</v>
      </c>
      <c r="B533" s="24" t="s">
        <v>1560</v>
      </c>
      <c r="C533" s="24" t="s">
        <v>779</v>
      </c>
      <c r="D533" s="24" t="s">
        <v>850</v>
      </c>
      <c r="E533" s="24" t="s">
        <v>444</v>
      </c>
    </row>
    <row r="534" spans="1:5" x14ac:dyDescent="0.3">
      <c r="A534">
        <v>533</v>
      </c>
      <c r="B534" s="24" t="s">
        <v>1561</v>
      </c>
      <c r="C534" s="24" t="s">
        <v>780</v>
      </c>
      <c r="D534" s="24" t="s">
        <v>846</v>
      </c>
      <c r="E534" s="24" t="s">
        <v>497</v>
      </c>
    </row>
    <row r="535" spans="1:5" x14ac:dyDescent="0.3">
      <c r="A535">
        <v>534</v>
      </c>
      <c r="B535" s="24" t="s">
        <v>1562</v>
      </c>
      <c r="C535" s="24" t="s">
        <v>780</v>
      </c>
      <c r="D535" s="24" t="s">
        <v>847</v>
      </c>
      <c r="E535" s="24" t="s">
        <v>443</v>
      </c>
    </row>
    <row r="536" spans="1:5" x14ac:dyDescent="0.3">
      <c r="A536">
        <v>535</v>
      </c>
      <c r="B536" s="24" t="s">
        <v>1563</v>
      </c>
      <c r="C536" s="24" t="s">
        <v>780</v>
      </c>
      <c r="D536" s="24" t="s">
        <v>848</v>
      </c>
      <c r="E536" s="24" t="s">
        <v>443</v>
      </c>
    </row>
    <row r="537" spans="1:5" x14ac:dyDescent="0.3">
      <c r="A537">
        <v>536</v>
      </c>
      <c r="B537" s="24" t="s">
        <v>1564</v>
      </c>
      <c r="C537" s="24" t="s">
        <v>780</v>
      </c>
      <c r="D537" s="24" t="s">
        <v>849</v>
      </c>
      <c r="E537" s="24" t="s">
        <v>443</v>
      </c>
    </row>
    <row r="538" spans="1:5" x14ac:dyDescent="0.3">
      <c r="A538">
        <v>537</v>
      </c>
      <c r="B538" s="24" t="s">
        <v>1565</v>
      </c>
      <c r="C538" s="24" t="s">
        <v>780</v>
      </c>
      <c r="D538" s="24" t="s">
        <v>851</v>
      </c>
      <c r="E538" s="24" t="s">
        <v>444</v>
      </c>
    </row>
    <row r="539" spans="1:5" x14ac:dyDescent="0.3">
      <c r="A539">
        <v>538</v>
      </c>
      <c r="B539" s="24" t="s">
        <v>1566</v>
      </c>
      <c r="C539" s="24" t="s">
        <v>780</v>
      </c>
      <c r="D539" s="24" t="s">
        <v>850</v>
      </c>
      <c r="E539" s="24" t="s">
        <v>444</v>
      </c>
    </row>
    <row r="540" spans="1:5" x14ac:dyDescent="0.3">
      <c r="A540">
        <v>539</v>
      </c>
      <c r="B540" s="24" t="s">
        <v>1567</v>
      </c>
      <c r="C540" s="24" t="s">
        <v>781</v>
      </c>
      <c r="D540" s="24" t="s">
        <v>846</v>
      </c>
      <c r="E540" s="24" t="s">
        <v>497</v>
      </c>
    </row>
    <row r="541" spans="1:5" x14ac:dyDescent="0.3">
      <c r="A541">
        <v>540</v>
      </c>
      <c r="B541" s="24" t="s">
        <v>1568</v>
      </c>
      <c r="C541" s="24" t="s">
        <v>781</v>
      </c>
      <c r="D541" s="24" t="s">
        <v>847</v>
      </c>
      <c r="E541" s="24" t="s">
        <v>443</v>
      </c>
    </row>
    <row r="542" spans="1:5" x14ac:dyDescent="0.3">
      <c r="A542">
        <v>541</v>
      </c>
      <c r="B542" s="24" t="s">
        <v>1569</v>
      </c>
      <c r="C542" s="24" t="s">
        <v>781</v>
      </c>
      <c r="D542" s="24" t="s">
        <v>848</v>
      </c>
      <c r="E542" s="24" t="s">
        <v>443</v>
      </c>
    </row>
    <row r="543" spans="1:5" x14ac:dyDescent="0.3">
      <c r="A543">
        <v>542</v>
      </c>
      <c r="B543" s="24" t="s">
        <v>1570</v>
      </c>
      <c r="C543" s="24" t="s">
        <v>781</v>
      </c>
      <c r="D543" s="24" t="s">
        <v>849</v>
      </c>
      <c r="E543" s="24" t="s">
        <v>443</v>
      </c>
    </row>
    <row r="544" spans="1:5" x14ac:dyDescent="0.3">
      <c r="A544">
        <v>543</v>
      </c>
      <c r="B544" s="24" t="s">
        <v>1571</v>
      </c>
      <c r="C544" s="24" t="s">
        <v>781</v>
      </c>
      <c r="D544" s="24" t="s">
        <v>851</v>
      </c>
      <c r="E544" s="24" t="s">
        <v>444</v>
      </c>
    </row>
    <row r="545" spans="1:5" x14ac:dyDescent="0.3">
      <c r="A545">
        <v>544</v>
      </c>
      <c r="B545" s="24" t="s">
        <v>1572</v>
      </c>
      <c r="C545" s="24" t="s">
        <v>781</v>
      </c>
      <c r="D545" s="24" t="s">
        <v>850</v>
      </c>
      <c r="E545" s="24" t="s">
        <v>444</v>
      </c>
    </row>
    <row r="546" spans="1:5" x14ac:dyDescent="0.3">
      <c r="A546">
        <v>545</v>
      </c>
      <c r="B546" s="24" t="s">
        <v>1573</v>
      </c>
      <c r="C546" s="24" t="s">
        <v>782</v>
      </c>
      <c r="D546" s="24" t="s">
        <v>846</v>
      </c>
      <c r="E546" s="24" t="s">
        <v>497</v>
      </c>
    </row>
    <row r="547" spans="1:5" x14ac:dyDescent="0.3">
      <c r="A547">
        <v>546</v>
      </c>
      <c r="B547" s="24" t="s">
        <v>1574</v>
      </c>
      <c r="C547" s="24" t="s">
        <v>782</v>
      </c>
      <c r="D547" s="24" t="s">
        <v>847</v>
      </c>
      <c r="E547" s="24" t="s">
        <v>443</v>
      </c>
    </row>
    <row r="548" spans="1:5" x14ac:dyDescent="0.3">
      <c r="A548">
        <v>547</v>
      </c>
      <c r="B548" s="24" t="s">
        <v>1575</v>
      </c>
      <c r="C548" s="24" t="s">
        <v>782</v>
      </c>
      <c r="D548" s="24" t="s">
        <v>848</v>
      </c>
      <c r="E548" s="24" t="s">
        <v>443</v>
      </c>
    </row>
    <row r="549" spans="1:5" x14ac:dyDescent="0.3">
      <c r="A549">
        <v>548</v>
      </c>
      <c r="B549" s="24" t="s">
        <v>1576</v>
      </c>
      <c r="C549" s="24" t="s">
        <v>782</v>
      </c>
      <c r="D549" s="24" t="s">
        <v>849</v>
      </c>
      <c r="E549" s="24" t="s">
        <v>443</v>
      </c>
    </row>
    <row r="550" spans="1:5" x14ac:dyDescent="0.3">
      <c r="A550">
        <v>549</v>
      </c>
      <c r="B550" s="24" t="s">
        <v>1577</v>
      </c>
      <c r="C550" s="24" t="s">
        <v>782</v>
      </c>
      <c r="D550" s="24" t="s">
        <v>851</v>
      </c>
      <c r="E550" s="24" t="s">
        <v>444</v>
      </c>
    </row>
    <row r="551" spans="1:5" x14ac:dyDescent="0.3">
      <c r="A551">
        <v>550</v>
      </c>
      <c r="B551" s="24" t="s">
        <v>1578</v>
      </c>
      <c r="C551" s="24" t="s">
        <v>782</v>
      </c>
      <c r="D551" s="24" t="s">
        <v>850</v>
      </c>
      <c r="E551" s="24" t="s">
        <v>444</v>
      </c>
    </row>
    <row r="552" spans="1:5" x14ac:dyDescent="0.3">
      <c r="A552">
        <v>551</v>
      </c>
      <c r="B552" s="24" t="s">
        <v>1579</v>
      </c>
      <c r="C552" s="24" t="s">
        <v>740</v>
      </c>
      <c r="D552" s="24" t="s">
        <v>846</v>
      </c>
      <c r="E552" s="24" t="s">
        <v>497</v>
      </c>
    </row>
    <row r="553" spans="1:5" x14ac:dyDescent="0.3">
      <c r="A553">
        <v>552</v>
      </c>
      <c r="B553" s="24" t="s">
        <v>1580</v>
      </c>
      <c r="C553" s="24" t="s">
        <v>740</v>
      </c>
      <c r="D553" s="24" t="s">
        <v>847</v>
      </c>
      <c r="E553" s="24" t="s">
        <v>443</v>
      </c>
    </row>
    <row r="554" spans="1:5" x14ac:dyDescent="0.3">
      <c r="A554">
        <v>553</v>
      </c>
      <c r="B554" s="24" t="s">
        <v>1581</v>
      </c>
      <c r="C554" s="24" t="s">
        <v>740</v>
      </c>
      <c r="D554" s="24" t="s">
        <v>848</v>
      </c>
      <c r="E554" s="24" t="s">
        <v>443</v>
      </c>
    </row>
    <row r="555" spans="1:5" x14ac:dyDescent="0.3">
      <c r="A555">
        <v>554</v>
      </c>
      <c r="B555" s="24" t="s">
        <v>1582</v>
      </c>
      <c r="C555" s="24" t="s">
        <v>740</v>
      </c>
      <c r="D555" s="24" t="s">
        <v>849</v>
      </c>
      <c r="E555" s="24" t="s">
        <v>443</v>
      </c>
    </row>
    <row r="556" spans="1:5" x14ac:dyDescent="0.3">
      <c r="A556">
        <v>555</v>
      </c>
      <c r="B556" s="24" t="s">
        <v>1583</v>
      </c>
      <c r="C556" s="24" t="s">
        <v>740</v>
      </c>
      <c r="D556" s="24" t="s">
        <v>851</v>
      </c>
      <c r="E556" s="24" t="s">
        <v>444</v>
      </c>
    </row>
    <row r="557" spans="1:5" x14ac:dyDescent="0.3">
      <c r="A557">
        <v>556</v>
      </c>
      <c r="B557" s="24" t="s">
        <v>1584</v>
      </c>
      <c r="C557" s="24" t="s">
        <v>740</v>
      </c>
      <c r="D557" s="24" t="s">
        <v>850</v>
      </c>
      <c r="E557" s="24" t="s">
        <v>444</v>
      </c>
    </row>
    <row r="558" spans="1:5" x14ac:dyDescent="0.3">
      <c r="A558">
        <v>557</v>
      </c>
      <c r="B558" s="24" t="s">
        <v>1585</v>
      </c>
      <c r="C558" s="24" t="s">
        <v>741</v>
      </c>
      <c r="D558" s="24" t="s">
        <v>846</v>
      </c>
      <c r="E558" s="24" t="s">
        <v>497</v>
      </c>
    </row>
    <row r="559" spans="1:5" x14ac:dyDescent="0.3">
      <c r="A559">
        <v>558</v>
      </c>
      <c r="B559" s="24" t="s">
        <v>1586</v>
      </c>
      <c r="C559" s="24" t="s">
        <v>741</v>
      </c>
      <c r="D559" s="24" t="s">
        <v>847</v>
      </c>
      <c r="E559" s="24" t="s">
        <v>443</v>
      </c>
    </row>
    <row r="560" spans="1:5" x14ac:dyDescent="0.3">
      <c r="A560">
        <v>559</v>
      </c>
      <c r="B560" s="24" t="s">
        <v>1587</v>
      </c>
      <c r="C560" s="24" t="s">
        <v>741</v>
      </c>
      <c r="D560" s="24" t="s">
        <v>848</v>
      </c>
      <c r="E560" s="24" t="s">
        <v>443</v>
      </c>
    </row>
    <row r="561" spans="1:5" x14ac:dyDescent="0.3">
      <c r="A561">
        <v>560</v>
      </c>
      <c r="B561" s="24" t="s">
        <v>1588</v>
      </c>
      <c r="C561" s="24" t="s">
        <v>741</v>
      </c>
      <c r="D561" s="24" t="s">
        <v>849</v>
      </c>
      <c r="E561" s="24" t="s">
        <v>443</v>
      </c>
    </row>
    <row r="562" spans="1:5" x14ac:dyDescent="0.3">
      <c r="A562">
        <v>561</v>
      </c>
      <c r="B562" s="24" t="s">
        <v>1589</v>
      </c>
      <c r="C562" s="24" t="s">
        <v>741</v>
      </c>
      <c r="D562" s="24" t="s">
        <v>851</v>
      </c>
      <c r="E562" s="24" t="s">
        <v>444</v>
      </c>
    </row>
    <row r="563" spans="1:5" x14ac:dyDescent="0.3">
      <c r="A563">
        <v>562</v>
      </c>
      <c r="B563" s="24" t="s">
        <v>1590</v>
      </c>
      <c r="C563" s="24" t="s">
        <v>741</v>
      </c>
      <c r="D563" s="24" t="s">
        <v>850</v>
      </c>
      <c r="E563" s="24" t="s">
        <v>444</v>
      </c>
    </row>
    <row r="564" spans="1:5" x14ac:dyDescent="0.3">
      <c r="A564">
        <v>563</v>
      </c>
      <c r="B564" s="24" t="s">
        <v>1711</v>
      </c>
      <c r="C564" s="24" t="s">
        <v>580</v>
      </c>
      <c r="D564" s="24" t="s">
        <v>863</v>
      </c>
      <c r="E564" s="24" t="s">
        <v>443</v>
      </c>
    </row>
    <row r="565" spans="1:5" x14ac:dyDescent="0.3">
      <c r="A565">
        <v>564</v>
      </c>
      <c r="B565" s="24" t="s">
        <v>1712</v>
      </c>
      <c r="C565" s="24" t="s">
        <v>580</v>
      </c>
      <c r="D565" s="24" t="s">
        <v>864</v>
      </c>
      <c r="E565" s="24" t="s">
        <v>443</v>
      </c>
    </row>
    <row r="566" spans="1:5" x14ac:dyDescent="0.3">
      <c r="A566">
        <v>565</v>
      </c>
      <c r="B566" s="24" t="s">
        <v>1713</v>
      </c>
      <c r="C566" s="24" t="s">
        <v>580</v>
      </c>
      <c r="D566" s="24" t="s">
        <v>859</v>
      </c>
      <c r="E566" s="24" t="s">
        <v>443</v>
      </c>
    </row>
    <row r="567" spans="1:5" x14ac:dyDescent="0.3">
      <c r="A567">
        <v>566</v>
      </c>
      <c r="B567" s="24" t="s">
        <v>1714</v>
      </c>
      <c r="C567" s="24" t="s">
        <v>580</v>
      </c>
      <c r="D567" s="24" t="s">
        <v>861</v>
      </c>
      <c r="E567" s="24" t="s">
        <v>444</v>
      </c>
    </row>
    <row r="568" spans="1:5" x14ac:dyDescent="0.3">
      <c r="A568">
        <v>567</v>
      </c>
      <c r="B568" s="24" t="s">
        <v>1715</v>
      </c>
      <c r="C568" s="24" t="s">
        <v>580</v>
      </c>
      <c r="D568" s="24" t="s">
        <v>862</v>
      </c>
      <c r="E568" s="24" t="s">
        <v>444</v>
      </c>
    </row>
    <row r="569" spans="1:5" x14ac:dyDescent="0.3">
      <c r="A569">
        <v>568</v>
      </c>
      <c r="B569" s="24" t="s">
        <v>1716</v>
      </c>
      <c r="C569" s="24" t="s">
        <v>581</v>
      </c>
      <c r="D569" s="24" t="s">
        <v>863</v>
      </c>
      <c r="E569" s="24" t="s">
        <v>443</v>
      </c>
    </row>
    <row r="570" spans="1:5" x14ac:dyDescent="0.3">
      <c r="A570">
        <v>569</v>
      </c>
      <c r="B570" s="24" t="s">
        <v>1717</v>
      </c>
      <c r="C570" s="24" t="s">
        <v>581</v>
      </c>
      <c r="D570" s="24" t="s">
        <v>864</v>
      </c>
      <c r="E570" s="24" t="s">
        <v>443</v>
      </c>
    </row>
    <row r="571" spans="1:5" x14ac:dyDescent="0.3">
      <c r="A571">
        <v>570</v>
      </c>
      <c r="B571" s="24" t="s">
        <v>1718</v>
      </c>
      <c r="C571" s="24" t="s">
        <v>581</v>
      </c>
      <c r="D571" s="24" t="s">
        <v>859</v>
      </c>
      <c r="E571" s="24" t="s">
        <v>443</v>
      </c>
    </row>
    <row r="572" spans="1:5" x14ac:dyDescent="0.3">
      <c r="A572">
        <v>571</v>
      </c>
      <c r="B572" s="24" t="s">
        <v>1719</v>
      </c>
      <c r="C572" s="24" t="s">
        <v>581</v>
      </c>
      <c r="D572" s="24" t="s">
        <v>861</v>
      </c>
      <c r="E572" s="24" t="s">
        <v>444</v>
      </c>
    </row>
    <row r="573" spans="1:5" x14ac:dyDescent="0.3">
      <c r="A573">
        <v>572</v>
      </c>
      <c r="B573" s="24" t="s">
        <v>1720</v>
      </c>
      <c r="C573" s="24" t="s">
        <v>581</v>
      </c>
      <c r="D573" s="24" t="s">
        <v>862</v>
      </c>
      <c r="E573" s="24" t="s">
        <v>444</v>
      </c>
    </row>
    <row r="574" spans="1:5" x14ac:dyDescent="0.3">
      <c r="A574">
        <v>573</v>
      </c>
      <c r="B574" s="24" t="s">
        <v>1721</v>
      </c>
      <c r="C574" s="24" t="s">
        <v>582</v>
      </c>
      <c r="D574" s="24" t="s">
        <v>863</v>
      </c>
      <c r="E574" s="24" t="s">
        <v>443</v>
      </c>
    </row>
    <row r="575" spans="1:5" x14ac:dyDescent="0.3">
      <c r="A575">
        <v>574</v>
      </c>
      <c r="B575" s="24" t="s">
        <v>1722</v>
      </c>
      <c r="C575" s="24" t="s">
        <v>582</v>
      </c>
      <c r="D575" s="24" t="s">
        <v>864</v>
      </c>
      <c r="E575" s="24" t="s">
        <v>443</v>
      </c>
    </row>
    <row r="576" spans="1:5" x14ac:dyDescent="0.3">
      <c r="A576">
        <v>575</v>
      </c>
      <c r="B576" s="24" t="s">
        <v>1723</v>
      </c>
      <c r="C576" s="24" t="s">
        <v>582</v>
      </c>
      <c r="D576" s="24" t="s">
        <v>859</v>
      </c>
      <c r="E576" s="24" t="s">
        <v>443</v>
      </c>
    </row>
    <row r="577" spans="1:5" x14ac:dyDescent="0.3">
      <c r="A577">
        <v>576</v>
      </c>
      <c r="B577" s="24" t="s">
        <v>1724</v>
      </c>
      <c r="C577" s="24" t="s">
        <v>582</v>
      </c>
      <c r="D577" s="24" t="s">
        <v>861</v>
      </c>
      <c r="E577" s="24" t="s">
        <v>444</v>
      </c>
    </row>
    <row r="578" spans="1:5" x14ac:dyDescent="0.3">
      <c r="A578">
        <v>577</v>
      </c>
      <c r="B578" s="24" t="s">
        <v>1725</v>
      </c>
      <c r="C578" s="24" t="s">
        <v>582</v>
      </c>
      <c r="D578" s="24" t="s">
        <v>862</v>
      </c>
      <c r="E578" s="24" t="s">
        <v>444</v>
      </c>
    </row>
    <row r="579" spans="1:5" x14ac:dyDescent="0.3">
      <c r="A579">
        <v>578</v>
      </c>
      <c r="B579" s="24" t="s">
        <v>1726</v>
      </c>
      <c r="C579" s="24" t="s">
        <v>583</v>
      </c>
      <c r="D579" s="24" t="s">
        <v>863</v>
      </c>
      <c r="E579" s="24" t="s">
        <v>443</v>
      </c>
    </row>
    <row r="580" spans="1:5" x14ac:dyDescent="0.3">
      <c r="A580">
        <v>579</v>
      </c>
      <c r="B580" s="24" t="s">
        <v>1727</v>
      </c>
      <c r="C580" s="24" t="s">
        <v>583</v>
      </c>
      <c r="D580" s="24" t="s">
        <v>864</v>
      </c>
      <c r="E580" s="24" t="s">
        <v>443</v>
      </c>
    </row>
    <row r="581" spans="1:5" x14ac:dyDescent="0.3">
      <c r="A581">
        <v>580</v>
      </c>
      <c r="B581" s="24" t="s">
        <v>1728</v>
      </c>
      <c r="C581" s="24" t="s">
        <v>583</v>
      </c>
      <c r="D581" s="24" t="s">
        <v>859</v>
      </c>
      <c r="E581" s="24" t="s">
        <v>443</v>
      </c>
    </row>
    <row r="582" spans="1:5" x14ac:dyDescent="0.3">
      <c r="A582">
        <v>581</v>
      </c>
      <c r="B582" s="24" t="s">
        <v>1729</v>
      </c>
      <c r="C582" s="24" t="s">
        <v>583</v>
      </c>
      <c r="D582" s="24" t="s">
        <v>861</v>
      </c>
      <c r="E582" s="24" t="s">
        <v>444</v>
      </c>
    </row>
    <row r="583" spans="1:5" x14ac:dyDescent="0.3">
      <c r="A583">
        <v>582</v>
      </c>
      <c r="B583" s="24" t="s">
        <v>1730</v>
      </c>
      <c r="C583" s="24" t="s">
        <v>583</v>
      </c>
      <c r="D583" s="24" t="s">
        <v>862</v>
      </c>
      <c r="E583" s="24" t="s">
        <v>444</v>
      </c>
    </row>
    <row r="584" spans="1:5" x14ac:dyDescent="0.3">
      <c r="A584">
        <v>583</v>
      </c>
      <c r="B584" s="24" t="s">
        <v>1731</v>
      </c>
      <c r="C584" s="24" t="s">
        <v>584</v>
      </c>
      <c r="D584" s="24" t="s">
        <v>863</v>
      </c>
      <c r="E584" s="24" t="s">
        <v>443</v>
      </c>
    </row>
    <row r="585" spans="1:5" x14ac:dyDescent="0.3">
      <c r="A585">
        <v>584</v>
      </c>
      <c r="B585" s="24" t="s">
        <v>1732</v>
      </c>
      <c r="C585" s="24" t="s">
        <v>584</v>
      </c>
      <c r="D585" s="24" t="s">
        <v>864</v>
      </c>
      <c r="E585" s="24" t="s">
        <v>443</v>
      </c>
    </row>
    <row r="586" spans="1:5" x14ac:dyDescent="0.3">
      <c r="A586">
        <v>585</v>
      </c>
      <c r="B586" s="24" t="s">
        <v>1733</v>
      </c>
      <c r="C586" s="24" t="s">
        <v>584</v>
      </c>
      <c r="D586" s="24" t="s">
        <v>859</v>
      </c>
      <c r="E586" s="24" t="s">
        <v>443</v>
      </c>
    </row>
    <row r="587" spans="1:5" x14ac:dyDescent="0.3">
      <c r="A587">
        <v>586</v>
      </c>
      <c r="B587" s="24" t="s">
        <v>1734</v>
      </c>
      <c r="C587" s="24" t="s">
        <v>584</v>
      </c>
      <c r="D587" s="24" t="s">
        <v>861</v>
      </c>
      <c r="E587" s="24" t="s">
        <v>444</v>
      </c>
    </row>
    <row r="588" spans="1:5" x14ac:dyDescent="0.3">
      <c r="A588">
        <v>587</v>
      </c>
      <c r="B588" s="24" t="s">
        <v>1735</v>
      </c>
      <c r="C588" s="24" t="s">
        <v>584</v>
      </c>
      <c r="D588" s="24" t="s">
        <v>862</v>
      </c>
      <c r="E588" s="24" t="s">
        <v>444</v>
      </c>
    </row>
    <row r="589" spans="1:5" x14ac:dyDescent="0.3">
      <c r="A589">
        <v>588</v>
      </c>
      <c r="B589" s="24" t="s">
        <v>1736</v>
      </c>
      <c r="C589" s="24" t="s">
        <v>585</v>
      </c>
      <c r="D589" s="24" t="s">
        <v>863</v>
      </c>
      <c r="E589" s="24" t="s">
        <v>443</v>
      </c>
    </row>
    <row r="590" spans="1:5" x14ac:dyDescent="0.3">
      <c r="A590">
        <v>589</v>
      </c>
      <c r="B590" s="24" t="s">
        <v>1737</v>
      </c>
      <c r="C590" s="24" t="s">
        <v>585</v>
      </c>
      <c r="D590" s="24" t="s">
        <v>864</v>
      </c>
      <c r="E590" s="24" t="s">
        <v>443</v>
      </c>
    </row>
    <row r="591" spans="1:5" x14ac:dyDescent="0.3">
      <c r="A591">
        <v>590</v>
      </c>
      <c r="B591" s="24" t="s">
        <v>1738</v>
      </c>
      <c r="C591" s="24" t="s">
        <v>585</v>
      </c>
      <c r="D591" s="24" t="s">
        <v>859</v>
      </c>
      <c r="E591" s="24" t="s">
        <v>443</v>
      </c>
    </row>
    <row r="592" spans="1:5" x14ac:dyDescent="0.3">
      <c r="A592">
        <v>591</v>
      </c>
      <c r="B592" s="24" t="s">
        <v>1739</v>
      </c>
      <c r="C592" s="24" t="s">
        <v>585</v>
      </c>
      <c r="D592" s="24" t="s">
        <v>861</v>
      </c>
      <c r="E592" s="24" t="s">
        <v>444</v>
      </c>
    </row>
    <row r="593" spans="1:5" x14ac:dyDescent="0.3">
      <c r="A593">
        <v>592</v>
      </c>
      <c r="B593" s="24" t="s">
        <v>1740</v>
      </c>
      <c r="C593" s="24" t="s">
        <v>585</v>
      </c>
      <c r="D593" s="24" t="s">
        <v>862</v>
      </c>
      <c r="E593" s="24" t="s">
        <v>444</v>
      </c>
    </row>
    <row r="594" spans="1:5" x14ac:dyDescent="0.3">
      <c r="A594">
        <v>593</v>
      </c>
      <c r="B594" s="24" t="s">
        <v>1741</v>
      </c>
      <c r="C594" s="24" t="s">
        <v>586</v>
      </c>
      <c r="D594" s="24" t="s">
        <v>863</v>
      </c>
      <c r="E594" s="24" t="s">
        <v>443</v>
      </c>
    </row>
    <row r="595" spans="1:5" x14ac:dyDescent="0.3">
      <c r="A595">
        <v>594</v>
      </c>
      <c r="B595" s="24" t="s">
        <v>1742</v>
      </c>
      <c r="C595" s="24" t="s">
        <v>586</v>
      </c>
      <c r="D595" s="24" t="s">
        <v>864</v>
      </c>
      <c r="E595" s="24" t="s">
        <v>443</v>
      </c>
    </row>
    <row r="596" spans="1:5" x14ac:dyDescent="0.3">
      <c r="A596">
        <v>595</v>
      </c>
      <c r="B596" s="24" t="s">
        <v>1743</v>
      </c>
      <c r="C596" s="24" t="s">
        <v>586</v>
      </c>
      <c r="D596" s="24" t="s">
        <v>859</v>
      </c>
      <c r="E596" s="24" t="s">
        <v>443</v>
      </c>
    </row>
    <row r="597" spans="1:5" x14ac:dyDescent="0.3">
      <c r="A597">
        <v>596</v>
      </c>
      <c r="B597" s="24" t="s">
        <v>1744</v>
      </c>
      <c r="C597" s="24" t="s">
        <v>586</v>
      </c>
      <c r="D597" s="24" t="s">
        <v>861</v>
      </c>
      <c r="E597" s="24" t="s">
        <v>444</v>
      </c>
    </row>
    <row r="598" spans="1:5" x14ac:dyDescent="0.3">
      <c r="A598">
        <v>597</v>
      </c>
      <c r="B598" s="24" t="s">
        <v>1745</v>
      </c>
      <c r="C598" s="24" t="s">
        <v>586</v>
      </c>
      <c r="D598" s="24" t="s">
        <v>862</v>
      </c>
      <c r="E598" s="24" t="s">
        <v>444</v>
      </c>
    </row>
    <row r="599" spans="1:5" x14ac:dyDescent="0.3">
      <c r="A599">
        <v>598</v>
      </c>
      <c r="B599" s="24" t="s">
        <v>1746</v>
      </c>
      <c r="C599" s="24" t="s">
        <v>587</v>
      </c>
      <c r="D599" s="24" t="s">
        <v>863</v>
      </c>
      <c r="E599" s="24" t="s">
        <v>443</v>
      </c>
    </row>
    <row r="600" spans="1:5" x14ac:dyDescent="0.3">
      <c r="A600">
        <v>599</v>
      </c>
      <c r="B600" s="24" t="s">
        <v>1747</v>
      </c>
      <c r="C600" s="24" t="s">
        <v>587</v>
      </c>
      <c r="D600" s="24" t="s">
        <v>864</v>
      </c>
      <c r="E600" s="24" t="s">
        <v>443</v>
      </c>
    </row>
    <row r="601" spans="1:5" x14ac:dyDescent="0.3">
      <c r="A601">
        <v>600</v>
      </c>
      <c r="B601" s="24" t="s">
        <v>1748</v>
      </c>
      <c r="C601" s="24" t="s">
        <v>587</v>
      </c>
      <c r="D601" s="24" t="s">
        <v>859</v>
      </c>
      <c r="E601" s="24" t="s">
        <v>443</v>
      </c>
    </row>
    <row r="602" spans="1:5" x14ac:dyDescent="0.3">
      <c r="A602">
        <v>601</v>
      </c>
      <c r="B602" s="24" t="s">
        <v>1749</v>
      </c>
      <c r="C602" s="24" t="s">
        <v>587</v>
      </c>
      <c r="D602" s="24" t="s">
        <v>861</v>
      </c>
      <c r="E602" s="24" t="s">
        <v>444</v>
      </c>
    </row>
    <row r="603" spans="1:5" x14ac:dyDescent="0.3">
      <c r="A603">
        <v>602</v>
      </c>
      <c r="B603" s="24" t="s">
        <v>1750</v>
      </c>
      <c r="C603" s="24" t="s">
        <v>587</v>
      </c>
      <c r="D603" s="24" t="s">
        <v>862</v>
      </c>
      <c r="E603" s="24" t="s">
        <v>444</v>
      </c>
    </row>
    <row r="604" spans="1:5" x14ac:dyDescent="0.3">
      <c r="A604">
        <v>603</v>
      </c>
      <c r="B604" s="24" t="s">
        <v>1751</v>
      </c>
      <c r="C604" s="24" t="s">
        <v>588</v>
      </c>
      <c r="D604" s="24" t="s">
        <v>863</v>
      </c>
      <c r="E604" s="24" t="s">
        <v>443</v>
      </c>
    </row>
    <row r="605" spans="1:5" x14ac:dyDescent="0.3">
      <c r="A605">
        <v>604</v>
      </c>
      <c r="B605" s="24" t="s">
        <v>1752</v>
      </c>
      <c r="C605" s="24" t="s">
        <v>588</v>
      </c>
      <c r="D605" s="24" t="s">
        <v>864</v>
      </c>
      <c r="E605" s="24" t="s">
        <v>443</v>
      </c>
    </row>
    <row r="606" spans="1:5" x14ac:dyDescent="0.3">
      <c r="A606">
        <v>605</v>
      </c>
      <c r="B606" s="24" t="s">
        <v>1753</v>
      </c>
      <c r="C606" s="24" t="s">
        <v>588</v>
      </c>
      <c r="D606" s="24" t="s">
        <v>859</v>
      </c>
      <c r="E606" s="24" t="s">
        <v>443</v>
      </c>
    </row>
    <row r="607" spans="1:5" x14ac:dyDescent="0.3">
      <c r="A607">
        <v>606</v>
      </c>
      <c r="B607" s="24" t="s">
        <v>1754</v>
      </c>
      <c r="C607" s="24" t="s">
        <v>588</v>
      </c>
      <c r="D607" s="24" t="s">
        <v>861</v>
      </c>
      <c r="E607" s="24" t="s">
        <v>444</v>
      </c>
    </row>
    <row r="608" spans="1:5" x14ac:dyDescent="0.3">
      <c r="A608">
        <v>607</v>
      </c>
      <c r="B608" s="24" t="s">
        <v>1755</v>
      </c>
      <c r="C608" s="24" t="s">
        <v>588</v>
      </c>
      <c r="D608" s="24" t="s">
        <v>862</v>
      </c>
      <c r="E608" s="24" t="s">
        <v>444</v>
      </c>
    </row>
    <row r="609" spans="1:5" x14ac:dyDescent="0.3">
      <c r="A609">
        <v>608</v>
      </c>
      <c r="B609" s="24" t="s">
        <v>1756</v>
      </c>
      <c r="C609" s="24" t="s">
        <v>589</v>
      </c>
      <c r="D609" s="24" t="s">
        <v>863</v>
      </c>
      <c r="E609" s="24" t="s">
        <v>443</v>
      </c>
    </row>
    <row r="610" spans="1:5" x14ac:dyDescent="0.3">
      <c r="A610">
        <v>609</v>
      </c>
      <c r="B610" s="24" t="s">
        <v>1757</v>
      </c>
      <c r="C610" s="24" t="s">
        <v>589</v>
      </c>
      <c r="D610" s="24" t="s">
        <v>864</v>
      </c>
      <c r="E610" s="24" t="s">
        <v>443</v>
      </c>
    </row>
    <row r="611" spans="1:5" x14ac:dyDescent="0.3">
      <c r="A611">
        <v>610</v>
      </c>
      <c r="B611" s="24" t="s">
        <v>1758</v>
      </c>
      <c r="C611" s="24" t="s">
        <v>589</v>
      </c>
      <c r="D611" s="24" t="s">
        <v>859</v>
      </c>
      <c r="E611" s="24" t="s">
        <v>443</v>
      </c>
    </row>
    <row r="612" spans="1:5" x14ac:dyDescent="0.3">
      <c r="A612">
        <v>611</v>
      </c>
      <c r="B612" s="24" t="s">
        <v>1759</v>
      </c>
      <c r="C612" s="24" t="s">
        <v>589</v>
      </c>
      <c r="D612" s="24" t="s">
        <v>861</v>
      </c>
      <c r="E612" s="24" t="s">
        <v>444</v>
      </c>
    </row>
    <row r="613" spans="1:5" x14ac:dyDescent="0.3">
      <c r="A613">
        <v>612</v>
      </c>
      <c r="B613" s="24" t="s">
        <v>1760</v>
      </c>
      <c r="C613" s="24" t="s">
        <v>589</v>
      </c>
      <c r="D613" s="24" t="s">
        <v>862</v>
      </c>
      <c r="E613" s="24" t="s">
        <v>444</v>
      </c>
    </row>
    <row r="614" spans="1:5" x14ac:dyDescent="0.3">
      <c r="A614">
        <v>613</v>
      </c>
      <c r="B614" s="24" t="s">
        <v>1761</v>
      </c>
      <c r="C614" s="24" t="s">
        <v>590</v>
      </c>
      <c r="D614" s="24" t="s">
        <v>863</v>
      </c>
      <c r="E614" s="24" t="s">
        <v>443</v>
      </c>
    </row>
    <row r="615" spans="1:5" x14ac:dyDescent="0.3">
      <c r="A615">
        <v>614</v>
      </c>
      <c r="B615" s="24" t="s">
        <v>1762</v>
      </c>
      <c r="C615" s="24" t="s">
        <v>590</v>
      </c>
      <c r="D615" s="24" t="s">
        <v>864</v>
      </c>
      <c r="E615" s="24" t="s">
        <v>443</v>
      </c>
    </row>
    <row r="616" spans="1:5" x14ac:dyDescent="0.3">
      <c r="A616">
        <v>615</v>
      </c>
      <c r="B616" s="24" t="s">
        <v>1763</v>
      </c>
      <c r="C616" s="24" t="s">
        <v>590</v>
      </c>
      <c r="D616" s="24" t="s">
        <v>859</v>
      </c>
      <c r="E616" s="24" t="s">
        <v>443</v>
      </c>
    </row>
    <row r="617" spans="1:5" x14ac:dyDescent="0.3">
      <c r="A617">
        <v>616</v>
      </c>
      <c r="B617" s="24" t="s">
        <v>1764</v>
      </c>
      <c r="C617" s="24" t="s">
        <v>590</v>
      </c>
      <c r="D617" s="24" t="s">
        <v>861</v>
      </c>
      <c r="E617" s="24" t="s">
        <v>444</v>
      </c>
    </row>
    <row r="618" spans="1:5" x14ac:dyDescent="0.3">
      <c r="A618">
        <v>617</v>
      </c>
      <c r="B618" s="24" t="s">
        <v>1765</v>
      </c>
      <c r="C618" s="24" t="s">
        <v>590</v>
      </c>
      <c r="D618" s="24" t="s">
        <v>862</v>
      </c>
      <c r="E618" s="24" t="s">
        <v>444</v>
      </c>
    </row>
    <row r="619" spans="1:5" x14ac:dyDescent="0.3">
      <c r="A619">
        <v>618</v>
      </c>
      <c r="B619" s="24" t="s">
        <v>1766</v>
      </c>
      <c r="C619" s="24" t="s">
        <v>591</v>
      </c>
      <c r="D619" s="24" t="s">
        <v>863</v>
      </c>
      <c r="E619" s="24" t="s">
        <v>443</v>
      </c>
    </row>
    <row r="620" spans="1:5" x14ac:dyDescent="0.3">
      <c r="A620">
        <v>619</v>
      </c>
      <c r="B620" s="24" t="s">
        <v>1767</v>
      </c>
      <c r="C620" s="24" t="s">
        <v>591</v>
      </c>
      <c r="D620" s="24" t="s">
        <v>864</v>
      </c>
      <c r="E620" s="24" t="s">
        <v>443</v>
      </c>
    </row>
    <row r="621" spans="1:5" x14ac:dyDescent="0.3">
      <c r="A621">
        <v>620</v>
      </c>
      <c r="B621" s="24" t="s">
        <v>1768</v>
      </c>
      <c r="C621" s="24" t="s">
        <v>591</v>
      </c>
      <c r="D621" s="24" t="s">
        <v>859</v>
      </c>
      <c r="E621" s="24" t="s">
        <v>443</v>
      </c>
    </row>
    <row r="622" spans="1:5" x14ac:dyDescent="0.3">
      <c r="A622">
        <v>621</v>
      </c>
      <c r="B622" s="24" t="s">
        <v>1769</v>
      </c>
      <c r="C622" s="24" t="s">
        <v>591</v>
      </c>
      <c r="D622" s="24" t="s">
        <v>861</v>
      </c>
      <c r="E622" s="24" t="s">
        <v>444</v>
      </c>
    </row>
    <row r="623" spans="1:5" x14ac:dyDescent="0.3">
      <c r="A623">
        <v>622</v>
      </c>
      <c r="B623" s="24" t="s">
        <v>1770</v>
      </c>
      <c r="C623" s="24" t="s">
        <v>591</v>
      </c>
      <c r="D623" s="24" t="s">
        <v>862</v>
      </c>
      <c r="E623" s="24" t="s">
        <v>444</v>
      </c>
    </row>
    <row r="624" spans="1:5" x14ac:dyDescent="0.3">
      <c r="A624">
        <v>623</v>
      </c>
      <c r="B624" s="24" t="s">
        <v>1771</v>
      </c>
      <c r="C624" s="24" t="s">
        <v>592</v>
      </c>
      <c r="D624" s="24" t="s">
        <v>863</v>
      </c>
      <c r="E624" s="24" t="s">
        <v>443</v>
      </c>
    </row>
    <row r="625" spans="1:5" x14ac:dyDescent="0.3">
      <c r="A625">
        <v>624</v>
      </c>
      <c r="B625" s="24" t="s">
        <v>1772</v>
      </c>
      <c r="C625" s="24" t="s">
        <v>592</v>
      </c>
      <c r="D625" s="24" t="s">
        <v>864</v>
      </c>
      <c r="E625" s="24" t="s">
        <v>443</v>
      </c>
    </row>
    <row r="626" spans="1:5" x14ac:dyDescent="0.3">
      <c r="A626">
        <v>625</v>
      </c>
      <c r="B626" s="24" t="s">
        <v>1773</v>
      </c>
      <c r="C626" s="24" t="s">
        <v>592</v>
      </c>
      <c r="D626" s="24" t="s">
        <v>859</v>
      </c>
      <c r="E626" s="24" t="s">
        <v>443</v>
      </c>
    </row>
    <row r="627" spans="1:5" x14ac:dyDescent="0.3">
      <c r="A627">
        <v>626</v>
      </c>
      <c r="B627" s="24" t="s">
        <v>1774</v>
      </c>
      <c r="C627" s="24" t="s">
        <v>592</v>
      </c>
      <c r="D627" s="24" t="s">
        <v>861</v>
      </c>
      <c r="E627" s="24" t="s">
        <v>444</v>
      </c>
    </row>
    <row r="628" spans="1:5" x14ac:dyDescent="0.3">
      <c r="A628">
        <v>627</v>
      </c>
      <c r="B628" s="24" t="s">
        <v>1775</v>
      </c>
      <c r="C628" s="24" t="s">
        <v>592</v>
      </c>
      <c r="D628" s="24" t="s">
        <v>862</v>
      </c>
      <c r="E628" s="24" t="s">
        <v>444</v>
      </c>
    </row>
    <row r="629" spans="1:5" x14ac:dyDescent="0.3">
      <c r="A629">
        <v>628</v>
      </c>
      <c r="B629" s="24" t="s">
        <v>1776</v>
      </c>
      <c r="C629" s="24" t="s">
        <v>593</v>
      </c>
      <c r="D629" s="24" t="s">
        <v>863</v>
      </c>
      <c r="E629" s="24" t="s">
        <v>443</v>
      </c>
    </row>
    <row r="630" spans="1:5" x14ac:dyDescent="0.3">
      <c r="A630">
        <v>629</v>
      </c>
      <c r="B630" s="24" t="s">
        <v>1777</v>
      </c>
      <c r="C630" s="24" t="s">
        <v>593</v>
      </c>
      <c r="D630" s="24" t="s">
        <v>864</v>
      </c>
      <c r="E630" s="24" t="s">
        <v>443</v>
      </c>
    </row>
    <row r="631" spans="1:5" x14ac:dyDescent="0.3">
      <c r="A631">
        <v>630</v>
      </c>
      <c r="B631" s="24" t="s">
        <v>1778</v>
      </c>
      <c r="C631" s="24" t="s">
        <v>593</v>
      </c>
      <c r="D631" s="24" t="s">
        <v>859</v>
      </c>
      <c r="E631" s="24" t="s">
        <v>443</v>
      </c>
    </row>
    <row r="632" spans="1:5" x14ac:dyDescent="0.3">
      <c r="A632">
        <v>631</v>
      </c>
      <c r="B632" s="24" t="s">
        <v>1779</v>
      </c>
      <c r="C632" s="24" t="s">
        <v>593</v>
      </c>
      <c r="D632" s="24" t="s">
        <v>861</v>
      </c>
      <c r="E632" s="24" t="s">
        <v>444</v>
      </c>
    </row>
    <row r="633" spans="1:5" x14ac:dyDescent="0.3">
      <c r="A633">
        <v>632</v>
      </c>
      <c r="B633" s="24" t="s">
        <v>1780</v>
      </c>
      <c r="C633" s="24" t="s">
        <v>593</v>
      </c>
      <c r="D633" s="24" t="s">
        <v>862</v>
      </c>
      <c r="E633" s="24" t="s">
        <v>444</v>
      </c>
    </row>
    <row r="634" spans="1:5" x14ac:dyDescent="0.3">
      <c r="A634">
        <v>633</v>
      </c>
      <c r="B634" s="24" t="s">
        <v>1781</v>
      </c>
      <c r="C634" s="24" t="s">
        <v>594</v>
      </c>
      <c r="D634" s="24" t="s">
        <v>863</v>
      </c>
      <c r="E634" s="24" t="s">
        <v>443</v>
      </c>
    </row>
    <row r="635" spans="1:5" x14ac:dyDescent="0.3">
      <c r="A635">
        <v>634</v>
      </c>
      <c r="B635" s="24" t="s">
        <v>1782</v>
      </c>
      <c r="C635" s="24" t="s">
        <v>594</v>
      </c>
      <c r="D635" s="24" t="s">
        <v>864</v>
      </c>
      <c r="E635" s="24" t="s">
        <v>443</v>
      </c>
    </row>
    <row r="636" spans="1:5" x14ac:dyDescent="0.3">
      <c r="A636">
        <v>635</v>
      </c>
      <c r="B636" s="24" t="s">
        <v>1783</v>
      </c>
      <c r="C636" s="24" t="s">
        <v>594</v>
      </c>
      <c r="D636" s="24" t="s">
        <v>859</v>
      </c>
      <c r="E636" s="24" t="s">
        <v>443</v>
      </c>
    </row>
    <row r="637" spans="1:5" x14ac:dyDescent="0.3">
      <c r="A637">
        <v>636</v>
      </c>
      <c r="B637" s="24" t="s">
        <v>1784</v>
      </c>
      <c r="C637" s="24" t="s">
        <v>594</v>
      </c>
      <c r="D637" s="24" t="s">
        <v>861</v>
      </c>
      <c r="E637" s="24" t="s">
        <v>444</v>
      </c>
    </row>
    <row r="638" spans="1:5" x14ac:dyDescent="0.3">
      <c r="A638">
        <v>637</v>
      </c>
      <c r="B638" s="24" t="s">
        <v>1785</v>
      </c>
      <c r="C638" s="24" t="s">
        <v>594</v>
      </c>
      <c r="D638" s="24" t="s">
        <v>862</v>
      </c>
      <c r="E638" s="24" t="s">
        <v>444</v>
      </c>
    </row>
    <row r="639" spans="1:5" x14ac:dyDescent="0.3">
      <c r="A639">
        <v>638</v>
      </c>
      <c r="B639" s="24" t="s">
        <v>1786</v>
      </c>
      <c r="C639" s="24" t="s">
        <v>595</v>
      </c>
      <c r="D639" s="24" t="s">
        <v>863</v>
      </c>
      <c r="E639" s="24" t="s">
        <v>443</v>
      </c>
    </row>
    <row r="640" spans="1:5" x14ac:dyDescent="0.3">
      <c r="A640">
        <v>639</v>
      </c>
      <c r="B640" s="24" t="s">
        <v>1787</v>
      </c>
      <c r="C640" s="24" t="s">
        <v>595</v>
      </c>
      <c r="D640" s="24" t="s">
        <v>864</v>
      </c>
      <c r="E640" s="24" t="s">
        <v>443</v>
      </c>
    </row>
    <row r="641" spans="1:5" x14ac:dyDescent="0.3">
      <c r="A641">
        <v>640</v>
      </c>
      <c r="B641" s="24" t="s">
        <v>1788</v>
      </c>
      <c r="C641" s="24" t="s">
        <v>595</v>
      </c>
      <c r="D641" s="24" t="s">
        <v>859</v>
      </c>
      <c r="E641" s="24" t="s">
        <v>443</v>
      </c>
    </row>
    <row r="642" spans="1:5" x14ac:dyDescent="0.3">
      <c r="A642">
        <v>641</v>
      </c>
      <c r="B642" s="24" t="s">
        <v>1789</v>
      </c>
      <c r="C642" s="24" t="s">
        <v>595</v>
      </c>
      <c r="D642" s="24" t="s">
        <v>861</v>
      </c>
      <c r="E642" s="24" t="s">
        <v>444</v>
      </c>
    </row>
    <row r="643" spans="1:5" x14ac:dyDescent="0.3">
      <c r="A643">
        <v>642</v>
      </c>
      <c r="B643" s="24" t="s">
        <v>1790</v>
      </c>
      <c r="C643" s="24" t="s">
        <v>595</v>
      </c>
      <c r="D643" s="24" t="s">
        <v>862</v>
      </c>
      <c r="E643" s="24" t="s">
        <v>444</v>
      </c>
    </row>
    <row r="644" spans="1:5" x14ac:dyDescent="0.3">
      <c r="A644">
        <v>643</v>
      </c>
      <c r="B644" s="24" t="s">
        <v>1791</v>
      </c>
      <c r="C644" s="24" t="s">
        <v>596</v>
      </c>
      <c r="D644" s="24" t="s">
        <v>863</v>
      </c>
      <c r="E644" s="24" t="s">
        <v>443</v>
      </c>
    </row>
    <row r="645" spans="1:5" x14ac:dyDescent="0.3">
      <c r="A645">
        <v>644</v>
      </c>
      <c r="B645" s="24" t="s">
        <v>1792</v>
      </c>
      <c r="C645" s="24" t="s">
        <v>596</v>
      </c>
      <c r="D645" s="24" t="s">
        <v>864</v>
      </c>
      <c r="E645" s="24" t="s">
        <v>443</v>
      </c>
    </row>
    <row r="646" spans="1:5" x14ac:dyDescent="0.3">
      <c r="A646">
        <v>645</v>
      </c>
      <c r="B646" s="24" t="s">
        <v>1793</v>
      </c>
      <c r="C646" s="24" t="s">
        <v>596</v>
      </c>
      <c r="D646" s="24" t="s">
        <v>859</v>
      </c>
      <c r="E646" s="24" t="s">
        <v>443</v>
      </c>
    </row>
    <row r="647" spans="1:5" x14ac:dyDescent="0.3">
      <c r="A647">
        <v>646</v>
      </c>
      <c r="B647" s="24" t="s">
        <v>1794</v>
      </c>
      <c r="C647" s="24" t="s">
        <v>596</v>
      </c>
      <c r="D647" s="24" t="s">
        <v>861</v>
      </c>
      <c r="E647" s="24" t="s">
        <v>444</v>
      </c>
    </row>
    <row r="648" spans="1:5" x14ac:dyDescent="0.3">
      <c r="A648">
        <v>647</v>
      </c>
      <c r="B648" s="24" t="s">
        <v>1795</v>
      </c>
      <c r="C648" s="24" t="s">
        <v>596</v>
      </c>
      <c r="D648" s="24" t="s">
        <v>862</v>
      </c>
      <c r="E648" s="24" t="s">
        <v>444</v>
      </c>
    </row>
    <row r="649" spans="1:5" x14ac:dyDescent="0.3">
      <c r="A649">
        <v>648</v>
      </c>
      <c r="B649" s="24" t="s">
        <v>1796</v>
      </c>
      <c r="C649" s="24" t="s">
        <v>597</v>
      </c>
      <c r="D649" s="24" t="s">
        <v>863</v>
      </c>
      <c r="E649" s="24" t="s">
        <v>443</v>
      </c>
    </row>
    <row r="650" spans="1:5" x14ac:dyDescent="0.3">
      <c r="A650">
        <v>649</v>
      </c>
      <c r="B650" s="24" t="s">
        <v>1797</v>
      </c>
      <c r="C650" s="24" t="s">
        <v>597</v>
      </c>
      <c r="D650" s="24" t="s">
        <v>864</v>
      </c>
      <c r="E650" s="24" t="s">
        <v>443</v>
      </c>
    </row>
    <row r="651" spans="1:5" x14ac:dyDescent="0.3">
      <c r="A651">
        <v>650</v>
      </c>
      <c r="B651" s="24" t="s">
        <v>1798</v>
      </c>
      <c r="C651" s="24" t="s">
        <v>597</v>
      </c>
      <c r="D651" s="24" t="s">
        <v>859</v>
      </c>
      <c r="E651" s="24" t="s">
        <v>443</v>
      </c>
    </row>
    <row r="652" spans="1:5" x14ac:dyDescent="0.3">
      <c r="A652">
        <v>651</v>
      </c>
      <c r="B652" s="24" t="s">
        <v>1799</v>
      </c>
      <c r="C652" s="24" t="s">
        <v>597</v>
      </c>
      <c r="D652" s="24" t="s">
        <v>861</v>
      </c>
      <c r="E652" s="24" t="s">
        <v>444</v>
      </c>
    </row>
    <row r="653" spans="1:5" x14ac:dyDescent="0.3">
      <c r="A653">
        <v>652</v>
      </c>
      <c r="B653" s="24" t="s">
        <v>1800</v>
      </c>
      <c r="C653" s="24" t="s">
        <v>597</v>
      </c>
      <c r="D653" s="24" t="s">
        <v>862</v>
      </c>
      <c r="E653" s="24" t="s">
        <v>444</v>
      </c>
    </row>
    <row r="654" spans="1:5" x14ac:dyDescent="0.3">
      <c r="A654">
        <v>653</v>
      </c>
      <c r="B654" s="24" t="s">
        <v>1801</v>
      </c>
      <c r="C654" s="24" t="s">
        <v>598</v>
      </c>
      <c r="D654" s="24" t="s">
        <v>863</v>
      </c>
      <c r="E654" s="24" t="s">
        <v>443</v>
      </c>
    </row>
    <row r="655" spans="1:5" x14ac:dyDescent="0.3">
      <c r="A655">
        <v>654</v>
      </c>
      <c r="B655" s="24" t="s">
        <v>1802</v>
      </c>
      <c r="C655" s="24" t="s">
        <v>598</v>
      </c>
      <c r="D655" s="24" t="s">
        <v>864</v>
      </c>
      <c r="E655" s="24" t="s">
        <v>443</v>
      </c>
    </row>
    <row r="656" spans="1:5" x14ac:dyDescent="0.3">
      <c r="A656">
        <v>655</v>
      </c>
      <c r="B656" s="24" t="s">
        <v>1803</v>
      </c>
      <c r="C656" s="24" t="s">
        <v>598</v>
      </c>
      <c r="D656" s="24" t="s">
        <v>859</v>
      </c>
      <c r="E656" s="24" t="s">
        <v>443</v>
      </c>
    </row>
    <row r="657" spans="1:5" x14ac:dyDescent="0.3">
      <c r="A657">
        <v>656</v>
      </c>
      <c r="B657" s="24" t="s">
        <v>1804</v>
      </c>
      <c r="C657" s="24" t="s">
        <v>598</v>
      </c>
      <c r="D657" s="24" t="s">
        <v>861</v>
      </c>
      <c r="E657" s="24" t="s">
        <v>444</v>
      </c>
    </row>
    <row r="658" spans="1:5" x14ac:dyDescent="0.3">
      <c r="A658">
        <v>657</v>
      </c>
      <c r="B658" s="24" t="s">
        <v>1805</v>
      </c>
      <c r="C658" s="24" t="s">
        <v>598</v>
      </c>
      <c r="D658" s="24" t="s">
        <v>862</v>
      </c>
      <c r="E658" s="24" t="s">
        <v>444</v>
      </c>
    </row>
    <row r="659" spans="1:5" x14ac:dyDescent="0.3">
      <c r="A659">
        <v>658</v>
      </c>
      <c r="B659" s="24" t="s">
        <v>1806</v>
      </c>
      <c r="C659" s="24" t="s">
        <v>599</v>
      </c>
      <c r="D659" s="24" t="s">
        <v>863</v>
      </c>
      <c r="E659" s="24" t="s">
        <v>443</v>
      </c>
    </row>
    <row r="660" spans="1:5" x14ac:dyDescent="0.3">
      <c r="A660">
        <v>659</v>
      </c>
      <c r="B660" s="24" t="s">
        <v>1807</v>
      </c>
      <c r="C660" s="24" t="s">
        <v>599</v>
      </c>
      <c r="D660" s="24" t="s">
        <v>864</v>
      </c>
      <c r="E660" s="24" t="s">
        <v>443</v>
      </c>
    </row>
    <row r="661" spans="1:5" x14ac:dyDescent="0.3">
      <c r="A661">
        <v>660</v>
      </c>
      <c r="B661" s="24" t="s">
        <v>1808</v>
      </c>
      <c r="C661" s="24" t="s">
        <v>599</v>
      </c>
      <c r="D661" s="24" t="s">
        <v>859</v>
      </c>
      <c r="E661" s="24" t="s">
        <v>443</v>
      </c>
    </row>
    <row r="662" spans="1:5" x14ac:dyDescent="0.3">
      <c r="A662">
        <v>661</v>
      </c>
      <c r="B662" s="24" t="s">
        <v>1809</v>
      </c>
      <c r="C662" s="24" t="s">
        <v>599</v>
      </c>
      <c r="D662" s="24" t="s">
        <v>861</v>
      </c>
      <c r="E662" s="24" t="s">
        <v>444</v>
      </c>
    </row>
    <row r="663" spans="1:5" x14ac:dyDescent="0.3">
      <c r="A663">
        <v>662</v>
      </c>
      <c r="B663" s="24" t="s">
        <v>1810</v>
      </c>
      <c r="C663" s="24" t="s">
        <v>599</v>
      </c>
      <c r="D663" s="24" t="s">
        <v>862</v>
      </c>
      <c r="E663" s="24" t="s">
        <v>444</v>
      </c>
    </row>
    <row r="664" spans="1:5" x14ac:dyDescent="0.3">
      <c r="A664">
        <v>663</v>
      </c>
      <c r="B664" s="24" t="s">
        <v>1811</v>
      </c>
      <c r="C664" s="24" t="s">
        <v>600</v>
      </c>
      <c r="D664" s="24" t="s">
        <v>863</v>
      </c>
      <c r="E664" s="24" t="s">
        <v>443</v>
      </c>
    </row>
    <row r="665" spans="1:5" x14ac:dyDescent="0.3">
      <c r="A665">
        <v>664</v>
      </c>
      <c r="B665" s="24" t="s">
        <v>1812</v>
      </c>
      <c r="C665" s="24" t="s">
        <v>600</v>
      </c>
      <c r="D665" s="24" t="s">
        <v>864</v>
      </c>
      <c r="E665" s="24" t="s">
        <v>443</v>
      </c>
    </row>
    <row r="666" spans="1:5" x14ac:dyDescent="0.3">
      <c r="A666">
        <v>665</v>
      </c>
      <c r="B666" s="24" t="s">
        <v>1813</v>
      </c>
      <c r="C666" s="24" t="s">
        <v>600</v>
      </c>
      <c r="D666" s="24" t="s">
        <v>859</v>
      </c>
      <c r="E666" s="24" t="s">
        <v>443</v>
      </c>
    </row>
    <row r="667" spans="1:5" x14ac:dyDescent="0.3">
      <c r="A667">
        <v>666</v>
      </c>
      <c r="B667" s="24" t="s">
        <v>1814</v>
      </c>
      <c r="C667" s="24" t="s">
        <v>600</v>
      </c>
      <c r="D667" s="24" t="s">
        <v>861</v>
      </c>
      <c r="E667" s="24" t="s">
        <v>444</v>
      </c>
    </row>
    <row r="668" spans="1:5" x14ac:dyDescent="0.3">
      <c r="A668">
        <v>667</v>
      </c>
      <c r="B668" s="24" t="s">
        <v>1815</v>
      </c>
      <c r="C668" s="24" t="s">
        <v>600</v>
      </c>
      <c r="D668" s="24" t="s">
        <v>862</v>
      </c>
      <c r="E668" s="24" t="s">
        <v>444</v>
      </c>
    </row>
    <row r="669" spans="1:5" x14ac:dyDescent="0.3">
      <c r="A669">
        <v>668</v>
      </c>
      <c r="B669" s="24" t="s">
        <v>1816</v>
      </c>
      <c r="C669" s="24" t="s">
        <v>601</v>
      </c>
      <c r="D669" s="24" t="s">
        <v>863</v>
      </c>
      <c r="E669" s="24" t="s">
        <v>443</v>
      </c>
    </row>
    <row r="670" spans="1:5" x14ac:dyDescent="0.3">
      <c r="A670">
        <v>669</v>
      </c>
      <c r="B670" s="24" t="s">
        <v>1817</v>
      </c>
      <c r="C670" s="24" t="s">
        <v>601</v>
      </c>
      <c r="D670" s="24" t="s">
        <v>864</v>
      </c>
      <c r="E670" s="24" t="s">
        <v>443</v>
      </c>
    </row>
    <row r="671" spans="1:5" x14ac:dyDescent="0.3">
      <c r="A671">
        <v>670</v>
      </c>
      <c r="B671" s="24" t="s">
        <v>1818</v>
      </c>
      <c r="C671" s="24" t="s">
        <v>601</v>
      </c>
      <c r="D671" s="24" t="s">
        <v>859</v>
      </c>
      <c r="E671" s="24" t="s">
        <v>443</v>
      </c>
    </row>
    <row r="672" spans="1:5" x14ac:dyDescent="0.3">
      <c r="A672">
        <v>671</v>
      </c>
      <c r="B672" s="24" t="s">
        <v>1819</v>
      </c>
      <c r="C672" s="24" t="s">
        <v>601</v>
      </c>
      <c r="D672" s="24" t="s">
        <v>861</v>
      </c>
      <c r="E672" s="24" t="s">
        <v>444</v>
      </c>
    </row>
    <row r="673" spans="1:5" x14ac:dyDescent="0.3">
      <c r="A673">
        <v>672</v>
      </c>
      <c r="B673" s="24" t="s">
        <v>1820</v>
      </c>
      <c r="C673" s="24" t="s">
        <v>601</v>
      </c>
      <c r="D673" s="24" t="s">
        <v>862</v>
      </c>
      <c r="E673" s="24" t="s">
        <v>444</v>
      </c>
    </row>
    <row r="674" spans="1:5" x14ac:dyDescent="0.3">
      <c r="A674">
        <v>673</v>
      </c>
      <c r="B674" s="24" t="s">
        <v>1821</v>
      </c>
      <c r="C674" s="24" t="s">
        <v>602</v>
      </c>
      <c r="D674" s="24" t="s">
        <v>863</v>
      </c>
      <c r="E674" s="24" t="s">
        <v>443</v>
      </c>
    </row>
    <row r="675" spans="1:5" x14ac:dyDescent="0.3">
      <c r="A675">
        <v>674</v>
      </c>
      <c r="B675" s="24" t="s">
        <v>1822</v>
      </c>
      <c r="C675" s="24" t="s">
        <v>602</v>
      </c>
      <c r="D675" s="24" t="s">
        <v>864</v>
      </c>
      <c r="E675" s="24" t="s">
        <v>443</v>
      </c>
    </row>
    <row r="676" spans="1:5" x14ac:dyDescent="0.3">
      <c r="A676">
        <v>675</v>
      </c>
      <c r="B676" s="24" t="s">
        <v>1823</v>
      </c>
      <c r="C676" s="24" t="s">
        <v>602</v>
      </c>
      <c r="D676" s="24" t="s">
        <v>859</v>
      </c>
      <c r="E676" s="24" t="s">
        <v>443</v>
      </c>
    </row>
    <row r="677" spans="1:5" x14ac:dyDescent="0.3">
      <c r="A677">
        <v>676</v>
      </c>
      <c r="B677" s="24" t="s">
        <v>1824</v>
      </c>
      <c r="C677" s="24" t="s">
        <v>602</v>
      </c>
      <c r="D677" s="24" t="s">
        <v>861</v>
      </c>
      <c r="E677" s="24" t="s">
        <v>444</v>
      </c>
    </row>
    <row r="678" spans="1:5" x14ac:dyDescent="0.3">
      <c r="A678">
        <v>677</v>
      </c>
      <c r="B678" s="24" t="s">
        <v>1825</v>
      </c>
      <c r="C678" s="24" t="s">
        <v>602</v>
      </c>
      <c r="D678" s="24" t="s">
        <v>862</v>
      </c>
      <c r="E678" s="24" t="s">
        <v>444</v>
      </c>
    </row>
    <row r="679" spans="1:5" x14ac:dyDescent="0.3">
      <c r="A679">
        <v>678</v>
      </c>
      <c r="B679" s="24" t="s">
        <v>1826</v>
      </c>
      <c r="C679" s="24" t="s">
        <v>603</v>
      </c>
      <c r="D679" s="24" t="s">
        <v>863</v>
      </c>
      <c r="E679" s="24" t="s">
        <v>443</v>
      </c>
    </row>
    <row r="680" spans="1:5" x14ac:dyDescent="0.3">
      <c r="A680">
        <v>679</v>
      </c>
      <c r="B680" s="24" t="s">
        <v>1827</v>
      </c>
      <c r="C680" s="24" t="s">
        <v>603</v>
      </c>
      <c r="D680" s="24" t="s">
        <v>864</v>
      </c>
      <c r="E680" s="24" t="s">
        <v>443</v>
      </c>
    </row>
    <row r="681" spans="1:5" x14ac:dyDescent="0.3">
      <c r="A681">
        <v>680</v>
      </c>
      <c r="B681" s="24" t="s">
        <v>1828</v>
      </c>
      <c r="C681" s="24" t="s">
        <v>603</v>
      </c>
      <c r="D681" s="24" t="s">
        <v>859</v>
      </c>
      <c r="E681" s="24" t="s">
        <v>443</v>
      </c>
    </row>
    <row r="682" spans="1:5" x14ac:dyDescent="0.3">
      <c r="A682">
        <v>681</v>
      </c>
      <c r="B682" s="24" t="s">
        <v>1829</v>
      </c>
      <c r="C682" s="24" t="s">
        <v>603</v>
      </c>
      <c r="D682" s="24" t="s">
        <v>861</v>
      </c>
      <c r="E682" s="24" t="s">
        <v>444</v>
      </c>
    </row>
    <row r="683" spans="1:5" x14ac:dyDescent="0.3">
      <c r="A683">
        <v>682</v>
      </c>
      <c r="B683" s="24" t="s">
        <v>1830</v>
      </c>
      <c r="C683" s="24" t="s">
        <v>603</v>
      </c>
      <c r="D683" s="24" t="s">
        <v>862</v>
      </c>
      <c r="E683" s="24" t="s">
        <v>444</v>
      </c>
    </row>
    <row r="684" spans="1:5" x14ac:dyDescent="0.3">
      <c r="A684">
        <v>683</v>
      </c>
      <c r="B684" s="24" t="s">
        <v>1591</v>
      </c>
      <c r="C684" s="24" t="s">
        <v>572</v>
      </c>
      <c r="D684" s="24" t="s">
        <v>865</v>
      </c>
      <c r="E684" s="24" t="s">
        <v>443</v>
      </c>
    </row>
    <row r="685" spans="1:5" x14ac:dyDescent="0.3">
      <c r="A685">
        <v>684</v>
      </c>
      <c r="B685" s="24" t="s">
        <v>1592</v>
      </c>
      <c r="C685" s="24" t="s">
        <v>572</v>
      </c>
      <c r="D685" s="24" t="s">
        <v>860</v>
      </c>
      <c r="E685" s="24" t="s">
        <v>443</v>
      </c>
    </row>
    <row r="686" spans="1:5" x14ac:dyDescent="0.3">
      <c r="A686">
        <v>685</v>
      </c>
      <c r="B686" s="24" t="s">
        <v>1593</v>
      </c>
      <c r="C686" s="24" t="s">
        <v>572</v>
      </c>
      <c r="D686" s="24" t="s">
        <v>866</v>
      </c>
      <c r="E686" s="24" t="s">
        <v>444</v>
      </c>
    </row>
    <row r="687" spans="1:5" x14ac:dyDescent="0.3">
      <c r="A687">
        <v>686</v>
      </c>
      <c r="B687" s="24" t="s">
        <v>1594</v>
      </c>
      <c r="C687" s="24" t="s">
        <v>573</v>
      </c>
      <c r="D687" s="24" t="s">
        <v>865</v>
      </c>
      <c r="E687" s="24" t="s">
        <v>443</v>
      </c>
    </row>
    <row r="688" spans="1:5" x14ac:dyDescent="0.3">
      <c r="A688">
        <v>687</v>
      </c>
      <c r="B688" s="24" t="s">
        <v>1595</v>
      </c>
      <c r="C688" s="24" t="s">
        <v>573</v>
      </c>
      <c r="D688" s="24" t="s">
        <v>860</v>
      </c>
      <c r="E688" s="24" t="s">
        <v>443</v>
      </c>
    </row>
    <row r="689" spans="1:5" x14ac:dyDescent="0.3">
      <c r="A689">
        <v>688</v>
      </c>
      <c r="B689" s="24" t="s">
        <v>1596</v>
      </c>
      <c r="C689" s="24" t="s">
        <v>573</v>
      </c>
      <c r="D689" s="24" t="s">
        <v>866</v>
      </c>
      <c r="E689" s="24" t="s">
        <v>444</v>
      </c>
    </row>
    <row r="690" spans="1:5" x14ac:dyDescent="0.3">
      <c r="A690">
        <v>689</v>
      </c>
      <c r="B690" s="24" t="s">
        <v>1597</v>
      </c>
      <c r="C690" s="24" t="s">
        <v>574</v>
      </c>
      <c r="D690" s="24" t="s">
        <v>865</v>
      </c>
      <c r="E690" s="24" t="s">
        <v>443</v>
      </c>
    </row>
    <row r="691" spans="1:5" x14ac:dyDescent="0.3">
      <c r="A691">
        <v>690</v>
      </c>
      <c r="B691" s="24" t="s">
        <v>1598</v>
      </c>
      <c r="C691" s="24" t="s">
        <v>574</v>
      </c>
      <c r="D691" s="24" t="s">
        <v>860</v>
      </c>
      <c r="E691" s="24" t="s">
        <v>443</v>
      </c>
    </row>
    <row r="692" spans="1:5" x14ac:dyDescent="0.3">
      <c r="A692">
        <v>691</v>
      </c>
      <c r="B692" s="24" t="s">
        <v>1599</v>
      </c>
      <c r="C692" s="24" t="s">
        <v>574</v>
      </c>
      <c r="D692" s="24" t="s">
        <v>866</v>
      </c>
      <c r="E692" s="24" t="s">
        <v>444</v>
      </c>
    </row>
    <row r="693" spans="1:5" x14ac:dyDescent="0.3">
      <c r="A693">
        <v>692</v>
      </c>
      <c r="B693" s="24" t="s">
        <v>1600</v>
      </c>
      <c r="C693" s="24" t="s">
        <v>575</v>
      </c>
      <c r="D693" s="24" t="s">
        <v>865</v>
      </c>
      <c r="E693" s="24" t="s">
        <v>443</v>
      </c>
    </row>
    <row r="694" spans="1:5" x14ac:dyDescent="0.3">
      <c r="A694">
        <v>693</v>
      </c>
      <c r="B694" s="24" t="s">
        <v>1601</v>
      </c>
      <c r="C694" s="24" t="s">
        <v>575</v>
      </c>
      <c r="D694" s="24" t="s">
        <v>860</v>
      </c>
      <c r="E694" s="24" t="s">
        <v>443</v>
      </c>
    </row>
    <row r="695" spans="1:5" x14ac:dyDescent="0.3">
      <c r="A695">
        <v>694</v>
      </c>
      <c r="B695" s="24" t="s">
        <v>1602</v>
      </c>
      <c r="C695" s="24" t="s">
        <v>575</v>
      </c>
      <c r="D695" s="24" t="s">
        <v>866</v>
      </c>
      <c r="E695" s="24" t="s">
        <v>444</v>
      </c>
    </row>
    <row r="696" spans="1:5" x14ac:dyDescent="0.3">
      <c r="A696">
        <v>695</v>
      </c>
      <c r="B696" s="24" t="s">
        <v>1603</v>
      </c>
      <c r="C696" s="24" t="s">
        <v>576</v>
      </c>
      <c r="D696" s="24" t="s">
        <v>865</v>
      </c>
      <c r="E696" s="24" t="s">
        <v>443</v>
      </c>
    </row>
    <row r="697" spans="1:5" x14ac:dyDescent="0.3">
      <c r="A697">
        <v>696</v>
      </c>
      <c r="B697" s="24" t="s">
        <v>1604</v>
      </c>
      <c r="C697" s="24" t="s">
        <v>576</v>
      </c>
      <c r="D697" s="24" t="s">
        <v>860</v>
      </c>
      <c r="E697" s="24" t="s">
        <v>443</v>
      </c>
    </row>
    <row r="698" spans="1:5" x14ac:dyDescent="0.3">
      <c r="A698">
        <v>697</v>
      </c>
      <c r="B698" s="24" t="s">
        <v>1605</v>
      </c>
      <c r="C698" s="24" t="s">
        <v>576</v>
      </c>
      <c r="D698" s="24" t="s">
        <v>866</v>
      </c>
      <c r="E698" s="24" t="s">
        <v>444</v>
      </c>
    </row>
    <row r="699" spans="1:5" x14ac:dyDescent="0.3">
      <c r="A699">
        <v>698</v>
      </c>
      <c r="B699" s="24" t="s">
        <v>1606</v>
      </c>
      <c r="C699" s="24" t="s">
        <v>577</v>
      </c>
      <c r="D699" s="24" t="s">
        <v>865</v>
      </c>
      <c r="E699" s="24" t="s">
        <v>443</v>
      </c>
    </row>
    <row r="700" spans="1:5" x14ac:dyDescent="0.3">
      <c r="A700">
        <v>699</v>
      </c>
      <c r="B700" s="24" t="s">
        <v>1607</v>
      </c>
      <c r="C700" s="24" t="s">
        <v>577</v>
      </c>
      <c r="D700" s="24" t="s">
        <v>860</v>
      </c>
      <c r="E700" s="24" t="s">
        <v>443</v>
      </c>
    </row>
    <row r="701" spans="1:5" x14ac:dyDescent="0.3">
      <c r="A701">
        <v>700</v>
      </c>
      <c r="B701" s="24" t="s">
        <v>1608</v>
      </c>
      <c r="C701" s="24" t="s">
        <v>577</v>
      </c>
      <c r="D701" s="24" t="s">
        <v>866</v>
      </c>
      <c r="E701" s="24" t="s">
        <v>444</v>
      </c>
    </row>
    <row r="702" spans="1:5" x14ac:dyDescent="0.3">
      <c r="A702">
        <v>701</v>
      </c>
      <c r="B702" s="24" t="s">
        <v>1609</v>
      </c>
      <c r="C702" s="24" t="s">
        <v>578</v>
      </c>
      <c r="D702" s="24" t="s">
        <v>854</v>
      </c>
      <c r="E702" s="24" t="s">
        <v>443</v>
      </c>
    </row>
    <row r="703" spans="1:5" x14ac:dyDescent="0.3">
      <c r="A703">
        <v>702</v>
      </c>
      <c r="B703" s="24" t="s">
        <v>1610</v>
      </c>
      <c r="C703" s="24" t="s">
        <v>578</v>
      </c>
      <c r="D703" s="24" t="s">
        <v>855</v>
      </c>
      <c r="E703" s="24" t="s">
        <v>443</v>
      </c>
    </row>
    <row r="704" spans="1:5" x14ac:dyDescent="0.3">
      <c r="A704">
        <v>703</v>
      </c>
      <c r="B704" s="24" t="s">
        <v>1611</v>
      </c>
      <c r="C704" s="24" t="s">
        <v>578</v>
      </c>
      <c r="D704" s="24" t="s">
        <v>857</v>
      </c>
      <c r="E704" s="24" t="s">
        <v>443</v>
      </c>
    </row>
    <row r="705" spans="1:5" x14ac:dyDescent="0.3">
      <c r="A705">
        <v>704</v>
      </c>
      <c r="B705" s="24" t="s">
        <v>1612</v>
      </c>
      <c r="C705" s="24" t="s">
        <v>578</v>
      </c>
      <c r="D705" s="24" t="s">
        <v>856</v>
      </c>
      <c r="E705" s="24" t="s">
        <v>443</v>
      </c>
    </row>
    <row r="706" spans="1:5" x14ac:dyDescent="0.3">
      <c r="A706">
        <v>705</v>
      </c>
      <c r="B706" s="24" t="s">
        <v>1613</v>
      </c>
      <c r="C706" s="24" t="s">
        <v>578</v>
      </c>
      <c r="D706" s="24" t="s">
        <v>851</v>
      </c>
      <c r="E706" s="24" t="s">
        <v>444</v>
      </c>
    </row>
    <row r="707" spans="1:5" x14ac:dyDescent="0.3">
      <c r="A707">
        <v>706</v>
      </c>
      <c r="B707" s="24" t="s">
        <v>1614</v>
      </c>
      <c r="C707" s="24" t="s">
        <v>578</v>
      </c>
      <c r="D707" s="24" t="s">
        <v>850</v>
      </c>
      <c r="E707" s="24" t="s">
        <v>444</v>
      </c>
    </row>
    <row r="708" spans="1:5" x14ac:dyDescent="0.3">
      <c r="A708">
        <v>707</v>
      </c>
      <c r="B708" s="24" t="s">
        <v>1615</v>
      </c>
      <c r="C708" s="24" t="s">
        <v>579</v>
      </c>
      <c r="D708" s="24" t="s">
        <v>854</v>
      </c>
      <c r="E708" s="24" t="s">
        <v>443</v>
      </c>
    </row>
    <row r="709" spans="1:5" x14ac:dyDescent="0.3">
      <c r="A709">
        <v>708</v>
      </c>
      <c r="B709" s="24" t="s">
        <v>1616</v>
      </c>
      <c r="C709" s="24" t="s">
        <v>579</v>
      </c>
      <c r="D709" s="24" t="s">
        <v>855</v>
      </c>
      <c r="E709" s="24" t="s">
        <v>443</v>
      </c>
    </row>
    <row r="710" spans="1:5" x14ac:dyDescent="0.3">
      <c r="A710">
        <v>709</v>
      </c>
      <c r="B710" s="24" t="s">
        <v>1617</v>
      </c>
      <c r="C710" s="24" t="s">
        <v>579</v>
      </c>
      <c r="D710" s="24" t="s">
        <v>857</v>
      </c>
      <c r="E710" s="24" t="s">
        <v>443</v>
      </c>
    </row>
    <row r="711" spans="1:5" x14ac:dyDescent="0.3">
      <c r="A711">
        <v>710</v>
      </c>
      <c r="B711" s="24" t="s">
        <v>1618</v>
      </c>
      <c r="C711" s="24" t="s">
        <v>579</v>
      </c>
      <c r="D711" s="24" t="s">
        <v>856</v>
      </c>
      <c r="E711" s="24" t="s">
        <v>443</v>
      </c>
    </row>
    <row r="712" spans="1:5" x14ac:dyDescent="0.3">
      <c r="A712">
        <v>711</v>
      </c>
      <c r="B712" s="24" t="s">
        <v>1619</v>
      </c>
      <c r="C712" s="24" t="s">
        <v>579</v>
      </c>
      <c r="D712" s="24" t="s">
        <v>851</v>
      </c>
      <c r="E712" s="24" t="s">
        <v>444</v>
      </c>
    </row>
    <row r="713" spans="1:5" x14ac:dyDescent="0.3">
      <c r="A713">
        <v>712</v>
      </c>
      <c r="B713" s="24" t="s">
        <v>1620</v>
      </c>
      <c r="C713" s="24" t="s">
        <v>579</v>
      </c>
      <c r="D713" s="24" t="s">
        <v>850</v>
      </c>
      <c r="E713" s="24" t="s">
        <v>444</v>
      </c>
    </row>
    <row r="714" spans="1:5" x14ac:dyDescent="0.3">
      <c r="A714">
        <v>713</v>
      </c>
      <c r="B714" s="24" t="s">
        <v>1621</v>
      </c>
      <c r="C714" s="24" t="s">
        <v>579</v>
      </c>
      <c r="D714" s="24" t="s">
        <v>854</v>
      </c>
      <c r="E714" s="24" t="s">
        <v>443</v>
      </c>
    </row>
    <row r="715" spans="1:5" x14ac:dyDescent="0.3">
      <c r="A715">
        <v>714</v>
      </c>
      <c r="B715" s="24" t="s">
        <v>1622</v>
      </c>
      <c r="C715" s="24" t="s">
        <v>579</v>
      </c>
      <c r="D715" s="24" t="s">
        <v>855</v>
      </c>
      <c r="E715" s="24" t="s">
        <v>443</v>
      </c>
    </row>
    <row r="716" spans="1:5" x14ac:dyDescent="0.3">
      <c r="A716">
        <v>715</v>
      </c>
      <c r="B716" s="24" t="s">
        <v>1623</v>
      </c>
      <c r="C716" s="24" t="s">
        <v>579</v>
      </c>
      <c r="D716" s="24" t="s">
        <v>857</v>
      </c>
      <c r="E716" s="24" t="s">
        <v>443</v>
      </c>
    </row>
    <row r="717" spans="1:5" x14ac:dyDescent="0.3">
      <c r="A717">
        <v>716</v>
      </c>
      <c r="B717" s="24" t="s">
        <v>1624</v>
      </c>
      <c r="C717" s="24" t="s">
        <v>579</v>
      </c>
      <c r="D717" s="24" t="s">
        <v>856</v>
      </c>
      <c r="E717" s="24" t="s">
        <v>443</v>
      </c>
    </row>
    <row r="718" spans="1:5" x14ac:dyDescent="0.3">
      <c r="A718">
        <v>717</v>
      </c>
      <c r="B718" s="24" t="s">
        <v>1625</v>
      </c>
      <c r="C718" s="24" t="s">
        <v>579</v>
      </c>
      <c r="D718" s="24" t="s">
        <v>851</v>
      </c>
      <c r="E718" s="24" t="s">
        <v>444</v>
      </c>
    </row>
    <row r="719" spans="1:5" x14ac:dyDescent="0.3">
      <c r="A719">
        <v>718</v>
      </c>
      <c r="B719" s="24" t="s">
        <v>1626</v>
      </c>
      <c r="C719" s="24" t="s">
        <v>579</v>
      </c>
      <c r="D719" s="24" t="s">
        <v>850</v>
      </c>
      <c r="E719" s="24" t="s">
        <v>444</v>
      </c>
    </row>
    <row r="720" spans="1:5" x14ac:dyDescent="0.3">
      <c r="A720">
        <v>719</v>
      </c>
      <c r="B720" s="24" t="s">
        <v>1627</v>
      </c>
      <c r="C720" s="24" t="s">
        <v>579</v>
      </c>
      <c r="D720" s="24" t="s">
        <v>854</v>
      </c>
      <c r="E720" s="24" t="s">
        <v>443</v>
      </c>
    </row>
    <row r="721" spans="1:5" x14ac:dyDescent="0.3">
      <c r="A721">
        <v>720</v>
      </c>
      <c r="B721" s="24" t="s">
        <v>1628</v>
      </c>
      <c r="C721" s="24" t="s">
        <v>579</v>
      </c>
      <c r="D721" s="24" t="s">
        <v>855</v>
      </c>
      <c r="E721" s="24" t="s">
        <v>443</v>
      </c>
    </row>
    <row r="722" spans="1:5" x14ac:dyDescent="0.3">
      <c r="A722">
        <v>721</v>
      </c>
      <c r="B722" s="24" t="s">
        <v>1629</v>
      </c>
      <c r="C722" s="24" t="s">
        <v>579</v>
      </c>
      <c r="D722" s="24" t="s">
        <v>857</v>
      </c>
      <c r="E722" s="24" t="s">
        <v>443</v>
      </c>
    </row>
    <row r="723" spans="1:5" x14ac:dyDescent="0.3">
      <c r="A723">
        <v>722</v>
      </c>
      <c r="B723" s="24" t="s">
        <v>1630</v>
      </c>
      <c r="C723" s="24" t="s">
        <v>579</v>
      </c>
      <c r="D723" s="24" t="s">
        <v>856</v>
      </c>
      <c r="E723" s="24" t="s">
        <v>443</v>
      </c>
    </row>
    <row r="724" spans="1:5" x14ac:dyDescent="0.3">
      <c r="A724">
        <v>723</v>
      </c>
      <c r="B724" s="24" t="s">
        <v>1631</v>
      </c>
      <c r="C724" s="24" t="s">
        <v>579</v>
      </c>
      <c r="D724" s="24" t="s">
        <v>851</v>
      </c>
      <c r="E724" s="24" t="s">
        <v>444</v>
      </c>
    </row>
    <row r="725" spans="1:5" x14ac:dyDescent="0.3">
      <c r="A725">
        <v>724</v>
      </c>
      <c r="B725" s="24" t="s">
        <v>1632</v>
      </c>
      <c r="C725" s="24" t="s">
        <v>579</v>
      </c>
      <c r="D725" s="24" t="s">
        <v>850</v>
      </c>
      <c r="E725" s="24" t="s">
        <v>444</v>
      </c>
    </row>
    <row r="726" spans="1:5" x14ac:dyDescent="0.3">
      <c r="A726">
        <v>725</v>
      </c>
      <c r="B726" s="24" t="s">
        <v>1633</v>
      </c>
      <c r="C726" s="24" t="s">
        <v>579</v>
      </c>
      <c r="D726" s="24" t="s">
        <v>854</v>
      </c>
      <c r="E726" s="24" t="s">
        <v>443</v>
      </c>
    </row>
    <row r="727" spans="1:5" x14ac:dyDescent="0.3">
      <c r="A727">
        <v>726</v>
      </c>
      <c r="B727" s="24" t="s">
        <v>1634</v>
      </c>
      <c r="C727" s="24" t="s">
        <v>579</v>
      </c>
      <c r="D727" s="24" t="s">
        <v>855</v>
      </c>
      <c r="E727" s="24" t="s">
        <v>443</v>
      </c>
    </row>
    <row r="728" spans="1:5" x14ac:dyDescent="0.3">
      <c r="A728">
        <v>727</v>
      </c>
      <c r="B728" s="24" t="s">
        <v>1635</v>
      </c>
      <c r="C728" s="24" t="s">
        <v>579</v>
      </c>
      <c r="D728" s="24" t="s">
        <v>857</v>
      </c>
      <c r="E728" s="24" t="s">
        <v>443</v>
      </c>
    </row>
    <row r="729" spans="1:5" x14ac:dyDescent="0.3">
      <c r="A729">
        <v>728</v>
      </c>
      <c r="B729" s="24" t="s">
        <v>1636</v>
      </c>
      <c r="C729" s="24" t="s">
        <v>579</v>
      </c>
      <c r="D729" s="24" t="s">
        <v>856</v>
      </c>
      <c r="E729" s="24" t="s">
        <v>443</v>
      </c>
    </row>
    <row r="730" spans="1:5" x14ac:dyDescent="0.3">
      <c r="A730">
        <v>729</v>
      </c>
      <c r="B730" s="24" t="s">
        <v>1637</v>
      </c>
      <c r="C730" s="24" t="s">
        <v>579</v>
      </c>
      <c r="D730" s="24" t="s">
        <v>851</v>
      </c>
      <c r="E730" s="24" t="s">
        <v>444</v>
      </c>
    </row>
    <row r="731" spans="1:5" x14ac:dyDescent="0.3">
      <c r="A731">
        <v>730</v>
      </c>
      <c r="B731" s="24" t="s">
        <v>1638</v>
      </c>
      <c r="C731" s="24" t="s">
        <v>579</v>
      </c>
      <c r="D731" s="24" t="s">
        <v>850</v>
      </c>
      <c r="E731" s="24" t="s">
        <v>444</v>
      </c>
    </row>
    <row r="732" spans="1:5" x14ac:dyDescent="0.3">
      <c r="A732">
        <v>731</v>
      </c>
      <c r="B732" s="24" t="s">
        <v>1639</v>
      </c>
      <c r="C732" s="24" t="s">
        <v>579</v>
      </c>
      <c r="D732" s="24" t="s">
        <v>854</v>
      </c>
      <c r="E732" s="24" t="s">
        <v>443</v>
      </c>
    </row>
    <row r="733" spans="1:5" x14ac:dyDescent="0.3">
      <c r="A733">
        <v>732</v>
      </c>
      <c r="B733" s="24" t="s">
        <v>1640</v>
      </c>
      <c r="C733" s="24" t="s">
        <v>579</v>
      </c>
      <c r="D733" s="24" t="s">
        <v>855</v>
      </c>
      <c r="E733" s="24" t="s">
        <v>443</v>
      </c>
    </row>
    <row r="734" spans="1:5" x14ac:dyDescent="0.3">
      <c r="A734">
        <v>733</v>
      </c>
      <c r="B734" s="24" t="s">
        <v>1641</v>
      </c>
      <c r="C734" s="24" t="s">
        <v>579</v>
      </c>
      <c r="D734" s="24" t="s">
        <v>857</v>
      </c>
      <c r="E734" s="24" t="s">
        <v>443</v>
      </c>
    </row>
    <row r="735" spans="1:5" x14ac:dyDescent="0.3">
      <c r="A735">
        <v>734</v>
      </c>
      <c r="B735" s="24" t="s">
        <v>1642</v>
      </c>
      <c r="C735" s="24" t="s">
        <v>579</v>
      </c>
      <c r="D735" s="24" t="s">
        <v>856</v>
      </c>
      <c r="E735" s="24" t="s">
        <v>443</v>
      </c>
    </row>
    <row r="736" spans="1:5" x14ac:dyDescent="0.3">
      <c r="A736">
        <v>735</v>
      </c>
      <c r="B736" s="24" t="s">
        <v>1643</v>
      </c>
      <c r="C736" s="24" t="s">
        <v>579</v>
      </c>
      <c r="D736" s="24" t="s">
        <v>851</v>
      </c>
      <c r="E736" s="24" t="s">
        <v>444</v>
      </c>
    </row>
    <row r="737" spans="1:5" x14ac:dyDescent="0.3">
      <c r="A737">
        <v>736</v>
      </c>
      <c r="B737" s="24" t="s">
        <v>1644</v>
      </c>
      <c r="C737" s="24" t="s">
        <v>579</v>
      </c>
      <c r="D737" s="24" t="s">
        <v>850</v>
      </c>
      <c r="E737" s="24" t="s">
        <v>444</v>
      </c>
    </row>
    <row r="738" spans="1:5" x14ac:dyDescent="0.3">
      <c r="A738">
        <v>737</v>
      </c>
      <c r="B738" s="24" t="s">
        <v>1645</v>
      </c>
      <c r="C738" s="24" t="s">
        <v>579</v>
      </c>
      <c r="D738" s="24" t="s">
        <v>854</v>
      </c>
      <c r="E738" s="24" t="s">
        <v>443</v>
      </c>
    </row>
    <row r="739" spans="1:5" x14ac:dyDescent="0.3">
      <c r="A739">
        <v>738</v>
      </c>
      <c r="B739" s="24" t="s">
        <v>1646</v>
      </c>
      <c r="C739" s="24" t="s">
        <v>579</v>
      </c>
      <c r="D739" s="24" t="s">
        <v>855</v>
      </c>
      <c r="E739" s="24" t="s">
        <v>443</v>
      </c>
    </row>
    <row r="740" spans="1:5" x14ac:dyDescent="0.3">
      <c r="A740">
        <v>739</v>
      </c>
      <c r="B740" s="24" t="s">
        <v>1647</v>
      </c>
      <c r="C740" s="24" t="s">
        <v>579</v>
      </c>
      <c r="D740" s="24" t="s">
        <v>857</v>
      </c>
      <c r="E740" s="24" t="s">
        <v>443</v>
      </c>
    </row>
    <row r="741" spans="1:5" x14ac:dyDescent="0.3">
      <c r="A741">
        <v>740</v>
      </c>
      <c r="B741" s="24" t="s">
        <v>1648</v>
      </c>
      <c r="C741" s="24" t="s">
        <v>579</v>
      </c>
      <c r="D741" s="24" t="s">
        <v>856</v>
      </c>
      <c r="E741" s="24" t="s">
        <v>443</v>
      </c>
    </row>
    <row r="742" spans="1:5" x14ac:dyDescent="0.3">
      <c r="A742">
        <v>741</v>
      </c>
      <c r="B742" s="24" t="s">
        <v>1649</v>
      </c>
      <c r="C742" s="24" t="s">
        <v>579</v>
      </c>
      <c r="D742" s="24" t="s">
        <v>851</v>
      </c>
      <c r="E742" s="24" t="s">
        <v>444</v>
      </c>
    </row>
    <row r="743" spans="1:5" x14ac:dyDescent="0.3">
      <c r="A743">
        <v>742</v>
      </c>
      <c r="B743" s="24" t="s">
        <v>1650</v>
      </c>
      <c r="C743" s="24" t="s">
        <v>579</v>
      </c>
      <c r="D743" s="24" t="s">
        <v>850</v>
      </c>
      <c r="E743" s="24" t="s">
        <v>444</v>
      </c>
    </row>
    <row r="744" spans="1:5" x14ac:dyDescent="0.3">
      <c r="A744">
        <v>743</v>
      </c>
      <c r="B744" s="24" t="s">
        <v>1651</v>
      </c>
      <c r="C744" s="24" t="s">
        <v>579</v>
      </c>
      <c r="D744" s="24" t="s">
        <v>854</v>
      </c>
      <c r="E744" s="24" t="s">
        <v>443</v>
      </c>
    </row>
    <row r="745" spans="1:5" x14ac:dyDescent="0.3">
      <c r="A745">
        <v>744</v>
      </c>
      <c r="B745" s="24" t="s">
        <v>1652</v>
      </c>
      <c r="C745" s="24" t="s">
        <v>579</v>
      </c>
      <c r="D745" s="24" t="s">
        <v>855</v>
      </c>
      <c r="E745" s="24" t="s">
        <v>443</v>
      </c>
    </row>
    <row r="746" spans="1:5" x14ac:dyDescent="0.3">
      <c r="A746">
        <v>745</v>
      </c>
      <c r="B746" s="24" t="s">
        <v>1653</v>
      </c>
      <c r="C746" s="24" t="s">
        <v>579</v>
      </c>
      <c r="D746" s="24" t="s">
        <v>857</v>
      </c>
      <c r="E746" s="24" t="s">
        <v>443</v>
      </c>
    </row>
    <row r="747" spans="1:5" x14ac:dyDescent="0.3">
      <c r="A747">
        <v>746</v>
      </c>
      <c r="B747" s="24" t="s">
        <v>1654</v>
      </c>
      <c r="C747" s="24" t="s">
        <v>579</v>
      </c>
      <c r="D747" s="24" t="s">
        <v>856</v>
      </c>
      <c r="E747" s="24" t="s">
        <v>443</v>
      </c>
    </row>
    <row r="748" spans="1:5" x14ac:dyDescent="0.3">
      <c r="A748">
        <v>747</v>
      </c>
      <c r="B748" s="24" t="s">
        <v>1655</v>
      </c>
      <c r="C748" s="24" t="s">
        <v>579</v>
      </c>
      <c r="D748" s="24" t="s">
        <v>851</v>
      </c>
      <c r="E748" s="24" t="s">
        <v>444</v>
      </c>
    </row>
    <row r="749" spans="1:5" x14ac:dyDescent="0.3">
      <c r="A749">
        <v>748</v>
      </c>
      <c r="B749" s="24" t="s">
        <v>1656</v>
      </c>
      <c r="C749" s="24" t="s">
        <v>579</v>
      </c>
      <c r="D749" s="24" t="s">
        <v>850</v>
      </c>
      <c r="E749" s="24" t="s">
        <v>444</v>
      </c>
    </row>
    <row r="750" spans="1:5" x14ac:dyDescent="0.3">
      <c r="A750">
        <v>749</v>
      </c>
      <c r="B750" s="24" t="s">
        <v>1657</v>
      </c>
      <c r="C750" s="24" t="s">
        <v>579</v>
      </c>
      <c r="D750" s="24" t="s">
        <v>854</v>
      </c>
      <c r="E750" s="24" t="s">
        <v>443</v>
      </c>
    </row>
    <row r="751" spans="1:5" x14ac:dyDescent="0.3">
      <c r="A751">
        <v>750</v>
      </c>
      <c r="B751" s="24" t="s">
        <v>1658</v>
      </c>
      <c r="C751" s="24" t="s">
        <v>579</v>
      </c>
      <c r="D751" s="24" t="s">
        <v>855</v>
      </c>
      <c r="E751" s="24" t="s">
        <v>443</v>
      </c>
    </row>
    <row r="752" spans="1:5" x14ac:dyDescent="0.3">
      <c r="A752">
        <v>751</v>
      </c>
      <c r="B752" s="24" t="s">
        <v>1659</v>
      </c>
      <c r="C752" s="24" t="s">
        <v>579</v>
      </c>
      <c r="D752" s="24" t="s">
        <v>857</v>
      </c>
      <c r="E752" s="24" t="s">
        <v>443</v>
      </c>
    </row>
    <row r="753" spans="1:5" x14ac:dyDescent="0.3">
      <c r="A753">
        <v>752</v>
      </c>
      <c r="B753" s="24" t="s">
        <v>1660</v>
      </c>
      <c r="C753" s="24" t="s">
        <v>579</v>
      </c>
      <c r="D753" s="24" t="s">
        <v>856</v>
      </c>
      <c r="E753" s="24" t="s">
        <v>443</v>
      </c>
    </row>
    <row r="754" spans="1:5" x14ac:dyDescent="0.3">
      <c r="A754">
        <v>753</v>
      </c>
      <c r="B754" s="24" t="s">
        <v>1661</v>
      </c>
      <c r="C754" s="24" t="s">
        <v>579</v>
      </c>
      <c r="D754" s="24" t="s">
        <v>851</v>
      </c>
      <c r="E754" s="24" t="s">
        <v>444</v>
      </c>
    </row>
    <row r="755" spans="1:5" x14ac:dyDescent="0.3">
      <c r="A755">
        <v>754</v>
      </c>
      <c r="B755" s="24" t="s">
        <v>1662</v>
      </c>
      <c r="C755" s="24" t="s">
        <v>579</v>
      </c>
      <c r="D755" s="24" t="s">
        <v>850</v>
      </c>
      <c r="E755" s="24" t="s">
        <v>444</v>
      </c>
    </row>
    <row r="756" spans="1:5" x14ac:dyDescent="0.3">
      <c r="A756">
        <v>755</v>
      </c>
      <c r="B756" s="24" t="s">
        <v>1663</v>
      </c>
      <c r="C756" s="24" t="s">
        <v>579</v>
      </c>
      <c r="D756" s="24" t="s">
        <v>854</v>
      </c>
      <c r="E756" s="24" t="s">
        <v>443</v>
      </c>
    </row>
    <row r="757" spans="1:5" x14ac:dyDescent="0.3">
      <c r="A757">
        <v>756</v>
      </c>
      <c r="B757" s="24" t="s">
        <v>1664</v>
      </c>
      <c r="C757" s="24" t="s">
        <v>579</v>
      </c>
      <c r="D757" s="24" t="s">
        <v>855</v>
      </c>
      <c r="E757" s="24" t="s">
        <v>443</v>
      </c>
    </row>
    <row r="758" spans="1:5" x14ac:dyDescent="0.3">
      <c r="A758">
        <v>757</v>
      </c>
      <c r="B758" s="24" t="s">
        <v>1665</v>
      </c>
      <c r="C758" s="24" t="s">
        <v>579</v>
      </c>
      <c r="D758" s="24" t="s">
        <v>857</v>
      </c>
      <c r="E758" s="24" t="s">
        <v>443</v>
      </c>
    </row>
    <row r="759" spans="1:5" x14ac:dyDescent="0.3">
      <c r="A759">
        <v>758</v>
      </c>
      <c r="B759" s="24" t="s">
        <v>1666</v>
      </c>
      <c r="C759" s="24" t="s">
        <v>579</v>
      </c>
      <c r="D759" s="24" t="s">
        <v>856</v>
      </c>
      <c r="E759" s="24" t="s">
        <v>443</v>
      </c>
    </row>
    <row r="760" spans="1:5" x14ac:dyDescent="0.3">
      <c r="A760">
        <v>759</v>
      </c>
      <c r="B760" s="24" t="s">
        <v>1667</v>
      </c>
      <c r="C760" s="24" t="s">
        <v>579</v>
      </c>
      <c r="D760" s="24" t="s">
        <v>851</v>
      </c>
      <c r="E760" s="24" t="s">
        <v>444</v>
      </c>
    </row>
    <row r="761" spans="1:5" x14ac:dyDescent="0.3">
      <c r="A761">
        <v>760</v>
      </c>
      <c r="B761" s="24" t="s">
        <v>1668</v>
      </c>
      <c r="C761" s="24" t="s">
        <v>579</v>
      </c>
      <c r="D761" s="24" t="s">
        <v>850</v>
      </c>
      <c r="E761" s="24" t="s">
        <v>444</v>
      </c>
    </row>
    <row r="762" spans="1:5" x14ac:dyDescent="0.3">
      <c r="A762">
        <v>761</v>
      </c>
      <c r="B762" s="24" t="s">
        <v>1669</v>
      </c>
      <c r="C762" s="24" t="s">
        <v>579</v>
      </c>
      <c r="D762" s="24" t="s">
        <v>854</v>
      </c>
      <c r="E762" s="24" t="s">
        <v>443</v>
      </c>
    </row>
    <row r="763" spans="1:5" x14ac:dyDescent="0.3">
      <c r="A763">
        <v>762</v>
      </c>
      <c r="B763" s="24" t="s">
        <v>1670</v>
      </c>
      <c r="C763" s="24" t="s">
        <v>579</v>
      </c>
      <c r="D763" s="24" t="s">
        <v>855</v>
      </c>
      <c r="E763" s="24" t="s">
        <v>443</v>
      </c>
    </row>
    <row r="764" spans="1:5" x14ac:dyDescent="0.3">
      <c r="A764">
        <v>763</v>
      </c>
      <c r="B764" s="24" t="s">
        <v>1671</v>
      </c>
      <c r="C764" s="24" t="s">
        <v>579</v>
      </c>
      <c r="D764" s="24" t="s">
        <v>857</v>
      </c>
      <c r="E764" s="24" t="s">
        <v>443</v>
      </c>
    </row>
    <row r="765" spans="1:5" x14ac:dyDescent="0.3">
      <c r="A765">
        <v>764</v>
      </c>
      <c r="B765" s="24" t="s">
        <v>1672</v>
      </c>
      <c r="C765" s="24" t="s">
        <v>579</v>
      </c>
      <c r="D765" s="24" t="s">
        <v>856</v>
      </c>
      <c r="E765" s="24" t="s">
        <v>443</v>
      </c>
    </row>
    <row r="766" spans="1:5" x14ac:dyDescent="0.3">
      <c r="A766">
        <v>765</v>
      </c>
      <c r="B766" s="24" t="s">
        <v>1673</v>
      </c>
      <c r="C766" s="24" t="s">
        <v>579</v>
      </c>
      <c r="D766" s="24" t="s">
        <v>851</v>
      </c>
      <c r="E766" s="24" t="s">
        <v>444</v>
      </c>
    </row>
    <row r="767" spans="1:5" x14ac:dyDescent="0.3">
      <c r="A767">
        <v>766</v>
      </c>
      <c r="B767" s="24" t="s">
        <v>1674</v>
      </c>
      <c r="C767" s="24" t="s">
        <v>579</v>
      </c>
      <c r="D767" s="24" t="s">
        <v>850</v>
      </c>
      <c r="E767" s="24" t="s">
        <v>444</v>
      </c>
    </row>
    <row r="768" spans="1:5" x14ac:dyDescent="0.3">
      <c r="A768">
        <v>767</v>
      </c>
      <c r="B768" s="24" t="s">
        <v>1675</v>
      </c>
      <c r="C768" s="24" t="s">
        <v>579</v>
      </c>
      <c r="D768" s="24" t="s">
        <v>854</v>
      </c>
      <c r="E768" s="24" t="s">
        <v>443</v>
      </c>
    </row>
    <row r="769" spans="1:5" x14ac:dyDescent="0.3">
      <c r="A769">
        <v>768</v>
      </c>
      <c r="B769" s="24" t="s">
        <v>1676</v>
      </c>
      <c r="C769" s="24" t="s">
        <v>579</v>
      </c>
      <c r="D769" s="24" t="s">
        <v>855</v>
      </c>
      <c r="E769" s="24" t="s">
        <v>443</v>
      </c>
    </row>
    <row r="770" spans="1:5" x14ac:dyDescent="0.3">
      <c r="A770">
        <v>769</v>
      </c>
      <c r="B770" s="24" t="s">
        <v>1677</v>
      </c>
      <c r="C770" s="24" t="s">
        <v>579</v>
      </c>
      <c r="D770" s="24" t="s">
        <v>857</v>
      </c>
      <c r="E770" s="24" t="s">
        <v>443</v>
      </c>
    </row>
    <row r="771" spans="1:5" x14ac:dyDescent="0.3">
      <c r="A771">
        <v>770</v>
      </c>
      <c r="B771" s="24" t="s">
        <v>1678</v>
      </c>
      <c r="C771" s="24" t="s">
        <v>579</v>
      </c>
      <c r="D771" s="24" t="s">
        <v>856</v>
      </c>
      <c r="E771" s="24" t="s">
        <v>443</v>
      </c>
    </row>
    <row r="772" spans="1:5" x14ac:dyDescent="0.3">
      <c r="A772">
        <v>771</v>
      </c>
      <c r="B772" s="24" t="s">
        <v>1679</v>
      </c>
      <c r="C772" s="24" t="s">
        <v>579</v>
      </c>
      <c r="D772" s="24" t="s">
        <v>851</v>
      </c>
      <c r="E772" s="24" t="s">
        <v>444</v>
      </c>
    </row>
    <row r="773" spans="1:5" x14ac:dyDescent="0.3">
      <c r="A773">
        <v>772</v>
      </c>
      <c r="B773" s="24" t="s">
        <v>1680</v>
      </c>
      <c r="C773" s="24" t="s">
        <v>579</v>
      </c>
      <c r="D773" s="24" t="s">
        <v>850</v>
      </c>
      <c r="E773" s="24" t="s">
        <v>444</v>
      </c>
    </row>
    <row r="774" spans="1:5" x14ac:dyDescent="0.3">
      <c r="A774">
        <v>773</v>
      </c>
      <c r="B774" s="24" t="s">
        <v>1681</v>
      </c>
      <c r="C774" s="24" t="s">
        <v>579</v>
      </c>
      <c r="D774" s="24" t="s">
        <v>854</v>
      </c>
      <c r="E774" s="24" t="s">
        <v>443</v>
      </c>
    </row>
    <row r="775" spans="1:5" x14ac:dyDescent="0.3">
      <c r="A775">
        <v>774</v>
      </c>
      <c r="B775" s="24" t="s">
        <v>1682</v>
      </c>
      <c r="C775" s="24" t="s">
        <v>579</v>
      </c>
      <c r="D775" s="24" t="s">
        <v>855</v>
      </c>
      <c r="E775" s="24" t="s">
        <v>443</v>
      </c>
    </row>
    <row r="776" spans="1:5" x14ac:dyDescent="0.3">
      <c r="A776">
        <v>775</v>
      </c>
      <c r="B776" s="24" t="s">
        <v>1683</v>
      </c>
      <c r="C776" s="24" t="s">
        <v>579</v>
      </c>
      <c r="D776" s="24" t="s">
        <v>857</v>
      </c>
      <c r="E776" s="24" t="s">
        <v>443</v>
      </c>
    </row>
    <row r="777" spans="1:5" x14ac:dyDescent="0.3">
      <c r="A777">
        <v>776</v>
      </c>
      <c r="B777" s="24" t="s">
        <v>1684</v>
      </c>
      <c r="C777" s="24" t="s">
        <v>579</v>
      </c>
      <c r="D777" s="24" t="s">
        <v>856</v>
      </c>
      <c r="E777" s="24" t="s">
        <v>443</v>
      </c>
    </row>
    <row r="778" spans="1:5" x14ac:dyDescent="0.3">
      <c r="A778">
        <v>777</v>
      </c>
      <c r="B778" s="24" t="s">
        <v>1685</v>
      </c>
      <c r="C778" s="24" t="s">
        <v>579</v>
      </c>
      <c r="D778" s="24" t="s">
        <v>851</v>
      </c>
      <c r="E778" s="24" t="s">
        <v>444</v>
      </c>
    </row>
    <row r="779" spans="1:5" x14ac:dyDescent="0.3">
      <c r="A779">
        <v>778</v>
      </c>
      <c r="B779" s="24" t="s">
        <v>1686</v>
      </c>
      <c r="C779" s="24" t="s">
        <v>579</v>
      </c>
      <c r="D779" s="24" t="s">
        <v>850</v>
      </c>
      <c r="E779" s="24" t="s">
        <v>444</v>
      </c>
    </row>
    <row r="780" spans="1:5" x14ac:dyDescent="0.3">
      <c r="A780">
        <v>779</v>
      </c>
      <c r="B780" s="24" t="s">
        <v>1687</v>
      </c>
      <c r="C780" s="24" t="s">
        <v>579</v>
      </c>
      <c r="D780" s="24" t="s">
        <v>854</v>
      </c>
      <c r="E780" s="24" t="s">
        <v>443</v>
      </c>
    </row>
    <row r="781" spans="1:5" x14ac:dyDescent="0.3">
      <c r="A781">
        <v>780</v>
      </c>
      <c r="B781" s="24" t="s">
        <v>1688</v>
      </c>
      <c r="C781" s="24" t="s">
        <v>579</v>
      </c>
      <c r="D781" s="24" t="s">
        <v>855</v>
      </c>
      <c r="E781" s="24" t="s">
        <v>443</v>
      </c>
    </row>
    <row r="782" spans="1:5" x14ac:dyDescent="0.3">
      <c r="A782">
        <v>781</v>
      </c>
      <c r="B782" s="24" t="s">
        <v>1689</v>
      </c>
      <c r="C782" s="24" t="s">
        <v>579</v>
      </c>
      <c r="D782" s="24" t="s">
        <v>857</v>
      </c>
      <c r="E782" s="24" t="s">
        <v>443</v>
      </c>
    </row>
    <row r="783" spans="1:5" x14ac:dyDescent="0.3">
      <c r="A783">
        <v>782</v>
      </c>
      <c r="B783" s="24" t="s">
        <v>1690</v>
      </c>
      <c r="C783" s="24" t="s">
        <v>579</v>
      </c>
      <c r="D783" s="24" t="s">
        <v>856</v>
      </c>
      <c r="E783" s="24" t="s">
        <v>443</v>
      </c>
    </row>
    <row r="784" spans="1:5" x14ac:dyDescent="0.3">
      <c r="A784">
        <v>783</v>
      </c>
      <c r="B784" s="24" t="s">
        <v>1691</v>
      </c>
      <c r="C784" s="24" t="s">
        <v>579</v>
      </c>
      <c r="D784" s="24" t="s">
        <v>851</v>
      </c>
      <c r="E784" s="24" t="s">
        <v>444</v>
      </c>
    </row>
    <row r="785" spans="1:5" x14ac:dyDescent="0.3">
      <c r="A785">
        <v>784</v>
      </c>
      <c r="B785" s="24" t="s">
        <v>1692</v>
      </c>
      <c r="C785" s="24" t="s">
        <v>579</v>
      </c>
      <c r="D785" s="24" t="s">
        <v>850</v>
      </c>
      <c r="E785" s="24" t="s">
        <v>444</v>
      </c>
    </row>
    <row r="786" spans="1:5" x14ac:dyDescent="0.3">
      <c r="A786">
        <v>785</v>
      </c>
      <c r="B786" s="24" t="s">
        <v>1693</v>
      </c>
      <c r="C786" s="24" t="s">
        <v>579</v>
      </c>
      <c r="D786" s="24" t="s">
        <v>854</v>
      </c>
      <c r="E786" s="24" t="s">
        <v>443</v>
      </c>
    </row>
    <row r="787" spans="1:5" x14ac:dyDescent="0.3">
      <c r="A787">
        <v>786</v>
      </c>
      <c r="B787" s="24" t="s">
        <v>1694</v>
      </c>
      <c r="C787" s="24" t="s">
        <v>579</v>
      </c>
      <c r="D787" s="24" t="s">
        <v>855</v>
      </c>
      <c r="E787" s="24" t="s">
        <v>443</v>
      </c>
    </row>
    <row r="788" spans="1:5" x14ac:dyDescent="0.3">
      <c r="A788">
        <v>787</v>
      </c>
      <c r="B788" s="24" t="s">
        <v>1695</v>
      </c>
      <c r="C788" s="24" t="s">
        <v>579</v>
      </c>
      <c r="D788" s="24" t="s">
        <v>857</v>
      </c>
      <c r="E788" s="24" t="s">
        <v>443</v>
      </c>
    </row>
    <row r="789" spans="1:5" x14ac:dyDescent="0.3">
      <c r="A789">
        <v>788</v>
      </c>
      <c r="B789" s="24" t="s">
        <v>1696</v>
      </c>
      <c r="C789" s="24" t="s">
        <v>579</v>
      </c>
      <c r="D789" s="24" t="s">
        <v>856</v>
      </c>
      <c r="E789" s="24" t="s">
        <v>443</v>
      </c>
    </row>
    <row r="790" spans="1:5" x14ac:dyDescent="0.3">
      <c r="A790">
        <v>789</v>
      </c>
      <c r="B790" s="24" t="s">
        <v>1697</v>
      </c>
      <c r="C790" s="24" t="s">
        <v>579</v>
      </c>
      <c r="D790" s="24" t="s">
        <v>851</v>
      </c>
      <c r="E790" s="24" t="s">
        <v>444</v>
      </c>
    </row>
    <row r="791" spans="1:5" x14ac:dyDescent="0.3">
      <c r="A791">
        <v>790</v>
      </c>
      <c r="B791" s="24" t="s">
        <v>1698</v>
      </c>
      <c r="C791" s="24" t="s">
        <v>579</v>
      </c>
      <c r="D791" s="24" t="s">
        <v>850</v>
      </c>
      <c r="E791" s="24" t="s">
        <v>444</v>
      </c>
    </row>
    <row r="792" spans="1:5" x14ac:dyDescent="0.3">
      <c r="A792">
        <v>791</v>
      </c>
      <c r="B792" s="24" t="s">
        <v>1699</v>
      </c>
      <c r="C792" s="24" t="s">
        <v>579</v>
      </c>
      <c r="D792" s="24" t="s">
        <v>854</v>
      </c>
      <c r="E792" s="24" t="s">
        <v>443</v>
      </c>
    </row>
    <row r="793" spans="1:5" x14ac:dyDescent="0.3">
      <c r="A793">
        <v>792</v>
      </c>
      <c r="B793" s="24" t="s">
        <v>1700</v>
      </c>
      <c r="C793" s="24" t="s">
        <v>579</v>
      </c>
      <c r="D793" s="24" t="s">
        <v>855</v>
      </c>
      <c r="E793" s="24" t="s">
        <v>443</v>
      </c>
    </row>
    <row r="794" spans="1:5" x14ac:dyDescent="0.3">
      <c r="A794">
        <v>793</v>
      </c>
      <c r="B794" s="24" t="s">
        <v>1701</v>
      </c>
      <c r="C794" s="24" t="s">
        <v>579</v>
      </c>
      <c r="D794" s="24" t="s">
        <v>857</v>
      </c>
      <c r="E794" s="24" t="s">
        <v>443</v>
      </c>
    </row>
    <row r="795" spans="1:5" x14ac:dyDescent="0.3">
      <c r="A795">
        <v>794</v>
      </c>
      <c r="B795" s="24" t="s">
        <v>1702</v>
      </c>
      <c r="C795" s="24" t="s">
        <v>579</v>
      </c>
      <c r="D795" s="24" t="s">
        <v>856</v>
      </c>
      <c r="E795" s="24" t="s">
        <v>443</v>
      </c>
    </row>
    <row r="796" spans="1:5" x14ac:dyDescent="0.3">
      <c r="A796">
        <v>795</v>
      </c>
      <c r="B796" s="24" t="s">
        <v>1703</v>
      </c>
      <c r="C796" s="24" t="s">
        <v>579</v>
      </c>
      <c r="D796" s="24" t="s">
        <v>851</v>
      </c>
      <c r="E796" s="24" t="s">
        <v>444</v>
      </c>
    </row>
    <row r="797" spans="1:5" x14ac:dyDescent="0.3">
      <c r="A797">
        <v>796</v>
      </c>
      <c r="B797" s="24" t="s">
        <v>1704</v>
      </c>
      <c r="C797" s="24" t="s">
        <v>579</v>
      </c>
      <c r="D797" s="24" t="s">
        <v>850</v>
      </c>
      <c r="E797" s="24" t="s">
        <v>444</v>
      </c>
    </row>
    <row r="798" spans="1:5" x14ac:dyDescent="0.3">
      <c r="A798">
        <v>797</v>
      </c>
      <c r="B798" s="24" t="s">
        <v>1705</v>
      </c>
      <c r="C798" s="24" t="s">
        <v>579</v>
      </c>
      <c r="D798" s="24" t="s">
        <v>854</v>
      </c>
      <c r="E798" s="24" t="s">
        <v>443</v>
      </c>
    </row>
    <row r="799" spans="1:5" x14ac:dyDescent="0.3">
      <c r="A799">
        <v>798</v>
      </c>
      <c r="B799" s="24" t="s">
        <v>1706</v>
      </c>
      <c r="C799" s="24" t="s">
        <v>579</v>
      </c>
      <c r="D799" s="24" t="s">
        <v>855</v>
      </c>
      <c r="E799" s="24" t="s">
        <v>443</v>
      </c>
    </row>
    <row r="800" spans="1:5" x14ac:dyDescent="0.3">
      <c r="A800">
        <v>799</v>
      </c>
      <c r="B800" s="24" t="s">
        <v>1707</v>
      </c>
      <c r="C800" s="24" t="s">
        <v>579</v>
      </c>
      <c r="D800" s="24" t="s">
        <v>857</v>
      </c>
      <c r="E800" s="24" t="s">
        <v>443</v>
      </c>
    </row>
    <row r="801" spans="1:5" x14ac:dyDescent="0.3">
      <c r="A801">
        <v>800</v>
      </c>
      <c r="B801" s="24" t="s">
        <v>1708</v>
      </c>
      <c r="C801" s="24" t="s">
        <v>579</v>
      </c>
      <c r="D801" s="24" t="s">
        <v>856</v>
      </c>
      <c r="E801" s="24" t="s">
        <v>443</v>
      </c>
    </row>
    <row r="802" spans="1:5" x14ac:dyDescent="0.3">
      <c r="A802">
        <v>801</v>
      </c>
      <c r="B802" s="24" t="s">
        <v>1709</v>
      </c>
      <c r="C802" s="24" t="s">
        <v>579</v>
      </c>
      <c r="D802" s="24" t="s">
        <v>851</v>
      </c>
      <c r="E802" s="24" t="s">
        <v>444</v>
      </c>
    </row>
    <row r="803" spans="1:5" x14ac:dyDescent="0.3">
      <c r="A803">
        <v>802</v>
      </c>
      <c r="B803" s="24" t="s">
        <v>1710</v>
      </c>
      <c r="C803" s="24" t="s">
        <v>579</v>
      </c>
      <c r="D803" s="24" t="s">
        <v>850</v>
      </c>
      <c r="E803" s="24" t="s">
        <v>444</v>
      </c>
    </row>
    <row r="804" spans="1:5" x14ac:dyDescent="0.3">
      <c r="A804">
        <v>803</v>
      </c>
      <c r="B804" s="24" t="s">
        <v>1831</v>
      </c>
      <c r="C804" s="24" t="s">
        <v>604</v>
      </c>
      <c r="D804" s="24" t="s">
        <v>854</v>
      </c>
      <c r="E804" s="24" t="s">
        <v>443</v>
      </c>
    </row>
    <row r="805" spans="1:5" x14ac:dyDescent="0.3">
      <c r="A805">
        <v>804</v>
      </c>
      <c r="B805" s="24" t="s">
        <v>1832</v>
      </c>
      <c r="C805" s="24" t="s">
        <v>604</v>
      </c>
      <c r="D805" s="24" t="s">
        <v>855</v>
      </c>
      <c r="E805" s="24" t="s">
        <v>443</v>
      </c>
    </row>
    <row r="806" spans="1:5" x14ac:dyDescent="0.3">
      <c r="A806">
        <v>805</v>
      </c>
      <c r="B806" s="24" t="s">
        <v>1833</v>
      </c>
      <c r="C806" s="24" t="s">
        <v>604</v>
      </c>
      <c r="D806" s="24" t="s">
        <v>857</v>
      </c>
      <c r="E806" s="24" t="s">
        <v>443</v>
      </c>
    </row>
    <row r="807" spans="1:5" x14ac:dyDescent="0.3">
      <c r="A807">
        <v>806</v>
      </c>
      <c r="B807" s="24" t="s">
        <v>1834</v>
      </c>
      <c r="C807" s="24" t="s">
        <v>604</v>
      </c>
      <c r="D807" s="24" t="s">
        <v>856</v>
      </c>
      <c r="E807" s="24" t="s">
        <v>443</v>
      </c>
    </row>
    <row r="808" spans="1:5" x14ac:dyDescent="0.3">
      <c r="A808">
        <v>807</v>
      </c>
      <c r="B808" s="24" t="s">
        <v>1835</v>
      </c>
      <c r="C808" s="24" t="s">
        <v>604</v>
      </c>
      <c r="D808" s="24" t="s">
        <v>851</v>
      </c>
      <c r="E808" s="24" t="s">
        <v>444</v>
      </c>
    </row>
    <row r="809" spans="1:5" x14ac:dyDescent="0.3">
      <c r="A809">
        <v>808</v>
      </c>
      <c r="B809" s="24" t="s">
        <v>1836</v>
      </c>
      <c r="C809" s="24" t="s">
        <v>604</v>
      </c>
      <c r="D809" s="24" t="s">
        <v>850</v>
      </c>
      <c r="E809" s="24" t="s">
        <v>444</v>
      </c>
    </row>
    <row r="810" spans="1:5" x14ac:dyDescent="0.3">
      <c r="A810">
        <v>809</v>
      </c>
      <c r="B810" s="24" t="s">
        <v>1837</v>
      </c>
      <c r="C810" s="24" t="s">
        <v>605</v>
      </c>
      <c r="D810" s="24" t="s">
        <v>854</v>
      </c>
      <c r="E810" s="24" t="s">
        <v>443</v>
      </c>
    </row>
    <row r="811" spans="1:5" x14ac:dyDescent="0.3">
      <c r="A811">
        <v>810</v>
      </c>
      <c r="B811" s="24" t="s">
        <v>1838</v>
      </c>
      <c r="C811" s="24" t="s">
        <v>605</v>
      </c>
      <c r="D811" s="24" t="s">
        <v>855</v>
      </c>
      <c r="E811" s="24" t="s">
        <v>443</v>
      </c>
    </row>
    <row r="812" spans="1:5" x14ac:dyDescent="0.3">
      <c r="A812">
        <v>811</v>
      </c>
      <c r="B812" s="24" t="s">
        <v>1839</v>
      </c>
      <c r="C812" s="24" t="s">
        <v>605</v>
      </c>
      <c r="D812" s="24" t="s">
        <v>857</v>
      </c>
      <c r="E812" s="24" t="s">
        <v>443</v>
      </c>
    </row>
    <row r="813" spans="1:5" x14ac:dyDescent="0.3">
      <c r="A813">
        <v>812</v>
      </c>
      <c r="B813" s="24" t="s">
        <v>1840</v>
      </c>
      <c r="C813" s="24" t="s">
        <v>605</v>
      </c>
      <c r="D813" s="24" t="s">
        <v>856</v>
      </c>
      <c r="E813" s="24" t="s">
        <v>443</v>
      </c>
    </row>
    <row r="814" spans="1:5" x14ac:dyDescent="0.3">
      <c r="A814">
        <v>813</v>
      </c>
      <c r="B814" s="24" t="s">
        <v>1841</v>
      </c>
      <c r="C814" s="24" t="s">
        <v>605</v>
      </c>
      <c r="D814" s="24" t="s">
        <v>851</v>
      </c>
      <c r="E814" s="24" t="s">
        <v>444</v>
      </c>
    </row>
    <row r="815" spans="1:5" x14ac:dyDescent="0.3">
      <c r="A815">
        <v>814</v>
      </c>
      <c r="B815" s="24" t="s">
        <v>1842</v>
      </c>
      <c r="C815" s="24" t="s">
        <v>605</v>
      </c>
      <c r="D815" s="24" t="s">
        <v>850</v>
      </c>
      <c r="E815" s="24" t="s">
        <v>444</v>
      </c>
    </row>
    <row r="816" spans="1:5" x14ac:dyDescent="0.3">
      <c r="A816">
        <v>815</v>
      </c>
      <c r="B816" s="24" t="s">
        <v>1843</v>
      </c>
      <c r="C816" s="24" t="s">
        <v>606</v>
      </c>
      <c r="D816" s="24" t="s">
        <v>854</v>
      </c>
      <c r="E816" s="24" t="s">
        <v>443</v>
      </c>
    </row>
    <row r="817" spans="1:5" x14ac:dyDescent="0.3">
      <c r="A817">
        <v>816</v>
      </c>
      <c r="B817" s="24" t="s">
        <v>1844</v>
      </c>
      <c r="C817" s="24" t="s">
        <v>606</v>
      </c>
      <c r="D817" s="24" t="s">
        <v>855</v>
      </c>
      <c r="E817" s="24" t="s">
        <v>443</v>
      </c>
    </row>
    <row r="818" spans="1:5" x14ac:dyDescent="0.3">
      <c r="A818">
        <v>817</v>
      </c>
      <c r="B818" s="24" t="s">
        <v>1845</v>
      </c>
      <c r="C818" s="24" t="s">
        <v>606</v>
      </c>
      <c r="D818" s="24" t="s">
        <v>857</v>
      </c>
      <c r="E818" s="24" t="s">
        <v>443</v>
      </c>
    </row>
    <row r="819" spans="1:5" x14ac:dyDescent="0.3">
      <c r="A819">
        <v>818</v>
      </c>
      <c r="B819" s="24" t="s">
        <v>1846</v>
      </c>
      <c r="C819" s="24" t="s">
        <v>606</v>
      </c>
      <c r="D819" s="24" t="s">
        <v>856</v>
      </c>
      <c r="E819" s="24" t="s">
        <v>443</v>
      </c>
    </row>
    <row r="820" spans="1:5" x14ac:dyDescent="0.3">
      <c r="A820">
        <v>819</v>
      </c>
      <c r="B820" s="24" t="s">
        <v>1847</v>
      </c>
      <c r="C820" s="24" t="s">
        <v>606</v>
      </c>
      <c r="D820" s="24" t="s">
        <v>851</v>
      </c>
      <c r="E820" s="24" t="s">
        <v>444</v>
      </c>
    </row>
    <row r="821" spans="1:5" x14ac:dyDescent="0.3">
      <c r="A821">
        <v>820</v>
      </c>
      <c r="B821" s="24" t="s">
        <v>1848</v>
      </c>
      <c r="C821" s="24" t="s">
        <v>606</v>
      </c>
      <c r="D821" s="24" t="s">
        <v>850</v>
      </c>
      <c r="E821" s="24" t="s">
        <v>444</v>
      </c>
    </row>
    <row r="822" spans="1:5" x14ac:dyDescent="0.3">
      <c r="A822">
        <v>821</v>
      </c>
      <c r="B822" s="24" t="s">
        <v>1849</v>
      </c>
      <c r="C822" s="24" t="s">
        <v>607</v>
      </c>
      <c r="D822" s="24" t="s">
        <v>854</v>
      </c>
      <c r="E822" s="24" t="s">
        <v>443</v>
      </c>
    </row>
    <row r="823" spans="1:5" x14ac:dyDescent="0.3">
      <c r="A823">
        <v>822</v>
      </c>
      <c r="B823" s="24" t="s">
        <v>1850</v>
      </c>
      <c r="C823" s="24" t="s">
        <v>607</v>
      </c>
      <c r="D823" s="24" t="s">
        <v>855</v>
      </c>
      <c r="E823" s="24" t="s">
        <v>443</v>
      </c>
    </row>
    <row r="824" spans="1:5" x14ac:dyDescent="0.3">
      <c r="A824">
        <v>823</v>
      </c>
      <c r="B824" s="24" t="s">
        <v>1851</v>
      </c>
      <c r="C824" s="24" t="s">
        <v>607</v>
      </c>
      <c r="D824" s="24" t="s">
        <v>857</v>
      </c>
      <c r="E824" s="24" t="s">
        <v>443</v>
      </c>
    </row>
    <row r="825" spans="1:5" x14ac:dyDescent="0.3">
      <c r="A825">
        <v>824</v>
      </c>
      <c r="B825" s="24" t="s">
        <v>1852</v>
      </c>
      <c r="C825" s="24" t="s">
        <v>607</v>
      </c>
      <c r="D825" s="24" t="s">
        <v>856</v>
      </c>
      <c r="E825" s="24" t="s">
        <v>443</v>
      </c>
    </row>
    <row r="826" spans="1:5" x14ac:dyDescent="0.3">
      <c r="A826">
        <v>825</v>
      </c>
      <c r="B826" s="24" t="s">
        <v>1853</v>
      </c>
      <c r="C826" s="24" t="s">
        <v>607</v>
      </c>
      <c r="D826" s="24" t="s">
        <v>851</v>
      </c>
      <c r="E826" s="24" t="s">
        <v>444</v>
      </c>
    </row>
    <row r="827" spans="1:5" x14ac:dyDescent="0.3">
      <c r="A827">
        <v>826</v>
      </c>
      <c r="B827" s="24" t="s">
        <v>1854</v>
      </c>
      <c r="C827" s="24" t="s">
        <v>607</v>
      </c>
      <c r="D827" s="24" t="s">
        <v>850</v>
      </c>
      <c r="E827" s="24" t="s">
        <v>444</v>
      </c>
    </row>
    <row r="828" spans="1:5" x14ac:dyDescent="0.3">
      <c r="A828">
        <v>827</v>
      </c>
      <c r="B828" s="24" t="s">
        <v>1855</v>
      </c>
      <c r="C828" s="24" t="s">
        <v>608</v>
      </c>
      <c r="D828" s="24" t="s">
        <v>854</v>
      </c>
      <c r="E828" s="24" t="s">
        <v>443</v>
      </c>
    </row>
    <row r="829" spans="1:5" x14ac:dyDescent="0.3">
      <c r="A829">
        <v>828</v>
      </c>
      <c r="B829" s="24" t="s">
        <v>1856</v>
      </c>
      <c r="C829" s="24" t="s">
        <v>608</v>
      </c>
      <c r="D829" s="24" t="s">
        <v>855</v>
      </c>
      <c r="E829" s="24" t="s">
        <v>443</v>
      </c>
    </row>
    <row r="830" spans="1:5" x14ac:dyDescent="0.3">
      <c r="A830">
        <v>829</v>
      </c>
      <c r="B830" s="24" t="s">
        <v>1857</v>
      </c>
      <c r="C830" s="24" t="s">
        <v>608</v>
      </c>
      <c r="D830" s="24" t="s">
        <v>857</v>
      </c>
      <c r="E830" s="24" t="s">
        <v>443</v>
      </c>
    </row>
    <row r="831" spans="1:5" x14ac:dyDescent="0.3">
      <c r="A831">
        <v>830</v>
      </c>
      <c r="B831" s="24" t="s">
        <v>1858</v>
      </c>
      <c r="C831" s="24" t="s">
        <v>608</v>
      </c>
      <c r="D831" s="24" t="s">
        <v>856</v>
      </c>
      <c r="E831" s="24" t="s">
        <v>443</v>
      </c>
    </row>
    <row r="832" spans="1:5" x14ac:dyDescent="0.3">
      <c r="A832">
        <v>831</v>
      </c>
      <c r="B832" s="24" t="s">
        <v>1859</v>
      </c>
      <c r="C832" s="24" t="s">
        <v>608</v>
      </c>
      <c r="D832" s="24" t="s">
        <v>851</v>
      </c>
      <c r="E832" s="24" t="s">
        <v>444</v>
      </c>
    </row>
    <row r="833" spans="1:5" x14ac:dyDescent="0.3">
      <c r="A833">
        <v>832</v>
      </c>
      <c r="B833" s="24" t="s">
        <v>1860</v>
      </c>
      <c r="C833" s="24" t="s">
        <v>608</v>
      </c>
      <c r="D833" s="24" t="s">
        <v>850</v>
      </c>
      <c r="E833" s="24" t="s">
        <v>444</v>
      </c>
    </row>
    <row r="834" spans="1:5" x14ac:dyDescent="0.3">
      <c r="A834">
        <v>833</v>
      </c>
      <c r="B834" s="24" t="s">
        <v>1861</v>
      </c>
      <c r="C834" s="24" t="s">
        <v>609</v>
      </c>
      <c r="D834" s="24" t="s">
        <v>854</v>
      </c>
      <c r="E834" s="24" t="s">
        <v>443</v>
      </c>
    </row>
    <row r="835" spans="1:5" x14ac:dyDescent="0.3">
      <c r="A835">
        <v>834</v>
      </c>
      <c r="B835" s="24" t="s">
        <v>1862</v>
      </c>
      <c r="C835" s="24" t="s">
        <v>609</v>
      </c>
      <c r="D835" s="24" t="s">
        <v>855</v>
      </c>
      <c r="E835" s="24" t="s">
        <v>443</v>
      </c>
    </row>
    <row r="836" spans="1:5" x14ac:dyDescent="0.3">
      <c r="A836">
        <v>835</v>
      </c>
      <c r="B836" s="24" t="s">
        <v>1863</v>
      </c>
      <c r="C836" s="24" t="s">
        <v>609</v>
      </c>
      <c r="D836" s="24" t="s">
        <v>857</v>
      </c>
      <c r="E836" s="24" t="s">
        <v>443</v>
      </c>
    </row>
    <row r="837" spans="1:5" x14ac:dyDescent="0.3">
      <c r="A837">
        <v>836</v>
      </c>
      <c r="B837" s="24" t="s">
        <v>1864</v>
      </c>
      <c r="C837" s="24" t="s">
        <v>609</v>
      </c>
      <c r="D837" s="24" t="s">
        <v>856</v>
      </c>
      <c r="E837" s="24" t="s">
        <v>443</v>
      </c>
    </row>
    <row r="838" spans="1:5" x14ac:dyDescent="0.3">
      <c r="A838">
        <v>837</v>
      </c>
      <c r="B838" s="24" t="s">
        <v>1865</v>
      </c>
      <c r="C838" s="24" t="s">
        <v>609</v>
      </c>
      <c r="D838" s="24" t="s">
        <v>851</v>
      </c>
      <c r="E838" s="24" t="s">
        <v>444</v>
      </c>
    </row>
    <row r="839" spans="1:5" x14ac:dyDescent="0.3">
      <c r="A839">
        <v>838</v>
      </c>
      <c r="B839" s="24" t="s">
        <v>1866</v>
      </c>
      <c r="C839" s="24" t="s">
        <v>609</v>
      </c>
      <c r="D839" s="24" t="s">
        <v>850</v>
      </c>
      <c r="E839" s="24" t="s">
        <v>444</v>
      </c>
    </row>
    <row r="840" spans="1:5" x14ac:dyDescent="0.3">
      <c r="A840">
        <v>839</v>
      </c>
      <c r="B840" s="24" t="s">
        <v>1867</v>
      </c>
      <c r="C840" s="24" t="s">
        <v>610</v>
      </c>
      <c r="D840" s="24" t="s">
        <v>854</v>
      </c>
      <c r="E840" s="24" t="s">
        <v>443</v>
      </c>
    </row>
    <row r="841" spans="1:5" x14ac:dyDescent="0.3">
      <c r="A841">
        <v>840</v>
      </c>
      <c r="B841" s="24" t="s">
        <v>1868</v>
      </c>
      <c r="C841" s="24" t="s">
        <v>610</v>
      </c>
      <c r="D841" s="24" t="s">
        <v>855</v>
      </c>
      <c r="E841" s="24" t="s">
        <v>443</v>
      </c>
    </row>
    <row r="842" spans="1:5" x14ac:dyDescent="0.3">
      <c r="A842">
        <v>841</v>
      </c>
      <c r="B842" s="24" t="s">
        <v>1869</v>
      </c>
      <c r="C842" s="24" t="s">
        <v>610</v>
      </c>
      <c r="D842" s="24" t="s">
        <v>857</v>
      </c>
      <c r="E842" s="24" t="s">
        <v>443</v>
      </c>
    </row>
    <row r="843" spans="1:5" x14ac:dyDescent="0.3">
      <c r="A843">
        <v>842</v>
      </c>
      <c r="B843" s="24" t="s">
        <v>1870</v>
      </c>
      <c r="C843" s="24" t="s">
        <v>610</v>
      </c>
      <c r="D843" s="24" t="s">
        <v>856</v>
      </c>
      <c r="E843" s="24" t="s">
        <v>443</v>
      </c>
    </row>
    <row r="844" spans="1:5" x14ac:dyDescent="0.3">
      <c r="A844">
        <v>843</v>
      </c>
      <c r="B844" s="24" t="s">
        <v>1871</v>
      </c>
      <c r="C844" s="24" t="s">
        <v>610</v>
      </c>
      <c r="D844" s="24" t="s">
        <v>851</v>
      </c>
      <c r="E844" s="24" t="s">
        <v>444</v>
      </c>
    </row>
    <row r="845" spans="1:5" x14ac:dyDescent="0.3">
      <c r="A845">
        <v>844</v>
      </c>
      <c r="B845" s="24" t="s">
        <v>1872</v>
      </c>
      <c r="C845" s="24" t="s">
        <v>610</v>
      </c>
      <c r="D845" s="24" t="s">
        <v>850</v>
      </c>
      <c r="E845" s="24" t="s">
        <v>444</v>
      </c>
    </row>
    <row r="846" spans="1:5" x14ac:dyDescent="0.3">
      <c r="A846">
        <v>845</v>
      </c>
      <c r="B846" s="24" t="s">
        <v>1873</v>
      </c>
      <c r="C846" s="24" t="s">
        <v>611</v>
      </c>
      <c r="D846" s="24" t="s">
        <v>854</v>
      </c>
      <c r="E846" s="24" t="s">
        <v>443</v>
      </c>
    </row>
    <row r="847" spans="1:5" x14ac:dyDescent="0.3">
      <c r="A847">
        <v>846</v>
      </c>
      <c r="B847" s="24" t="s">
        <v>1874</v>
      </c>
      <c r="C847" s="24" t="s">
        <v>611</v>
      </c>
      <c r="D847" s="24" t="s">
        <v>855</v>
      </c>
      <c r="E847" s="24" t="s">
        <v>443</v>
      </c>
    </row>
    <row r="848" spans="1:5" x14ac:dyDescent="0.3">
      <c r="A848">
        <v>847</v>
      </c>
      <c r="B848" s="24" t="s">
        <v>1875</v>
      </c>
      <c r="C848" s="24" t="s">
        <v>611</v>
      </c>
      <c r="D848" s="24" t="s">
        <v>857</v>
      </c>
      <c r="E848" s="24" t="s">
        <v>443</v>
      </c>
    </row>
    <row r="849" spans="1:5" x14ac:dyDescent="0.3">
      <c r="A849">
        <v>848</v>
      </c>
      <c r="B849" s="24" t="s">
        <v>1876</v>
      </c>
      <c r="C849" s="24" t="s">
        <v>611</v>
      </c>
      <c r="D849" s="24" t="s">
        <v>856</v>
      </c>
      <c r="E849" s="24" t="s">
        <v>443</v>
      </c>
    </row>
    <row r="850" spans="1:5" x14ac:dyDescent="0.3">
      <c r="A850">
        <v>849</v>
      </c>
      <c r="B850" s="24" t="s">
        <v>1877</v>
      </c>
      <c r="C850" s="24" t="s">
        <v>611</v>
      </c>
      <c r="D850" s="24" t="s">
        <v>851</v>
      </c>
      <c r="E850" s="24" t="s">
        <v>444</v>
      </c>
    </row>
    <row r="851" spans="1:5" x14ac:dyDescent="0.3">
      <c r="A851">
        <v>850</v>
      </c>
      <c r="B851" s="24" t="s">
        <v>1878</v>
      </c>
      <c r="C851" s="24" t="s">
        <v>611</v>
      </c>
      <c r="D851" s="24" t="s">
        <v>850</v>
      </c>
      <c r="E851" s="24" t="s">
        <v>444</v>
      </c>
    </row>
    <row r="852" spans="1:5" x14ac:dyDescent="0.3">
      <c r="A852">
        <v>851</v>
      </c>
      <c r="B852" s="24" t="s">
        <v>1879</v>
      </c>
      <c r="C852" s="24" t="s">
        <v>612</v>
      </c>
      <c r="D852" s="24" t="s">
        <v>846</v>
      </c>
      <c r="E852" s="24" t="s">
        <v>497</v>
      </c>
    </row>
    <row r="853" spans="1:5" x14ac:dyDescent="0.3">
      <c r="A853">
        <v>852</v>
      </c>
      <c r="B853" s="24" t="s">
        <v>1880</v>
      </c>
      <c r="C853" s="24" t="s">
        <v>612</v>
      </c>
      <c r="D853" s="24" t="s">
        <v>854</v>
      </c>
      <c r="E853" s="24" t="s">
        <v>443</v>
      </c>
    </row>
    <row r="854" spans="1:5" x14ac:dyDescent="0.3">
      <c r="A854">
        <v>853</v>
      </c>
      <c r="B854" s="24" t="s">
        <v>1881</v>
      </c>
      <c r="C854" s="24" t="s">
        <v>612</v>
      </c>
      <c r="D854" s="24" t="s">
        <v>855</v>
      </c>
      <c r="E854" s="24" t="s">
        <v>443</v>
      </c>
    </row>
    <row r="855" spans="1:5" x14ac:dyDescent="0.3">
      <c r="A855">
        <v>854</v>
      </c>
      <c r="B855" s="24" t="s">
        <v>1882</v>
      </c>
      <c r="C855" s="24" t="s">
        <v>612</v>
      </c>
      <c r="D855" s="24" t="s">
        <v>857</v>
      </c>
      <c r="E855" s="24" t="s">
        <v>443</v>
      </c>
    </row>
    <row r="856" spans="1:5" x14ac:dyDescent="0.3">
      <c r="A856">
        <v>855</v>
      </c>
      <c r="B856" s="24" t="s">
        <v>1883</v>
      </c>
      <c r="C856" s="24" t="s">
        <v>612</v>
      </c>
      <c r="D856" s="24" t="s">
        <v>856</v>
      </c>
      <c r="E856" s="24" t="s">
        <v>443</v>
      </c>
    </row>
    <row r="857" spans="1:5" x14ac:dyDescent="0.3">
      <c r="A857">
        <v>856</v>
      </c>
      <c r="B857" s="24" t="s">
        <v>1884</v>
      </c>
      <c r="C857" s="24" t="s">
        <v>612</v>
      </c>
      <c r="D857" s="24" t="s">
        <v>851</v>
      </c>
      <c r="E857" s="24" t="s">
        <v>444</v>
      </c>
    </row>
    <row r="858" spans="1:5" x14ac:dyDescent="0.3">
      <c r="A858">
        <v>857</v>
      </c>
      <c r="B858" s="24" t="s">
        <v>1885</v>
      </c>
      <c r="C858" s="24" t="s">
        <v>612</v>
      </c>
      <c r="D858" s="24" t="s">
        <v>850</v>
      </c>
      <c r="E858" s="24" t="s">
        <v>444</v>
      </c>
    </row>
    <row r="859" spans="1:5" x14ac:dyDescent="0.3">
      <c r="A859">
        <v>858</v>
      </c>
      <c r="B859" s="24" t="s">
        <v>1886</v>
      </c>
      <c r="C859" s="24" t="s">
        <v>613</v>
      </c>
      <c r="D859" s="24" t="s">
        <v>846</v>
      </c>
      <c r="E859" s="24" t="s">
        <v>497</v>
      </c>
    </row>
    <row r="860" spans="1:5" x14ac:dyDescent="0.3">
      <c r="A860">
        <v>859</v>
      </c>
      <c r="B860" s="24" t="s">
        <v>1887</v>
      </c>
      <c r="C860" s="24" t="s">
        <v>613</v>
      </c>
      <c r="D860" s="24" t="s">
        <v>854</v>
      </c>
      <c r="E860" s="24" t="s">
        <v>443</v>
      </c>
    </row>
    <row r="861" spans="1:5" x14ac:dyDescent="0.3">
      <c r="A861">
        <v>860</v>
      </c>
      <c r="B861" s="24" t="s">
        <v>1888</v>
      </c>
      <c r="C861" s="24" t="s">
        <v>613</v>
      </c>
      <c r="D861" s="24" t="s">
        <v>855</v>
      </c>
      <c r="E861" s="24" t="s">
        <v>443</v>
      </c>
    </row>
    <row r="862" spans="1:5" x14ac:dyDescent="0.3">
      <c r="A862">
        <v>861</v>
      </c>
      <c r="B862" s="24" t="s">
        <v>1889</v>
      </c>
      <c r="C862" s="24" t="s">
        <v>613</v>
      </c>
      <c r="D862" s="24" t="s">
        <v>857</v>
      </c>
      <c r="E862" s="24" t="s">
        <v>443</v>
      </c>
    </row>
    <row r="863" spans="1:5" x14ac:dyDescent="0.3">
      <c r="A863">
        <v>862</v>
      </c>
      <c r="B863" s="24" t="s">
        <v>1890</v>
      </c>
      <c r="C863" s="24" t="s">
        <v>613</v>
      </c>
      <c r="D863" s="24" t="s">
        <v>856</v>
      </c>
      <c r="E863" s="24" t="s">
        <v>443</v>
      </c>
    </row>
    <row r="864" spans="1:5" x14ac:dyDescent="0.3">
      <c r="A864">
        <v>863</v>
      </c>
      <c r="B864" s="24" t="s">
        <v>1891</v>
      </c>
      <c r="C864" s="24" t="s">
        <v>613</v>
      </c>
      <c r="D864" s="24" t="s">
        <v>851</v>
      </c>
      <c r="E864" s="24" t="s">
        <v>444</v>
      </c>
    </row>
    <row r="865" spans="1:5" x14ac:dyDescent="0.3">
      <c r="A865">
        <v>864</v>
      </c>
      <c r="B865" s="24" t="s">
        <v>1892</v>
      </c>
      <c r="C865" s="24" t="s">
        <v>613</v>
      </c>
      <c r="D865" s="24" t="s">
        <v>850</v>
      </c>
      <c r="E865" s="24" t="s">
        <v>444</v>
      </c>
    </row>
    <row r="866" spans="1:5" x14ac:dyDescent="0.3">
      <c r="A866">
        <v>865</v>
      </c>
      <c r="B866" s="24" t="s">
        <v>1893</v>
      </c>
      <c r="C866" s="24" t="s">
        <v>614</v>
      </c>
      <c r="D866" s="24" t="s">
        <v>846</v>
      </c>
      <c r="E866" s="24" t="s">
        <v>497</v>
      </c>
    </row>
    <row r="867" spans="1:5" x14ac:dyDescent="0.3">
      <c r="A867">
        <v>866</v>
      </c>
      <c r="B867" s="24" t="s">
        <v>1894</v>
      </c>
      <c r="C867" s="24" t="s">
        <v>614</v>
      </c>
      <c r="D867" s="24" t="s">
        <v>854</v>
      </c>
      <c r="E867" s="24" t="s">
        <v>443</v>
      </c>
    </row>
    <row r="868" spans="1:5" x14ac:dyDescent="0.3">
      <c r="A868">
        <v>867</v>
      </c>
      <c r="B868" s="24" t="s">
        <v>1895</v>
      </c>
      <c r="C868" s="24" t="s">
        <v>614</v>
      </c>
      <c r="D868" s="24" t="s">
        <v>855</v>
      </c>
      <c r="E868" s="24" t="s">
        <v>443</v>
      </c>
    </row>
    <row r="869" spans="1:5" x14ac:dyDescent="0.3">
      <c r="A869">
        <v>868</v>
      </c>
      <c r="B869" s="24" t="s">
        <v>1896</v>
      </c>
      <c r="C869" s="24" t="s">
        <v>614</v>
      </c>
      <c r="D869" s="24" t="s">
        <v>857</v>
      </c>
      <c r="E869" s="24" t="s">
        <v>443</v>
      </c>
    </row>
    <row r="870" spans="1:5" x14ac:dyDescent="0.3">
      <c r="A870">
        <v>869</v>
      </c>
      <c r="B870" s="24" t="s">
        <v>1897</v>
      </c>
      <c r="C870" s="24" t="s">
        <v>614</v>
      </c>
      <c r="D870" s="24" t="s">
        <v>856</v>
      </c>
      <c r="E870" s="24" t="s">
        <v>443</v>
      </c>
    </row>
    <row r="871" spans="1:5" x14ac:dyDescent="0.3">
      <c r="A871">
        <v>870</v>
      </c>
      <c r="B871" s="24" t="s">
        <v>1898</v>
      </c>
      <c r="C871" s="24" t="s">
        <v>614</v>
      </c>
      <c r="D871" s="24" t="s">
        <v>851</v>
      </c>
      <c r="E871" s="24" t="s">
        <v>444</v>
      </c>
    </row>
    <row r="872" spans="1:5" x14ac:dyDescent="0.3">
      <c r="A872">
        <v>871</v>
      </c>
      <c r="B872" s="24" t="s">
        <v>1899</v>
      </c>
      <c r="C872" s="24" t="s">
        <v>614</v>
      </c>
      <c r="D872" s="24" t="s">
        <v>850</v>
      </c>
      <c r="E872" s="24" t="s">
        <v>444</v>
      </c>
    </row>
    <row r="873" spans="1:5" x14ac:dyDescent="0.3">
      <c r="A873">
        <v>872</v>
      </c>
      <c r="B873" s="24" t="s">
        <v>1900</v>
      </c>
      <c r="C873" s="24" t="s">
        <v>615</v>
      </c>
      <c r="D873" s="24" t="s">
        <v>854</v>
      </c>
      <c r="E873" s="24" t="s">
        <v>443</v>
      </c>
    </row>
    <row r="874" spans="1:5" x14ac:dyDescent="0.3">
      <c r="A874">
        <v>873</v>
      </c>
      <c r="B874" s="24" t="s">
        <v>1901</v>
      </c>
      <c r="C874" s="24" t="s">
        <v>615</v>
      </c>
      <c r="D874" s="24" t="s">
        <v>855</v>
      </c>
      <c r="E874" s="24" t="s">
        <v>443</v>
      </c>
    </row>
    <row r="875" spans="1:5" x14ac:dyDescent="0.3">
      <c r="A875">
        <v>874</v>
      </c>
      <c r="B875" s="24" t="s">
        <v>1902</v>
      </c>
      <c r="C875" s="24" t="s">
        <v>615</v>
      </c>
      <c r="D875" s="24" t="s">
        <v>857</v>
      </c>
      <c r="E875" s="24" t="s">
        <v>443</v>
      </c>
    </row>
    <row r="876" spans="1:5" x14ac:dyDescent="0.3">
      <c r="A876">
        <v>875</v>
      </c>
      <c r="B876" s="24" t="s">
        <v>1903</v>
      </c>
      <c r="C876" s="24" t="s">
        <v>615</v>
      </c>
      <c r="D876" s="24" t="s">
        <v>856</v>
      </c>
      <c r="E876" s="24" t="s">
        <v>443</v>
      </c>
    </row>
    <row r="877" spans="1:5" x14ac:dyDescent="0.3">
      <c r="A877">
        <v>876</v>
      </c>
      <c r="B877" s="24" t="s">
        <v>1904</v>
      </c>
      <c r="C877" s="24" t="s">
        <v>615</v>
      </c>
      <c r="D877" s="24" t="s">
        <v>851</v>
      </c>
      <c r="E877" s="24" t="s">
        <v>444</v>
      </c>
    </row>
    <row r="878" spans="1:5" x14ac:dyDescent="0.3">
      <c r="A878">
        <v>877</v>
      </c>
      <c r="B878" s="24" t="s">
        <v>1905</v>
      </c>
      <c r="C878" s="24" t="s">
        <v>615</v>
      </c>
      <c r="D878" s="24" t="s">
        <v>850</v>
      </c>
      <c r="E878" s="24" t="s">
        <v>444</v>
      </c>
    </row>
    <row r="879" spans="1:5" x14ac:dyDescent="0.3">
      <c r="A879">
        <v>878</v>
      </c>
      <c r="B879" s="24" t="s">
        <v>1906</v>
      </c>
      <c r="C879" s="24" t="s">
        <v>616</v>
      </c>
      <c r="D879" s="24" t="s">
        <v>854</v>
      </c>
      <c r="E879" s="24" t="s">
        <v>443</v>
      </c>
    </row>
    <row r="880" spans="1:5" x14ac:dyDescent="0.3">
      <c r="A880">
        <v>879</v>
      </c>
      <c r="B880" s="24" t="s">
        <v>1907</v>
      </c>
      <c r="C880" s="24" t="s">
        <v>616</v>
      </c>
      <c r="D880" s="24" t="s">
        <v>855</v>
      </c>
      <c r="E880" s="24" t="s">
        <v>443</v>
      </c>
    </row>
    <row r="881" spans="1:5" x14ac:dyDescent="0.3">
      <c r="A881">
        <v>880</v>
      </c>
      <c r="B881" s="24" t="s">
        <v>1908</v>
      </c>
      <c r="C881" s="24" t="s">
        <v>616</v>
      </c>
      <c r="D881" s="24" t="s">
        <v>857</v>
      </c>
      <c r="E881" s="24" t="s">
        <v>443</v>
      </c>
    </row>
    <row r="882" spans="1:5" x14ac:dyDescent="0.3">
      <c r="A882">
        <v>881</v>
      </c>
      <c r="B882" s="24" t="s">
        <v>1909</v>
      </c>
      <c r="C882" s="24" t="s">
        <v>616</v>
      </c>
      <c r="D882" s="24" t="s">
        <v>856</v>
      </c>
      <c r="E882" s="24" t="s">
        <v>443</v>
      </c>
    </row>
    <row r="883" spans="1:5" x14ac:dyDescent="0.3">
      <c r="A883">
        <v>882</v>
      </c>
      <c r="B883" s="24" t="s">
        <v>1910</v>
      </c>
      <c r="C883" s="24" t="s">
        <v>616</v>
      </c>
      <c r="D883" s="24" t="s">
        <v>851</v>
      </c>
      <c r="E883" s="24" t="s">
        <v>444</v>
      </c>
    </row>
    <row r="884" spans="1:5" x14ac:dyDescent="0.3">
      <c r="A884">
        <v>883</v>
      </c>
      <c r="B884" s="24" t="s">
        <v>1911</v>
      </c>
      <c r="C884" s="24" t="s">
        <v>616</v>
      </c>
      <c r="D884" s="24" t="s">
        <v>850</v>
      </c>
      <c r="E884" s="24" t="s">
        <v>444</v>
      </c>
    </row>
    <row r="885" spans="1:5" x14ac:dyDescent="0.3">
      <c r="A885">
        <v>884</v>
      </c>
      <c r="B885" s="24" t="s">
        <v>1912</v>
      </c>
      <c r="C885" s="24" t="s">
        <v>617</v>
      </c>
      <c r="D885" s="24" t="s">
        <v>854</v>
      </c>
      <c r="E885" s="24" t="s">
        <v>443</v>
      </c>
    </row>
    <row r="886" spans="1:5" x14ac:dyDescent="0.3">
      <c r="A886">
        <v>885</v>
      </c>
      <c r="B886" s="24" t="s">
        <v>1913</v>
      </c>
      <c r="C886" s="24" t="s">
        <v>617</v>
      </c>
      <c r="D886" s="24" t="s">
        <v>855</v>
      </c>
      <c r="E886" s="24" t="s">
        <v>443</v>
      </c>
    </row>
    <row r="887" spans="1:5" x14ac:dyDescent="0.3">
      <c r="A887">
        <v>886</v>
      </c>
      <c r="B887" s="24" t="s">
        <v>1914</v>
      </c>
      <c r="C887" s="24" t="s">
        <v>617</v>
      </c>
      <c r="D887" s="24" t="s">
        <v>857</v>
      </c>
      <c r="E887" s="24" t="s">
        <v>443</v>
      </c>
    </row>
    <row r="888" spans="1:5" x14ac:dyDescent="0.3">
      <c r="A888">
        <v>887</v>
      </c>
      <c r="B888" s="24" t="s">
        <v>1915</v>
      </c>
      <c r="C888" s="24" t="s">
        <v>617</v>
      </c>
      <c r="D888" s="24" t="s">
        <v>856</v>
      </c>
      <c r="E888" s="24" t="s">
        <v>443</v>
      </c>
    </row>
    <row r="889" spans="1:5" x14ac:dyDescent="0.3">
      <c r="A889">
        <v>888</v>
      </c>
      <c r="B889" s="24" t="s">
        <v>1916</v>
      </c>
      <c r="C889" s="24" t="s">
        <v>617</v>
      </c>
      <c r="D889" s="24" t="s">
        <v>851</v>
      </c>
      <c r="E889" s="24" t="s">
        <v>444</v>
      </c>
    </row>
    <row r="890" spans="1:5" x14ac:dyDescent="0.3">
      <c r="A890">
        <v>889</v>
      </c>
      <c r="B890" s="24" t="s">
        <v>1917</v>
      </c>
      <c r="C890" s="24" t="s">
        <v>617</v>
      </c>
      <c r="D890" s="24" t="s">
        <v>850</v>
      </c>
      <c r="E890" s="24" t="s">
        <v>444</v>
      </c>
    </row>
    <row r="891" spans="1:5" x14ac:dyDescent="0.3">
      <c r="A891">
        <v>890</v>
      </c>
      <c r="B891" s="24" t="s">
        <v>1918</v>
      </c>
      <c r="C891" s="24" t="s">
        <v>618</v>
      </c>
      <c r="D891" s="24" t="s">
        <v>854</v>
      </c>
      <c r="E891" s="24" t="s">
        <v>443</v>
      </c>
    </row>
    <row r="892" spans="1:5" x14ac:dyDescent="0.3">
      <c r="A892">
        <v>891</v>
      </c>
      <c r="B892" s="24" t="s">
        <v>1919</v>
      </c>
      <c r="C892" s="24" t="s">
        <v>618</v>
      </c>
      <c r="D892" s="24" t="s">
        <v>855</v>
      </c>
      <c r="E892" s="24" t="s">
        <v>443</v>
      </c>
    </row>
    <row r="893" spans="1:5" x14ac:dyDescent="0.3">
      <c r="A893">
        <v>892</v>
      </c>
      <c r="B893" s="24" t="s">
        <v>1920</v>
      </c>
      <c r="C893" s="24" t="s">
        <v>618</v>
      </c>
      <c r="D893" s="24" t="s">
        <v>857</v>
      </c>
      <c r="E893" s="24" t="s">
        <v>443</v>
      </c>
    </row>
    <row r="894" spans="1:5" x14ac:dyDescent="0.3">
      <c r="A894">
        <v>893</v>
      </c>
      <c r="B894" s="24" t="s">
        <v>1921</v>
      </c>
      <c r="C894" s="24" t="s">
        <v>618</v>
      </c>
      <c r="D894" s="24" t="s">
        <v>856</v>
      </c>
      <c r="E894" s="24" t="s">
        <v>443</v>
      </c>
    </row>
    <row r="895" spans="1:5" x14ac:dyDescent="0.3">
      <c r="A895">
        <v>894</v>
      </c>
      <c r="B895" s="24" t="s">
        <v>1922</v>
      </c>
      <c r="C895" s="24" t="s">
        <v>618</v>
      </c>
      <c r="D895" s="24" t="s">
        <v>851</v>
      </c>
      <c r="E895" s="24" t="s">
        <v>444</v>
      </c>
    </row>
    <row r="896" spans="1:5" x14ac:dyDescent="0.3">
      <c r="A896">
        <v>895</v>
      </c>
      <c r="B896" s="24" t="s">
        <v>1923</v>
      </c>
      <c r="C896" s="24" t="s">
        <v>618</v>
      </c>
      <c r="D896" s="24" t="s">
        <v>850</v>
      </c>
      <c r="E896" s="24" t="s">
        <v>444</v>
      </c>
    </row>
    <row r="897" spans="1:5" x14ac:dyDescent="0.3">
      <c r="A897">
        <v>896</v>
      </c>
      <c r="B897" s="24" t="s">
        <v>1924</v>
      </c>
      <c r="C897" s="24" t="s">
        <v>619</v>
      </c>
      <c r="D897" s="24" t="s">
        <v>854</v>
      </c>
      <c r="E897" s="24" t="s">
        <v>443</v>
      </c>
    </row>
    <row r="898" spans="1:5" x14ac:dyDescent="0.3">
      <c r="A898">
        <v>897</v>
      </c>
      <c r="B898" s="24" t="s">
        <v>1925</v>
      </c>
      <c r="C898" s="24" t="s">
        <v>619</v>
      </c>
      <c r="D898" s="24" t="s">
        <v>855</v>
      </c>
      <c r="E898" s="24" t="s">
        <v>443</v>
      </c>
    </row>
    <row r="899" spans="1:5" x14ac:dyDescent="0.3">
      <c r="A899">
        <v>898</v>
      </c>
      <c r="B899" s="24" t="s">
        <v>1926</v>
      </c>
      <c r="C899" s="24" t="s">
        <v>619</v>
      </c>
      <c r="D899" s="24" t="s">
        <v>857</v>
      </c>
      <c r="E899" s="24" t="s">
        <v>443</v>
      </c>
    </row>
    <row r="900" spans="1:5" x14ac:dyDescent="0.3">
      <c r="A900">
        <v>899</v>
      </c>
      <c r="B900" s="24" t="s">
        <v>1927</v>
      </c>
      <c r="C900" s="24" t="s">
        <v>619</v>
      </c>
      <c r="D900" s="24" t="s">
        <v>856</v>
      </c>
      <c r="E900" s="24" t="s">
        <v>443</v>
      </c>
    </row>
    <row r="901" spans="1:5" x14ac:dyDescent="0.3">
      <c r="A901">
        <v>900</v>
      </c>
      <c r="B901" s="24" t="s">
        <v>1928</v>
      </c>
      <c r="C901" s="24" t="s">
        <v>619</v>
      </c>
      <c r="D901" s="24" t="s">
        <v>851</v>
      </c>
      <c r="E901" s="24" t="s">
        <v>444</v>
      </c>
    </row>
    <row r="902" spans="1:5" x14ac:dyDescent="0.3">
      <c r="A902">
        <v>901</v>
      </c>
      <c r="B902" s="24" t="s">
        <v>1929</v>
      </c>
      <c r="C902" s="24" t="s">
        <v>619</v>
      </c>
      <c r="D902" s="24" t="s">
        <v>850</v>
      </c>
      <c r="E902" s="24" t="s">
        <v>444</v>
      </c>
    </row>
    <row r="903" spans="1:5" x14ac:dyDescent="0.3">
      <c r="A903">
        <v>902</v>
      </c>
      <c r="B903" s="24" t="s">
        <v>1930</v>
      </c>
      <c r="C903" s="24" t="s">
        <v>620</v>
      </c>
      <c r="D903" s="24" t="s">
        <v>854</v>
      </c>
      <c r="E903" s="24" t="s">
        <v>443</v>
      </c>
    </row>
    <row r="904" spans="1:5" x14ac:dyDescent="0.3">
      <c r="A904">
        <v>903</v>
      </c>
      <c r="B904" s="24" t="s">
        <v>1931</v>
      </c>
      <c r="C904" s="24" t="s">
        <v>620</v>
      </c>
      <c r="D904" s="24" t="s">
        <v>855</v>
      </c>
      <c r="E904" s="24" t="s">
        <v>443</v>
      </c>
    </row>
    <row r="905" spans="1:5" x14ac:dyDescent="0.3">
      <c r="A905">
        <v>904</v>
      </c>
      <c r="B905" s="24" t="s">
        <v>1932</v>
      </c>
      <c r="C905" s="24" t="s">
        <v>620</v>
      </c>
      <c r="D905" s="24" t="s">
        <v>857</v>
      </c>
      <c r="E905" s="24" t="s">
        <v>443</v>
      </c>
    </row>
    <row r="906" spans="1:5" x14ac:dyDescent="0.3">
      <c r="A906">
        <v>905</v>
      </c>
      <c r="B906" s="24" t="s">
        <v>1933</v>
      </c>
      <c r="C906" s="24" t="s">
        <v>620</v>
      </c>
      <c r="D906" s="24" t="s">
        <v>856</v>
      </c>
      <c r="E906" s="24" t="s">
        <v>443</v>
      </c>
    </row>
    <row r="907" spans="1:5" x14ac:dyDescent="0.3">
      <c r="A907">
        <v>906</v>
      </c>
      <c r="B907" s="24" t="s">
        <v>1934</v>
      </c>
      <c r="C907" s="24" t="s">
        <v>620</v>
      </c>
      <c r="D907" s="24" t="s">
        <v>851</v>
      </c>
      <c r="E907" s="24" t="s">
        <v>444</v>
      </c>
    </row>
    <row r="908" spans="1:5" x14ac:dyDescent="0.3">
      <c r="A908">
        <v>907</v>
      </c>
      <c r="B908" s="24" t="s">
        <v>1935</v>
      </c>
      <c r="C908" s="24" t="s">
        <v>620</v>
      </c>
      <c r="D908" s="24" t="s">
        <v>850</v>
      </c>
      <c r="E908" s="24" t="s">
        <v>444</v>
      </c>
    </row>
    <row r="909" spans="1:5" x14ac:dyDescent="0.3">
      <c r="A909">
        <v>908</v>
      </c>
      <c r="B909" s="24" t="s">
        <v>1936</v>
      </c>
      <c r="C909" s="24" t="s">
        <v>621</v>
      </c>
      <c r="D909" s="24" t="s">
        <v>854</v>
      </c>
      <c r="E909" s="24" t="s">
        <v>443</v>
      </c>
    </row>
    <row r="910" spans="1:5" x14ac:dyDescent="0.3">
      <c r="A910">
        <v>909</v>
      </c>
      <c r="B910" s="24" t="s">
        <v>1937</v>
      </c>
      <c r="C910" s="24" t="s">
        <v>621</v>
      </c>
      <c r="D910" s="24" t="s">
        <v>855</v>
      </c>
      <c r="E910" s="24" t="s">
        <v>443</v>
      </c>
    </row>
    <row r="911" spans="1:5" x14ac:dyDescent="0.3">
      <c r="A911">
        <v>910</v>
      </c>
      <c r="B911" s="24" t="s">
        <v>1938</v>
      </c>
      <c r="C911" s="24" t="s">
        <v>621</v>
      </c>
      <c r="D911" s="24" t="s">
        <v>857</v>
      </c>
      <c r="E911" s="24" t="s">
        <v>443</v>
      </c>
    </row>
    <row r="912" spans="1:5" x14ac:dyDescent="0.3">
      <c r="A912">
        <v>911</v>
      </c>
      <c r="B912" s="24" t="s">
        <v>1939</v>
      </c>
      <c r="C912" s="24" t="s">
        <v>621</v>
      </c>
      <c r="D912" s="24" t="s">
        <v>856</v>
      </c>
      <c r="E912" s="24" t="s">
        <v>443</v>
      </c>
    </row>
    <row r="913" spans="1:5" x14ac:dyDescent="0.3">
      <c r="A913">
        <v>912</v>
      </c>
      <c r="B913" s="24" t="s">
        <v>1940</v>
      </c>
      <c r="C913" s="24" t="s">
        <v>621</v>
      </c>
      <c r="D913" s="24" t="s">
        <v>851</v>
      </c>
      <c r="E913" s="24" t="s">
        <v>444</v>
      </c>
    </row>
    <row r="914" spans="1:5" x14ac:dyDescent="0.3">
      <c r="A914">
        <v>913</v>
      </c>
      <c r="B914" s="24" t="s">
        <v>1941</v>
      </c>
      <c r="C914" s="24" t="s">
        <v>621</v>
      </c>
      <c r="D914" s="24" t="s">
        <v>850</v>
      </c>
      <c r="E914" s="24" t="s">
        <v>444</v>
      </c>
    </row>
    <row r="915" spans="1:5" x14ac:dyDescent="0.3">
      <c r="A915">
        <v>914</v>
      </c>
      <c r="B915" s="24" t="s">
        <v>1942</v>
      </c>
      <c r="C915" s="24" t="s">
        <v>622</v>
      </c>
      <c r="D915" s="24" t="s">
        <v>854</v>
      </c>
      <c r="E915" s="24" t="s">
        <v>443</v>
      </c>
    </row>
    <row r="916" spans="1:5" x14ac:dyDescent="0.3">
      <c r="A916">
        <v>915</v>
      </c>
      <c r="B916" s="24" t="s">
        <v>1943</v>
      </c>
      <c r="C916" s="24" t="s">
        <v>622</v>
      </c>
      <c r="D916" s="24" t="s">
        <v>855</v>
      </c>
      <c r="E916" s="24" t="s">
        <v>443</v>
      </c>
    </row>
    <row r="917" spans="1:5" x14ac:dyDescent="0.3">
      <c r="A917">
        <v>916</v>
      </c>
      <c r="B917" s="24" t="s">
        <v>1944</v>
      </c>
      <c r="C917" s="24" t="s">
        <v>622</v>
      </c>
      <c r="D917" s="24" t="s">
        <v>857</v>
      </c>
      <c r="E917" s="24" t="s">
        <v>443</v>
      </c>
    </row>
    <row r="918" spans="1:5" x14ac:dyDescent="0.3">
      <c r="A918">
        <v>917</v>
      </c>
      <c r="B918" s="24" t="s">
        <v>1945</v>
      </c>
      <c r="C918" s="24" t="s">
        <v>622</v>
      </c>
      <c r="D918" s="24" t="s">
        <v>856</v>
      </c>
      <c r="E918" s="24" t="s">
        <v>443</v>
      </c>
    </row>
    <row r="919" spans="1:5" x14ac:dyDescent="0.3">
      <c r="A919">
        <v>918</v>
      </c>
      <c r="B919" s="24" t="s">
        <v>1946</v>
      </c>
      <c r="C919" s="24" t="s">
        <v>622</v>
      </c>
      <c r="D919" s="24" t="s">
        <v>851</v>
      </c>
      <c r="E919" s="24" t="s">
        <v>444</v>
      </c>
    </row>
    <row r="920" spans="1:5" x14ac:dyDescent="0.3">
      <c r="A920">
        <v>919</v>
      </c>
      <c r="B920" s="24" t="s">
        <v>1947</v>
      </c>
      <c r="C920" s="24" t="s">
        <v>622</v>
      </c>
      <c r="D920" s="24" t="s">
        <v>850</v>
      </c>
      <c r="E920" s="24" t="s">
        <v>444</v>
      </c>
    </row>
    <row r="921" spans="1:5" x14ac:dyDescent="0.3">
      <c r="A921">
        <v>920</v>
      </c>
      <c r="B921" s="24" t="s">
        <v>1948</v>
      </c>
      <c r="C921" s="24" t="s">
        <v>623</v>
      </c>
      <c r="D921" s="24" t="s">
        <v>854</v>
      </c>
      <c r="E921" s="24" t="s">
        <v>443</v>
      </c>
    </row>
    <row r="922" spans="1:5" x14ac:dyDescent="0.3">
      <c r="A922">
        <v>921</v>
      </c>
      <c r="B922" s="24" t="s">
        <v>1949</v>
      </c>
      <c r="C922" s="24" t="s">
        <v>623</v>
      </c>
      <c r="D922" s="24" t="s">
        <v>855</v>
      </c>
      <c r="E922" s="24" t="s">
        <v>443</v>
      </c>
    </row>
    <row r="923" spans="1:5" x14ac:dyDescent="0.3">
      <c r="A923">
        <v>922</v>
      </c>
      <c r="B923" s="24" t="s">
        <v>1950</v>
      </c>
      <c r="C923" s="24" t="s">
        <v>623</v>
      </c>
      <c r="D923" s="24" t="s">
        <v>857</v>
      </c>
      <c r="E923" s="24" t="s">
        <v>443</v>
      </c>
    </row>
    <row r="924" spans="1:5" x14ac:dyDescent="0.3">
      <c r="A924">
        <v>923</v>
      </c>
      <c r="B924" s="24" t="s">
        <v>1951</v>
      </c>
      <c r="C924" s="24" t="s">
        <v>623</v>
      </c>
      <c r="D924" s="24" t="s">
        <v>856</v>
      </c>
      <c r="E924" s="24" t="s">
        <v>443</v>
      </c>
    </row>
    <row r="925" spans="1:5" x14ac:dyDescent="0.3">
      <c r="A925">
        <v>924</v>
      </c>
      <c r="B925" s="24" t="s">
        <v>1952</v>
      </c>
      <c r="C925" s="24" t="s">
        <v>623</v>
      </c>
      <c r="D925" s="24" t="s">
        <v>851</v>
      </c>
      <c r="E925" s="24" t="s">
        <v>444</v>
      </c>
    </row>
    <row r="926" spans="1:5" x14ac:dyDescent="0.3">
      <c r="A926">
        <v>925</v>
      </c>
      <c r="B926" s="24" t="s">
        <v>1953</v>
      </c>
      <c r="C926" s="24" t="s">
        <v>623</v>
      </c>
      <c r="D926" s="24" t="s">
        <v>850</v>
      </c>
      <c r="E926" s="24" t="s">
        <v>444</v>
      </c>
    </row>
    <row r="927" spans="1:5" x14ac:dyDescent="0.3">
      <c r="A927">
        <v>926</v>
      </c>
      <c r="B927" s="24" t="s">
        <v>1954</v>
      </c>
      <c r="C927" s="24" t="s">
        <v>624</v>
      </c>
      <c r="D927" s="24" t="s">
        <v>854</v>
      </c>
      <c r="E927" s="24" t="s">
        <v>443</v>
      </c>
    </row>
    <row r="928" spans="1:5" x14ac:dyDescent="0.3">
      <c r="A928">
        <v>927</v>
      </c>
      <c r="B928" s="24" t="s">
        <v>1955</v>
      </c>
      <c r="C928" s="24" t="s">
        <v>624</v>
      </c>
      <c r="D928" s="24" t="s">
        <v>855</v>
      </c>
      <c r="E928" s="24" t="s">
        <v>443</v>
      </c>
    </row>
    <row r="929" spans="1:5" x14ac:dyDescent="0.3">
      <c r="A929">
        <v>928</v>
      </c>
      <c r="B929" s="24" t="s">
        <v>1956</v>
      </c>
      <c r="C929" s="24" t="s">
        <v>624</v>
      </c>
      <c r="D929" s="24" t="s">
        <v>857</v>
      </c>
      <c r="E929" s="24" t="s">
        <v>443</v>
      </c>
    </row>
    <row r="930" spans="1:5" x14ac:dyDescent="0.3">
      <c r="A930">
        <v>929</v>
      </c>
      <c r="B930" s="24" t="s">
        <v>1957</v>
      </c>
      <c r="C930" s="24" t="s">
        <v>624</v>
      </c>
      <c r="D930" s="24" t="s">
        <v>856</v>
      </c>
      <c r="E930" s="24" t="s">
        <v>443</v>
      </c>
    </row>
    <row r="931" spans="1:5" x14ac:dyDescent="0.3">
      <c r="A931">
        <v>930</v>
      </c>
      <c r="B931" s="24" t="s">
        <v>1958</v>
      </c>
      <c r="C931" s="24" t="s">
        <v>624</v>
      </c>
      <c r="D931" s="24" t="s">
        <v>851</v>
      </c>
      <c r="E931" s="24" t="s">
        <v>444</v>
      </c>
    </row>
    <row r="932" spans="1:5" x14ac:dyDescent="0.3">
      <c r="A932">
        <v>931</v>
      </c>
      <c r="B932" s="24" t="s">
        <v>1959</v>
      </c>
      <c r="C932" s="24" t="s">
        <v>624</v>
      </c>
      <c r="D932" s="24" t="s">
        <v>850</v>
      </c>
      <c r="E932" s="24" t="s">
        <v>444</v>
      </c>
    </row>
    <row r="933" spans="1:5" x14ac:dyDescent="0.3">
      <c r="A933">
        <v>932</v>
      </c>
      <c r="B933" s="24" t="s">
        <v>1960</v>
      </c>
      <c r="C933" s="24" t="s">
        <v>625</v>
      </c>
      <c r="D933" s="24" t="s">
        <v>854</v>
      </c>
      <c r="E933" s="24" t="s">
        <v>443</v>
      </c>
    </row>
    <row r="934" spans="1:5" x14ac:dyDescent="0.3">
      <c r="A934">
        <v>933</v>
      </c>
      <c r="B934" s="24" t="s">
        <v>1961</v>
      </c>
      <c r="C934" s="24" t="s">
        <v>625</v>
      </c>
      <c r="D934" s="24" t="s">
        <v>855</v>
      </c>
      <c r="E934" s="24" t="s">
        <v>443</v>
      </c>
    </row>
    <row r="935" spans="1:5" x14ac:dyDescent="0.3">
      <c r="A935">
        <v>934</v>
      </c>
      <c r="B935" s="24" t="s">
        <v>1962</v>
      </c>
      <c r="C935" s="24" t="s">
        <v>625</v>
      </c>
      <c r="D935" s="24" t="s">
        <v>857</v>
      </c>
      <c r="E935" s="24" t="s">
        <v>443</v>
      </c>
    </row>
    <row r="936" spans="1:5" x14ac:dyDescent="0.3">
      <c r="A936">
        <v>935</v>
      </c>
      <c r="B936" s="24" t="s">
        <v>1963</v>
      </c>
      <c r="C936" s="24" t="s">
        <v>625</v>
      </c>
      <c r="D936" s="24" t="s">
        <v>856</v>
      </c>
      <c r="E936" s="24" t="s">
        <v>443</v>
      </c>
    </row>
    <row r="937" spans="1:5" x14ac:dyDescent="0.3">
      <c r="A937">
        <v>936</v>
      </c>
      <c r="B937" s="24" t="s">
        <v>1964</v>
      </c>
      <c r="C937" s="24" t="s">
        <v>625</v>
      </c>
      <c r="D937" s="24" t="s">
        <v>851</v>
      </c>
      <c r="E937" s="24" t="s">
        <v>444</v>
      </c>
    </row>
    <row r="938" spans="1:5" x14ac:dyDescent="0.3">
      <c r="A938">
        <v>937</v>
      </c>
      <c r="B938" s="24" t="s">
        <v>1965</v>
      </c>
      <c r="C938" s="24" t="s">
        <v>625</v>
      </c>
      <c r="D938" s="24" t="s">
        <v>850</v>
      </c>
      <c r="E938" s="24" t="s">
        <v>444</v>
      </c>
    </row>
    <row r="939" spans="1:5" x14ac:dyDescent="0.3">
      <c r="A939">
        <v>938</v>
      </c>
      <c r="B939" s="24" t="s">
        <v>1966</v>
      </c>
      <c r="C939" s="24" t="s">
        <v>626</v>
      </c>
      <c r="D939" s="24" t="s">
        <v>846</v>
      </c>
      <c r="E939" s="24" t="s">
        <v>497</v>
      </c>
    </row>
    <row r="940" spans="1:5" x14ac:dyDescent="0.3">
      <c r="A940">
        <v>939</v>
      </c>
      <c r="B940" s="24" t="s">
        <v>1967</v>
      </c>
      <c r="C940" s="24" t="s">
        <v>626</v>
      </c>
      <c r="D940" s="24" t="s">
        <v>847</v>
      </c>
      <c r="E940" s="24" t="s">
        <v>443</v>
      </c>
    </row>
    <row r="941" spans="1:5" x14ac:dyDescent="0.3">
      <c r="A941">
        <v>940</v>
      </c>
      <c r="B941" s="24" t="s">
        <v>1968</v>
      </c>
      <c r="C941" s="24" t="s">
        <v>626</v>
      </c>
      <c r="D941" s="24" t="s">
        <v>848</v>
      </c>
      <c r="E941" s="24" t="s">
        <v>443</v>
      </c>
    </row>
    <row r="942" spans="1:5" x14ac:dyDescent="0.3">
      <c r="A942">
        <v>941</v>
      </c>
      <c r="B942" s="24" t="s">
        <v>1969</v>
      </c>
      <c r="C942" s="24" t="s">
        <v>626</v>
      </c>
      <c r="D942" s="24" t="s">
        <v>849</v>
      </c>
      <c r="E942" s="24" t="s">
        <v>443</v>
      </c>
    </row>
    <row r="943" spans="1:5" x14ac:dyDescent="0.3">
      <c r="A943">
        <v>942</v>
      </c>
      <c r="B943" s="24" t="s">
        <v>1970</v>
      </c>
      <c r="C943" s="24" t="s">
        <v>626</v>
      </c>
      <c r="D943" s="24" t="s">
        <v>852</v>
      </c>
      <c r="E943" s="24" t="s">
        <v>443</v>
      </c>
    </row>
    <row r="944" spans="1:5" x14ac:dyDescent="0.3">
      <c r="A944">
        <v>943</v>
      </c>
      <c r="B944" s="24" t="s">
        <v>1971</v>
      </c>
      <c r="C944" s="24" t="s">
        <v>626</v>
      </c>
      <c r="D944" s="24" t="s">
        <v>853</v>
      </c>
      <c r="E944" s="24" t="s">
        <v>443</v>
      </c>
    </row>
    <row r="945" spans="1:5" x14ac:dyDescent="0.3">
      <c r="A945">
        <v>944</v>
      </c>
      <c r="B945" s="24" t="s">
        <v>1972</v>
      </c>
      <c r="C945" s="24" t="s">
        <v>626</v>
      </c>
      <c r="D945" s="24" t="s">
        <v>851</v>
      </c>
      <c r="E945" s="24" t="s">
        <v>444</v>
      </c>
    </row>
    <row r="946" spans="1:5" x14ac:dyDescent="0.3">
      <c r="A946">
        <v>945</v>
      </c>
      <c r="B946" s="24" t="s">
        <v>1973</v>
      </c>
      <c r="C946" s="24" t="s">
        <v>626</v>
      </c>
      <c r="D946" s="24" t="s">
        <v>850</v>
      </c>
      <c r="E946" s="24" t="s">
        <v>444</v>
      </c>
    </row>
    <row r="947" spans="1:5" x14ac:dyDescent="0.3">
      <c r="A947">
        <v>946</v>
      </c>
      <c r="B947" s="24" t="s">
        <v>1974</v>
      </c>
      <c r="C947" s="24" t="s">
        <v>627</v>
      </c>
      <c r="D947" s="24" t="s">
        <v>846</v>
      </c>
      <c r="E947" s="24" t="s">
        <v>497</v>
      </c>
    </row>
    <row r="948" spans="1:5" x14ac:dyDescent="0.3">
      <c r="A948">
        <v>947</v>
      </c>
      <c r="B948" s="24" t="s">
        <v>1975</v>
      </c>
      <c r="C948" s="24" t="s">
        <v>627</v>
      </c>
      <c r="D948" s="24" t="s">
        <v>847</v>
      </c>
      <c r="E948" s="24" t="s">
        <v>443</v>
      </c>
    </row>
    <row r="949" spans="1:5" x14ac:dyDescent="0.3">
      <c r="A949">
        <v>948</v>
      </c>
      <c r="B949" s="24" t="s">
        <v>1976</v>
      </c>
      <c r="C949" s="24" t="s">
        <v>627</v>
      </c>
      <c r="D949" s="24" t="s">
        <v>848</v>
      </c>
      <c r="E949" s="24" t="s">
        <v>443</v>
      </c>
    </row>
    <row r="950" spans="1:5" x14ac:dyDescent="0.3">
      <c r="A950">
        <v>949</v>
      </c>
      <c r="B950" s="24" t="s">
        <v>1977</v>
      </c>
      <c r="C950" s="24" t="s">
        <v>627</v>
      </c>
      <c r="D950" s="24" t="s">
        <v>849</v>
      </c>
      <c r="E950" s="24" t="s">
        <v>443</v>
      </c>
    </row>
    <row r="951" spans="1:5" x14ac:dyDescent="0.3">
      <c r="A951">
        <v>950</v>
      </c>
      <c r="B951" s="24" t="s">
        <v>1978</v>
      </c>
      <c r="C951" s="24" t="s">
        <v>627</v>
      </c>
      <c r="D951" s="24" t="s">
        <v>851</v>
      </c>
      <c r="E951" s="24" t="s">
        <v>444</v>
      </c>
    </row>
    <row r="952" spans="1:5" x14ac:dyDescent="0.3">
      <c r="A952">
        <v>951</v>
      </c>
      <c r="B952" s="24" t="s">
        <v>1979</v>
      </c>
      <c r="C952" s="24" t="s">
        <v>627</v>
      </c>
      <c r="D952" s="24" t="s">
        <v>850</v>
      </c>
      <c r="E952" s="24" t="s">
        <v>444</v>
      </c>
    </row>
    <row r="953" spans="1:5" x14ac:dyDescent="0.3">
      <c r="A953">
        <v>952</v>
      </c>
      <c r="B953" s="24" t="s">
        <v>1980</v>
      </c>
      <c r="C953" s="24" t="s">
        <v>628</v>
      </c>
      <c r="D953" s="24" t="s">
        <v>846</v>
      </c>
      <c r="E953" s="24" t="s">
        <v>497</v>
      </c>
    </row>
    <row r="954" spans="1:5" x14ac:dyDescent="0.3">
      <c r="A954">
        <v>953</v>
      </c>
      <c r="B954" s="24" t="s">
        <v>1981</v>
      </c>
      <c r="C954" s="24" t="s">
        <v>628</v>
      </c>
      <c r="D954" s="24" t="s">
        <v>847</v>
      </c>
      <c r="E954" s="24" t="s">
        <v>443</v>
      </c>
    </row>
    <row r="955" spans="1:5" x14ac:dyDescent="0.3">
      <c r="A955">
        <v>954</v>
      </c>
      <c r="B955" s="24" t="s">
        <v>1982</v>
      </c>
      <c r="C955" s="24" t="s">
        <v>628</v>
      </c>
      <c r="D955" s="24" t="s">
        <v>848</v>
      </c>
      <c r="E955" s="24" t="s">
        <v>443</v>
      </c>
    </row>
    <row r="956" spans="1:5" x14ac:dyDescent="0.3">
      <c r="A956">
        <v>955</v>
      </c>
      <c r="B956" s="24" t="s">
        <v>1983</v>
      </c>
      <c r="C956" s="24" t="s">
        <v>628</v>
      </c>
      <c r="D956" s="24" t="s">
        <v>849</v>
      </c>
      <c r="E956" s="24" t="s">
        <v>443</v>
      </c>
    </row>
    <row r="957" spans="1:5" x14ac:dyDescent="0.3">
      <c r="A957">
        <v>956</v>
      </c>
      <c r="B957" s="24" t="s">
        <v>1984</v>
      </c>
      <c r="C957" s="24" t="s">
        <v>628</v>
      </c>
      <c r="D957" s="24" t="s">
        <v>852</v>
      </c>
      <c r="E957" s="24" t="s">
        <v>443</v>
      </c>
    </row>
    <row r="958" spans="1:5" x14ac:dyDescent="0.3">
      <c r="A958">
        <v>957</v>
      </c>
      <c r="B958" s="24" t="s">
        <v>1985</v>
      </c>
      <c r="C958" s="24" t="s">
        <v>628</v>
      </c>
      <c r="D958" s="24" t="s">
        <v>853</v>
      </c>
      <c r="E958" s="24" t="s">
        <v>443</v>
      </c>
    </row>
    <row r="959" spans="1:5" x14ac:dyDescent="0.3">
      <c r="A959">
        <v>958</v>
      </c>
      <c r="B959" s="24" t="s">
        <v>1986</v>
      </c>
      <c r="C959" s="24" t="s">
        <v>628</v>
      </c>
      <c r="D959" s="24" t="s">
        <v>851</v>
      </c>
      <c r="E959" s="24" t="s">
        <v>444</v>
      </c>
    </row>
    <row r="960" spans="1:5" x14ac:dyDescent="0.3">
      <c r="A960">
        <v>959</v>
      </c>
      <c r="B960" s="24" t="s">
        <v>1987</v>
      </c>
      <c r="C960" s="24" t="s">
        <v>628</v>
      </c>
      <c r="D960" s="24" t="s">
        <v>850</v>
      </c>
      <c r="E960" s="24" t="s">
        <v>444</v>
      </c>
    </row>
    <row r="961" spans="1:5" x14ac:dyDescent="0.3">
      <c r="A961">
        <v>960</v>
      </c>
      <c r="B961" s="24" t="s">
        <v>1988</v>
      </c>
      <c r="C961" s="24" t="s">
        <v>629</v>
      </c>
      <c r="D961" s="24" t="s">
        <v>854</v>
      </c>
      <c r="E961" s="24" t="s">
        <v>443</v>
      </c>
    </row>
    <row r="962" spans="1:5" x14ac:dyDescent="0.3">
      <c r="A962">
        <v>961</v>
      </c>
      <c r="B962" s="24" t="s">
        <v>1989</v>
      </c>
      <c r="C962" s="24" t="s">
        <v>629</v>
      </c>
      <c r="D962" s="24" t="s">
        <v>855</v>
      </c>
      <c r="E962" s="24" t="s">
        <v>443</v>
      </c>
    </row>
    <row r="963" spans="1:5" x14ac:dyDescent="0.3">
      <c r="A963">
        <v>962</v>
      </c>
      <c r="B963" s="24" t="s">
        <v>1990</v>
      </c>
      <c r="C963" s="24" t="s">
        <v>629</v>
      </c>
      <c r="D963" s="24" t="s">
        <v>857</v>
      </c>
      <c r="E963" s="24" t="s">
        <v>443</v>
      </c>
    </row>
    <row r="964" spans="1:5" x14ac:dyDescent="0.3">
      <c r="A964">
        <v>963</v>
      </c>
      <c r="B964" s="24" t="s">
        <v>1991</v>
      </c>
      <c r="C964" s="24" t="s">
        <v>629</v>
      </c>
      <c r="D964" s="24" t="s">
        <v>856</v>
      </c>
      <c r="E964" s="24" t="s">
        <v>443</v>
      </c>
    </row>
    <row r="965" spans="1:5" x14ac:dyDescent="0.3">
      <c r="A965">
        <v>964</v>
      </c>
      <c r="B965" s="24" t="s">
        <v>1992</v>
      </c>
      <c r="C965" s="24" t="s">
        <v>629</v>
      </c>
      <c r="D965" s="24" t="s">
        <v>851</v>
      </c>
      <c r="E965" s="24" t="s">
        <v>444</v>
      </c>
    </row>
    <row r="966" spans="1:5" x14ac:dyDescent="0.3">
      <c r="A966">
        <v>965</v>
      </c>
      <c r="B966" s="24" t="s">
        <v>1993</v>
      </c>
      <c r="C966" s="24" t="s">
        <v>629</v>
      </c>
      <c r="D966" s="24" t="s">
        <v>850</v>
      </c>
      <c r="E966" s="24" t="s">
        <v>444</v>
      </c>
    </row>
    <row r="967" spans="1:5" x14ac:dyDescent="0.3">
      <c r="A967">
        <v>966</v>
      </c>
      <c r="B967" s="24" t="s">
        <v>1994</v>
      </c>
      <c r="C967" s="24" t="s">
        <v>630</v>
      </c>
      <c r="D967" s="24" t="s">
        <v>854</v>
      </c>
      <c r="E967" s="24" t="s">
        <v>443</v>
      </c>
    </row>
    <row r="968" spans="1:5" x14ac:dyDescent="0.3">
      <c r="A968">
        <v>967</v>
      </c>
      <c r="B968" s="24" t="s">
        <v>1995</v>
      </c>
      <c r="C968" s="24" t="s">
        <v>630</v>
      </c>
      <c r="D968" s="24" t="s">
        <v>855</v>
      </c>
      <c r="E968" s="24" t="s">
        <v>443</v>
      </c>
    </row>
    <row r="969" spans="1:5" x14ac:dyDescent="0.3">
      <c r="A969">
        <v>968</v>
      </c>
      <c r="B969" s="24" t="s">
        <v>1996</v>
      </c>
      <c r="C969" s="24" t="s">
        <v>630</v>
      </c>
      <c r="D969" s="24" t="s">
        <v>857</v>
      </c>
      <c r="E969" s="24" t="s">
        <v>443</v>
      </c>
    </row>
    <row r="970" spans="1:5" x14ac:dyDescent="0.3">
      <c r="A970">
        <v>969</v>
      </c>
      <c r="B970" s="24" t="s">
        <v>1997</v>
      </c>
      <c r="C970" s="24" t="s">
        <v>630</v>
      </c>
      <c r="D970" s="24" t="s">
        <v>856</v>
      </c>
      <c r="E970" s="24" t="s">
        <v>443</v>
      </c>
    </row>
    <row r="971" spans="1:5" x14ac:dyDescent="0.3">
      <c r="A971">
        <v>970</v>
      </c>
      <c r="B971" s="24" t="s">
        <v>1998</v>
      </c>
      <c r="C971" s="24" t="s">
        <v>630</v>
      </c>
      <c r="D971" s="24" t="s">
        <v>851</v>
      </c>
      <c r="E971" s="24" t="s">
        <v>444</v>
      </c>
    </row>
    <row r="972" spans="1:5" x14ac:dyDescent="0.3">
      <c r="A972">
        <v>971</v>
      </c>
      <c r="B972" s="24" t="s">
        <v>1999</v>
      </c>
      <c r="C972" s="24" t="s">
        <v>630</v>
      </c>
      <c r="D972" s="24" t="s">
        <v>850</v>
      </c>
      <c r="E972" s="24" t="s">
        <v>444</v>
      </c>
    </row>
    <row r="973" spans="1:5" x14ac:dyDescent="0.3">
      <c r="A973">
        <v>972</v>
      </c>
      <c r="B973" s="24" t="s">
        <v>2000</v>
      </c>
      <c r="C973" s="24" t="s">
        <v>631</v>
      </c>
      <c r="D973" s="24" t="s">
        <v>854</v>
      </c>
      <c r="E973" s="24" t="s">
        <v>443</v>
      </c>
    </row>
    <row r="974" spans="1:5" x14ac:dyDescent="0.3">
      <c r="A974">
        <v>973</v>
      </c>
      <c r="B974" s="24" t="s">
        <v>2001</v>
      </c>
      <c r="C974" s="24" t="s">
        <v>631</v>
      </c>
      <c r="D974" s="24" t="s">
        <v>855</v>
      </c>
      <c r="E974" s="24" t="s">
        <v>443</v>
      </c>
    </row>
    <row r="975" spans="1:5" x14ac:dyDescent="0.3">
      <c r="A975">
        <v>974</v>
      </c>
      <c r="B975" s="24" t="s">
        <v>2002</v>
      </c>
      <c r="C975" s="24" t="s">
        <v>631</v>
      </c>
      <c r="D975" s="24" t="s">
        <v>857</v>
      </c>
      <c r="E975" s="24" t="s">
        <v>443</v>
      </c>
    </row>
    <row r="976" spans="1:5" x14ac:dyDescent="0.3">
      <c r="A976">
        <v>975</v>
      </c>
      <c r="B976" s="24" t="s">
        <v>2003</v>
      </c>
      <c r="C976" s="24" t="s">
        <v>631</v>
      </c>
      <c r="D976" s="24" t="s">
        <v>856</v>
      </c>
      <c r="E976" s="24" t="s">
        <v>443</v>
      </c>
    </row>
    <row r="977" spans="1:5" x14ac:dyDescent="0.3">
      <c r="A977">
        <v>976</v>
      </c>
      <c r="B977" s="24" t="s">
        <v>2004</v>
      </c>
      <c r="C977" s="24" t="s">
        <v>631</v>
      </c>
      <c r="D977" s="24" t="s">
        <v>851</v>
      </c>
      <c r="E977" s="24" t="s">
        <v>444</v>
      </c>
    </row>
    <row r="978" spans="1:5" x14ac:dyDescent="0.3">
      <c r="A978">
        <v>977</v>
      </c>
      <c r="B978" s="24" t="s">
        <v>2005</v>
      </c>
      <c r="C978" s="24" t="s">
        <v>631</v>
      </c>
      <c r="D978" s="24" t="s">
        <v>850</v>
      </c>
      <c r="E978" s="24" t="s">
        <v>444</v>
      </c>
    </row>
    <row r="979" spans="1:5" x14ac:dyDescent="0.3">
      <c r="A979">
        <v>978</v>
      </c>
      <c r="B979" s="24" t="s">
        <v>2006</v>
      </c>
      <c r="C979" s="24" t="s">
        <v>632</v>
      </c>
      <c r="D979" s="24" t="s">
        <v>854</v>
      </c>
      <c r="E979" s="24" t="s">
        <v>443</v>
      </c>
    </row>
    <row r="980" spans="1:5" x14ac:dyDescent="0.3">
      <c r="A980">
        <v>979</v>
      </c>
      <c r="B980" s="24" t="s">
        <v>2007</v>
      </c>
      <c r="C980" s="24" t="s">
        <v>632</v>
      </c>
      <c r="D980" s="24" t="s">
        <v>855</v>
      </c>
      <c r="E980" s="24" t="s">
        <v>443</v>
      </c>
    </row>
    <row r="981" spans="1:5" x14ac:dyDescent="0.3">
      <c r="A981">
        <v>980</v>
      </c>
      <c r="B981" s="24" t="s">
        <v>2008</v>
      </c>
      <c r="C981" s="24" t="s">
        <v>632</v>
      </c>
      <c r="D981" s="24" t="s">
        <v>857</v>
      </c>
      <c r="E981" s="24" t="s">
        <v>443</v>
      </c>
    </row>
    <row r="982" spans="1:5" x14ac:dyDescent="0.3">
      <c r="A982">
        <v>981</v>
      </c>
      <c r="B982" s="24" t="s">
        <v>2009</v>
      </c>
      <c r="C982" s="24" t="s">
        <v>632</v>
      </c>
      <c r="D982" s="24" t="s">
        <v>856</v>
      </c>
      <c r="E982" s="24" t="s">
        <v>443</v>
      </c>
    </row>
    <row r="983" spans="1:5" x14ac:dyDescent="0.3">
      <c r="A983">
        <v>982</v>
      </c>
      <c r="B983" s="24" t="s">
        <v>2010</v>
      </c>
      <c r="C983" s="24" t="s">
        <v>632</v>
      </c>
      <c r="D983" s="24" t="s">
        <v>851</v>
      </c>
      <c r="E983" s="24" t="s">
        <v>444</v>
      </c>
    </row>
    <row r="984" spans="1:5" x14ac:dyDescent="0.3">
      <c r="A984">
        <v>983</v>
      </c>
      <c r="B984" s="24" t="s">
        <v>2011</v>
      </c>
      <c r="C984" s="24" t="s">
        <v>632</v>
      </c>
      <c r="D984" s="24" t="s">
        <v>850</v>
      </c>
      <c r="E984" s="24" t="s">
        <v>444</v>
      </c>
    </row>
    <row r="985" spans="1:5" x14ac:dyDescent="0.3">
      <c r="A985">
        <v>984</v>
      </c>
      <c r="B985" s="24" t="s">
        <v>2012</v>
      </c>
      <c r="C985" s="24" t="s">
        <v>633</v>
      </c>
      <c r="D985" s="24" t="s">
        <v>854</v>
      </c>
      <c r="E985" s="24" t="s">
        <v>443</v>
      </c>
    </row>
    <row r="986" spans="1:5" x14ac:dyDescent="0.3">
      <c r="A986">
        <v>985</v>
      </c>
      <c r="B986" s="24" t="s">
        <v>2013</v>
      </c>
      <c r="C986" s="24" t="s">
        <v>633</v>
      </c>
      <c r="D986" s="24" t="s">
        <v>855</v>
      </c>
      <c r="E986" s="24" t="s">
        <v>443</v>
      </c>
    </row>
    <row r="987" spans="1:5" x14ac:dyDescent="0.3">
      <c r="A987">
        <v>986</v>
      </c>
      <c r="B987" s="24" t="s">
        <v>2014</v>
      </c>
      <c r="C987" s="24" t="s">
        <v>633</v>
      </c>
      <c r="D987" s="24" t="s">
        <v>857</v>
      </c>
      <c r="E987" s="24" t="s">
        <v>443</v>
      </c>
    </row>
    <row r="988" spans="1:5" x14ac:dyDescent="0.3">
      <c r="A988">
        <v>987</v>
      </c>
      <c r="B988" s="24" t="s">
        <v>2015</v>
      </c>
      <c r="C988" s="24" t="s">
        <v>633</v>
      </c>
      <c r="D988" s="24" t="s">
        <v>856</v>
      </c>
      <c r="E988" s="24" t="s">
        <v>443</v>
      </c>
    </row>
    <row r="989" spans="1:5" x14ac:dyDescent="0.3">
      <c r="A989">
        <v>988</v>
      </c>
      <c r="B989" s="24" t="s">
        <v>2016</v>
      </c>
      <c r="C989" s="24" t="s">
        <v>633</v>
      </c>
      <c r="D989" s="24" t="s">
        <v>851</v>
      </c>
      <c r="E989" s="24" t="s">
        <v>444</v>
      </c>
    </row>
    <row r="990" spans="1:5" x14ac:dyDescent="0.3">
      <c r="A990">
        <v>989</v>
      </c>
      <c r="B990" s="24" t="s">
        <v>2017</v>
      </c>
      <c r="C990" s="24" t="s">
        <v>633</v>
      </c>
      <c r="D990" s="24" t="s">
        <v>850</v>
      </c>
      <c r="E990" s="24" t="s">
        <v>444</v>
      </c>
    </row>
    <row r="991" spans="1:5" x14ac:dyDescent="0.3">
      <c r="A991">
        <v>990</v>
      </c>
      <c r="B991" s="24" t="s">
        <v>2018</v>
      </c>
      <c r="C991" s="24" t="s">
        <v>634</v>
      </c>
      <c r="D991" s="24" t="s">
        <v>854</v>
      </c>
      <c r="E991" s="24" t="s">
        <v>443</v>
      </c>
    </row>
    <row r="992" spans="1:5" x14ac:dyDescent="0.3">
      <c r="A992">
        <v>991</v>
      </c>
      <c r="B992" s="24" t="s">
        <v>2019</v>
      </c>
      <c r="C992" s="24" t="s">
        <v>634</v>
      </c>
      <c r="D992" s="24" t="s">
        <v>855</v>
      </c>
      <c r="E992" s="24" t="s">
        <v>443</v>
      </c>
    </row>
    <row r="993" spans="1:5" x14ac:dyDescent="0.3">
      <c r="A993">
        <v>992</v>
      </c>
      <c r="B993" s="24" t="s">
        <v>2020</v>
      </c>
      <c r="C993" s="24" t="s">
        <v>634</v>
      </c>
      <c r="D993" s="24" t="s">
        <v>857</v>
      </c>
      <c r="E993" s="24" t="s">
        <v>443</v>
      </c>
    </row>
    <row r="994" spans="1:5" x14ac:dyDescent="0.3">
      <c r="A994">
        <v>993</v>
      </c>
      <c r="B994" s="24" t="s">
        <v>2021</v>
      </c>
      <c r="C994" s="24" t="s">
        <v>634</v>
      </c>
      <c r="D994" s="24" t="s">
        <v>856</v>
      </c>
      <c r="E994" s="24" t="s">
        <v>443</v>
      </c>
    </row>
    <row r="995" spans="1:5" x14ac:dyDescent="0.3">
      <c r="A995">
        <v>994</v>
      </c>
      <c r="B995" s="24" t="s">
        <v>2022</v>
      </c>
      <c r="C995" s="24" t="s">
        <v>634</v>
      </c>
      <c r="D995" s="24" t="s">
        <v>851</v>
      </c>
      <c r="E995" s="24" t="s">
        <v>444</v>
      </c>
    </row>
    <row r="996" spans="1:5" x14ac:dyDescent="0.3">
      <c r="A996">
        <v>995</v>
      </c>
      <c r="B996" s="24" t="s">
        <v>2023</v>
      </c>
      <c r="C996" s="24" t="s">
        <v>634</v>
      </c>
      <c r="D996" s="24" t="s">
        <v>850</v>
      </c>
      <c r="E996" s="24" t="s">
        <v>444</v>
      </c>
    </row>
    <row r="997" spans="1:5" x14ac:dyDescent="0.3">
      <c r="A997">
        <v>996</v>
      </c>
      <c r="B997" s="24" t="s">
        <v>2024</v>
      </c>
      <c r="C997" s="24" t="s">
        <v>635</v>
      </c>
      <c r="D997" s="24" t="s">
        <v>854</v>
      </c>
      <c r="E997" s="24" t="s">
        <v>443</v>
      </c>
    </row>
    <row r="998" spans="1:5" x14ac:dyDescent="0.3">
      <c r="A998">
        <v>997</v>
      </c>
      <c r="B998" s="24" t="s">
        <v>2025</v>
      </c>
      <c r="C998" s="24" t="s">
        <v>635</v>
      </c>
      <c r="D998" s="24" t="s">
        <v>855</v>
      </c>
      <c r="E998" s="24" t="s">
        <v>443</v>
      </c>
    </row>
    <row r="999" spans="1:5" x14ac:dyDescent="0.3">
      <c r="A999">
        <v>998</v>
      </c>
      <c r="B999" s="24" t="s">
        <v>2026</v>
      </c>
      <c r="C999" s="24" t="s">
        <v>635</v>
      </c>
      <c r="D999" s="24" t="s">
        <v>857</v>
      </c>
      <c r="E999" s="24" t="s">
        <v>443</v>
      </c>
    </row>
    <row r="1000" spans="1:5" x14ac:dyDescent="0.3">
      <c r="A1000">
        <v>999</v>
      </c>
      <c r="B1000" s="24" t="s">
        <v>2027</v>
      </c>
      <c r="C1000" s="24" t="s">
        <v>635</v>
      </c>
      <c r="D1000" s="24" t="s">
        <v>856</v>
      </c>
      <c r="E1000" s="24" t="s">
        <v>443</v>
      </c>
    </row>
    <row r="1001" spans="1:5" x14ac:dyDescent="0.3">
      <c r="A1001">
        <v>1000</v>
      </c>
      <c r="B1001" s="24" t="s">
        <v>2028</v>
      </c>
      <c r="C1001" s="24" t="s">
        <v>635</v>
      </c>
      <c r="D1001" s="24" t="s">
        <v>851</v>
      </c>
      <c r="E1001" s="24" t="s">
        <v>444</v>
      </c>
    </row>
    <row r="1002" spans="1:5" x14ac:dyDescent="0.3">
      <c r="A1002">
        <v>1001</v>
      </c>
      <c r="B1002" s="24" t="s">
        <v>2029</v>
      </c>
      <c r="C1002" s="24" t="s">
        <v>635</v>
      </c>
      <c r="D1002" s="24" t="s">
        <v>850</v>
      </c>
      <c r="E1002" s="24" t="s">
        <v>444</v>
      </c>
    </row>
    <row r="1003" spans="1:5" x14ac:dyDescent="0.3">
      <c r="A1003">
        <v>1002</v>
      </c>
      <c r="B1003" s="24" t="s">
        <v>2030</v>
      </c>
      <c r="C1003" s="24" t="s">
        <v>636</v>
      </c>
      <c r="D1003" s="24" t="s">
        <v>854</v>
      </c>
      <c r="E1003" s="24" t="s">
        <v>443</v>
      </c>
    </row>
    <row r="1004" spans="1:5" x14ac:dyDescent="0.3">
      <c r="A1004">
        <v>1003</v>
      </c>
      <c r="B1004" s="24" t="s">
        <v>2031</v>
      </c>
      <c r="C1004" s="24" t="s">
        <v>636</v>
      </c>
      <c r="D1004" s="24" t="s">
        <v>855</v>
      </c>
      <c r="E1004" s="24" t="s">
        <v>443</v>
      </c>
    </row>
    <row r="1005" spans="1:5" x14ac:dyDescent="0.3">
      <c r="A1005">
        <v>1004</v>
      </c>
      <c r="B1005" s="24" t="s">
        <v>2032</v>
      </c>
      <c r="C1005" s="24" t="s">
        <v>636</v>
      </c>
      <c r="D1005" s="24" t="s">
        <v>857</v>
      </c>
      <c r="E1005" s="24" t="s">
        <v>443</v>
      </c>
    </row>
    <row r="1006" spans="1:5" x14ac:dyDescent="0.3">
      <c r="A1006">
        <v>1005</v>
      </c>
      <c r="B1006" s="24" t="s">
        <v>2033</v>
      </c>
      <c r="C1006" s="24" t="s">
        <v>636</v>
      </c>
      <c r="D1006" s="24" t="s">
        <v>856</v>
      </c>
      <c r="E1006" s="24" t="s">
        <v>443</v>
      </c>
    </row>
    <row r="1007" spans="1:5" x14ac:dyDescent="0.3">
      <c r="A1007">
        <v>1006</v>
      </c>
      <c r="B1007" s="24" t="s">
        <v>2034</v>
      </c>
      <c r="C1007" s="24" t="s">
        <v>636</v>
      </c>
      <c r="D1007" s="24" t="s">
        <v>851</v>
      </c>
      <c r="E1007" s="24" t="s">
        <v>444</v>
      </c>
    </row>
    <row r="1008" spans="1:5" x14ac:dyDescent="0.3">
      <c r="A1008">
        <v>1007</v>
      </c>
      <c r="B1008" s="24" t="s">
        <v>2035</v>
      </c>
      <c r="C1008" s="24" t="s">
        <v>636</v>
      </c>
      <c r="D1008" s="24" t="s">
        <v>850</v>
      </c>
      <c r="E1008" s="24" t="s">
        <v>444</v>
      </c>
    </row>
    <row r="1009" spans="1:5" x14ac:dyDescent="0.3">
      <c r="A1009">
        <v>1008</v>
      </c>
      <c r="B1009" s="24" t="s">
        <v>2036</v>
      </c>
      <c r="C1009" s="24" t="s">
        <v>637</v>
      </c>
      <c r="D1009" s="24" t="s">
        <v>854</v>
      </c>
      <c r="E1009" s="24" t="s">
        <v>443</v>
      </c>
    </row>
    <row r="1010" spans="1:5" x14ac:dyDescent="0.3">
      <c r="A1010">
        <v>1009</v>
      </c>
      <c r="B1010" s="24" t="s">
        <v>2037</v>
      </c>
      <c r="C1010" s="24" t="s">
        <v>637</v>
      </c>
      <c r="D1010" s="24" t="s">
        <v>855</v>
      </c>
      <c r="E1010" s="24" t="s">
        <v>443</v>
      </c>
    </row>
    <row r="1011" spans="1:5" x14ac:dyDescent="0.3">
      <c r="A1011">
        <v>1010</v>
      </c>
      <c r="B1011" s="24" t="s">
        <v>2038</v>
      </c>
      <c r="C1011" s="24" t="s">
        <v>637</v>
      </c>
      <c r="D1011" s="24" t="s">
        <v>857</v>
      </c>
      <c r="E1011" s="24" t="s">
        <v>443</v>
      </c>
    </row>
    <row r="1012" spans="1:5" x14ac:dyDescent="0.3">
      <c r="A1012">
        <v>1011</v>
      </c>
      <c r="B1012" s="24" t="s">
        <v>2039</v>
      </c>
      <c r="C1012" s="24" t="s">
        <v>637</v>
      </c>
      <c r="D1012" s="24" t="s">
        <v>856</v>
      </c>
      <c r="E1012" s="24" t="s">
        <v>443</v>
      </c>
    </row>
    <row r="1013" spans="1:5" x14ac:dyDescent="0.3">
      <c r="A1013">
        <v>1012</v>
      </c>
      <c r="B1013" s="24" t="s">
        <v>2040</v>
      </c>
      <c r="C1013" s="24" t="s">
        <v>637</v>
      </c>
      <c r="D1013" s="24" t="s">
        <v>851</v>
      </c>
      <c r="E1013" s="24" t="s">
        <v>444</v>
      </c>
    </row>
    <row r="1014" spans="1:5" x14ac:dyDescent="0.3">
      <c r="A1014">
        <v>1013</v>
      </c>
      <c r="B1014" s="24" t="s">
        <v>2041</v>
      </c>
      <c r="C1014" s="24" t="s">
        <v>637</v>
      </c>
      <c r="D1014" s="24" t="s">
        <v>850</v>
      </c>
      <c r="E1014" s="24" t="s">
        <v>444</v>
      </c>
    </row>
    <row r="1015" spans="1:5" x14ac:dyDescent="0.3">
      <c r="A1015">
        <v>1014</v>
      </c>
      <c r="B1015" s="24" t="s">
        <v>2042</v>
      </c>
      <c r="C1015" s="24" t="s">
        <v>638</v>
      </c>
      <c r="D1015" s="24" t="s">
        <v>854</v>
      </c>
      <c r="E1015" s="24" t="s">
        <v>443</v>
      </c>
    </row>
    <row r="1016" spans="1:5" x14ac:dyDescent="0.3">
      <c r="A1016">
        <v>1015</v>
      </c>
      <c r="B1016" s="24" t="s">
        <v>2043</v>
      </c>
      <c r="C1016" s="24" t="s">
        <v>638</v>
      </c>
      <c r="D1016" s="24" t="s">
        <v>855</v>
      </c>
      <c r="E1016" s="24" t="s">
        <v>443</v>
      </c>
    </row>
    <row r="1017" spans="1:5" x14ac:dyDescent="0.3">
      <c r="A1017">
        <v>1016</v>
      </c>
      <c r="B1017" s="24" t="s">
        <v>2044</v>
      </c>
      <c r="C1017" s="24" t="s">
        <v>638</v>
      </c>
      <c r="D1017" s="24" t="s">
        <v>857</v>
      </c>
      <c r="E1017" s="24" t="s">
        <v>443</v>
      </c>
    </row>
    <row r="1018" spans="1:5" x14ac:dyDescent="0.3">
      <c r="A1018">
        <v>1017</v>
      </c>
      <c r="B1018" s="24" t="s">
        <v>2045</v>
      </c>
      <c r="C1018" s="24" t="s">
        <v>638</v>
      </c>
      <c r="D1018" s="24" t="s">
        <v>856</v>
      </c>
      <c r="E1018" s="24" t="s">
        <v>443</v>
      </c>
    </row>
    <row r="1019" spans="1:5" x14ac:dyDescent="0.3">
      <c r="A1019">
        <v>1018</v>
      </c>
      <c r="B1019" s="24" t="s">
        <v>2046</v>
      </c>
      <c r="C1019" s="24" t="s">
        <v>638</v>
      </c>
      <c r="D1019" s="24" t="s">
        <v>851</v>
      </c>
      <c r="E1019" s="24" t="s">
        <v>444</v>
      </c>
    </row>
    <row r="1020" spans="1:5" x14ac:dyDescent="0.3">
      <c r="A1020">
        <v>1019</v>
      </c>
      <c r="B1020" s="24" t="s">
        <v>2047</v>
      </c>
      <c r="C1020" s="24" t="s">
        <v>638</v>
      </c>
      <c r="D1020" s="24" t="s">
        <v>850</v>
      </c>
      <c r="E1020" s="24" t="s">
        <v>444</v>
      </c>
    </row>
    <row r="1021" spans="1:5" x14ac:dyDescent="0.3">
      <c r="A1021">
        <v>1020</v>
      </c>
      <c r="B1021" s="24" t="s">
        <v>2048</v>
      </c>
      <c r="C1021" s="24" t="s">
        <v>639</v>
      </c>
      <c r="D1021" s="24" t="s">
        <v>854</v>
      </c>
      <c r="E1021" s="24" t="s">
        <v>443</v>
      </c>
    </row>
    <row r="1022" spans="1:5" x14ac:dyDescent="0.3">
      <c r="A1022">
        <v>1021</v>
      </c>
      <c r="B1022" s="24" t="s">
        <v>2049</v>
      </c>
      <c r="C1022" s="24" t="s">
        <v>639</v>
      </c>
      <c r="D1022" s="24" t="s">
        <v>855</v>
      </c>
      <c r="E1022" s="24" t="s">
        <v>443</v>
      </c>
    </row>
    <row r="1023" spans="1:5" x14ac:dyDescent="0.3">
      <c r="A1023">
        <v>1022</v>
      </c>
      <c r="B1023" s="24" t="s">
        <v>2050</v>
      </c>
      <c r="C1023" s="24" t="s">
        <v>639</v>
      </c>
      <c r="D1023" s="24" t="s">
        <v>857</v>
      </c>
      <c r="E1023" s="24" t="s">
        <v>443</v>
      </c>
    </row>
    <row r="1024" spans="1:5" x14ac:dyDescent="0.3">
      <c r="A1024">
        <v>1023</v>
      </c>
      <c r="B1024" s="24" t="s">
        <v>2051</v>
      </c>
      <c r="C1024" s="24" t="s">
        <v>639</v>
      </c>
      <c r="D1024" s="24" t="s">
        <v>856</v>
      </c>
      <c r="E1024" s="24" t="s">
        <v>443</v>
      </c>
    </row>
    <row r="1025" spans="1:5" x14ac:dyDescent="0.3">
      <c r="A1025">
        <v>1024</v>
      </c>
      <c r="B1025" s="24" t="s">
        <v>2052</v>
      </c>
      <c r="C1025" s="24" t="s">
        <v>639</v>
      </c>
      <c r="D1025" s="24" t="s">
        <v>851</v>
      </c>
      <c r="E1025" s="24" t="s">
        <v>444</v>
      </c>
    </row>
    <row r="1026" spans="1:5" x14ac:dyDescent="0.3">
      <c r="A1026">
        <v>1025</v>
      </c>
      <c r="B1026" s="24" t="s">
        <v>2053</v>
      </c>
      <c r="C1026" s="24" t="s">
        <v>639</v>
      </c>
      <c r="D1026" s="24" t="s">
        <v>850</v>
      </c>
      <c r="E1026" s="24" t="s">
        <v>444</v>
      </c>
    </row>
    <row r="1027" spans="1:5" x14ac:dyDescent="0.3">
      <c r="A1027">
        <v>1026</v>
      </c>
      <c r="B1027" s="24" t="s">
        <v>2054</v>
      </c>
      <c r="C1027" s="24" t="s">
        <v>786</v>
      </c>
      <c r="D1027" s="24" t="s">
        <v>854</v>
      </c>
      <c r="E1027" s="24" t="s">
        <v>443</v>
      </c>
    </row>
    <row r="1028" spans="1:5" x14ac:dyDescent="0.3">
      <c r="A1028">
        <v>1027</v>
      </c>
      <c r="B1028" s="24" t="s">
        <v>2055</v>
      </c>
      <c r="C1028" s="24" t="s">
        <v>786</v>
      </c>
      <c r="D1028" s="24" t="s">
        <v>855</v>
      </c>
      <c r="E1028" s="24" t="s">
        <v>443</v>
      </c>
    </row>
    <row r="1029" spans="1:5" x14ac:dyDescent="0.3">
      <c r="A1029">
        <v>1028</v>
      </c>
      <c r="B1029" s="24" t="s">
        <v>2056</v>
      </c>
      <c r="C1029" s="24" t="s">
        <v>786</v>
      </c>
      <c r="D1029" s="24" t="s">
        <v>857</v>
      </c>
      <c r="E1029" s="24" t="s">
        <v>443</v>
      </c>
    </row>
    <row r="1030" spans="1:5" x14ac:dyDescent="0.3">
      <c r="A1030">
        <v>1029</v>
      </c>
      <c r="B1030" s="24" t="s">
        <v>2057</v>
      </c>
      <c r="C1030" s="24" t="s">
        <v>786</v>
      </c>
      <c r="D1030" s="24" t="s">
        <v>856</v>
      </c>
      <c r="E1030" s="24" t="s">
        <v>443</v>
      </c>
    </row>
    <row r="1031" spans="1:5" x14ac:dyDescent="0.3">
      <c r="A1031">
        <v>1030</v>
      </c>
      <c r="B1031" s="24" t="s">
        <v>2058</v>
      </c>
      <c r="C1031" s="24" t="s">
        <v>786</v>
      </c>
      <c r="D1031" s="24" t="s">
        <v>851</v>
      </c>
      <c r="E1031" s="24" t="s">
        <v>444</v>
      </c>
    </row>
    <row r="1032" spans="1:5" x14ac:dyDescent="0.3">
      <c r="A1032">
        <v>1031</v>
      </c>
      <c r="B1032" s="24" t="s">
        <v>2059</v>
      </c>
      <c r="C1032" s="24" t="s">
        <v>786</v>
      </c>
      <c r="D1032" s="24" t="s">
        <v>850</v>
      </c>
      <c r="E1032" s="24" t="s">
        <v>444</v>
      </c>
    </row>
    <row r="1033" spans="1:5" x14ac:dyDescent="0.3">
      <c r="A1033">
        <v>1032</v>
      </c>
      <c r="B1033" s="24" t="s">
        <v>2060</v>
      </c>
      <c r="C1033" s="24" t="s">
        <v>640</v>
      </c>
      <c r="D1033" s="24" t="s">
        <v>854</v>
      </c>
      <c r="E1033" s="24" t="s">
        <v>443</v>
      </c>
    </row>
    <row r="1034" spans="1:5" x14ac:dyDescent="0.3">
      <c r="A1034">
        <v>1033</v>
      </c>
      <c r="B1034" s="24" t="s">
        <v>2061</v>
      </c>
      <c r="C1034" s="24" t="s">
        <v>640</v>
      </c>
      <c r="D1034" s="24" t="s">
        <v>855</v>
      </c>
      <c r="E1034" s="24" t="s">
        <v>443</v>
      </c>
    </row>
    <row r="1035" spans="1:5" x14ac:dyDescent="0.3">
      <c r="A1035">
        <v>1034</v>
      </c>
      <c r="B1035" s="24" t="s">
        <v>2062</v>
      </c>
      <c r="C1035" s="24" t="s">
        <v>640</v>
      </c>
      <c r="D1035" s="24" t="s">
        <v>857</v>
      </c>
      <c r="E1035" s="24" t="s">
        <v>443</v>
      </c>
    </row>
    <row r="1036" spans="1:5" x14ac:dyDescent="0.3">
      <c r="A1036">
        <v>1035</v>
      </c>
      <c r="B1036" s="24" t="s">
        <v>2063</v>
      </c>
      <c r="C1036" s="24" t="s">
        <v>640</v>
      </c>
      <c r="D1036" s="24" t="s">
        <v>856</v>
      </c>
      <c r="E1036" s="24" t="s">
        <v>443</v>
      </c>
    </row>
    <row r="1037" spans="1:5" x14ac:dyDescent="0.3">
      <c r="A1037">
        <v>1036</v>
      </c>
      <c r="B1037" s="24" t="s">
        <v>2064</v>
      </c>
      <c r="C1037" s="24" t="s">
        <v>640</v>
      </c>
      <c r="D1037" s="24" t="s">
        <v>851</v>
      </c>
      <c r="E1037" s="24" t="s">
        <v>444</v>
      </c>
    </row>
    <row r="1038" spans="1:5" x14ac:dyDescent="0.3">
      <c r="A1038">
        <v>1037</v>
      </c>
      <c r="B1038" s="24" t="s">
        <v>2065</v>
      </c>
      <c r="C1038" s="24" t="s">
        <v>640</v>
      </c>
      <c r="D1038" s="24" t="s">
        <v>850</v>
      </c>
      <c r="E1038" s="24" t="s">
        <v>444</v>
      </c>
    </row>
    <row r="1039" spans="1:5" x14ac:dyDescent="0.3">
      <c r="A1039">
        <v>1038</v>
      </c>
      <c r="B1039" s="24" t="s">
        <v>2066</v>
      </c>
      <c r="C1039" s="24" t="s">
        <v>641</v>
      </c>
      <c r="D1039" s="24" t="s">
        <v>854</v>
      </c>
      <c r="E1039" s="24" t="s">
        <v>443</v>
      </c>
    </row>
    <row r="1040" spans="1:5" x14ac:dyDescent="0.3">
      <c r="A1040">
        <v>1039</v>
      </c>
      <c r="B1040" s="24" t="s">
        <v>2067</v>
      </c>
      <c r="C1040" s="24" t="s">
        <v>641</v>
      </c>
      <c r="D1040" s="24" t="s">
        <v>855</v>
      </c>
      <c r="E1040" s="24" t="s">
        <v>443</v>
      </c>
    </row>
    <row r="1041" spans="1:5" x14ac:dyDescent="0.3">
      <c r="A1041">
        <v>1040</v>
      </c>
      <c r="B1041" s="24" t="s">
        <v>2068</v>
      </c>
      <c r="C1041" s="24" t="s">
        <v>641</v>
      </c>
      <c r="D1041" s="24" t="s">
        <v>857</v>
      </c>
      <c r="E1041" s="24" t="s">
        <v>443</v>
      </c>
    </row>
    <row r="1042" spans="1:5" x14ac:dyDescent="0.3">
      <c r="A1042">
        <v>1041</v>
      </c>
      <c r="B1042" s="24" t="s">
        <v>2069</v>
      </c>
      <c r="C1042" s="24" t="s">
        <v>641</v>
      </c>
      <c r="D1042" s="24" t="s">
        <v>856</v>
      </c>
      <c r="E1042" s="24" t="s">
        <v>443</v>
      </c>
    </row>
    <row r="1043" spans="1:5" x14ac:dyDescent="0.3">
      <c r="A1043">
        <v>1042</v>
      </c>
      <c r="B1043" s="24" t="s">
        <v>2070</v>
      </c>
      <c r="C1043" s="24" t="s">
        <v>641</v>
      </c>
      <c r="D1043" s="24" t="s">
        <v>851</v>
      </c>
      <c r="E1043" s="24" t="s">
        <v>444</v>
      </c>
    </row>
    <row r="1044" spans="1:5" x14ac:dyDescent="0.3">
      <c r="A1044">
        <v>1043</v>
      </c>
      <c r="B1044" s="24" t="s">
        <v>2071</v>
      </c>
      <c r="C1044" s="24" t="s">
        <v>641</v>
      </c>
      <c r="D1044" s="24" t="s">
        <v>850</v>
      </c>
      <c r="E1044" s="24" t="s">
        <v>444</v>
      </c>
    </row>
    <row r="1045" spans="1:5" x14ac:dyDescent="0.3">
      <c r="A1045">
        <v>1044</v>
      </c>
      <c r="B1045" s="24" t="s">
        <v>2072</v>
      </c>
      <c r="C1045" s="24" t="s">
        <v>642</v>
      </c>
      <c r="D1045" s="24" t="s">
        <v>854</v>
      </c>
      <c r="E1045" s="24" t="s">
        <v>443</v>
      </c>
    </row>
    <row r="1046" spans="1:5" x14ac:dyDescent="0.3">
      <c r="A1046">
        <v>1045</v>
      </c>
      <c r="B1046" s="24" t="s">
        <v>2073</v>
      </c>
      <c r="C1046" s="24" t="s">
        <v>642</v>
      </c>
      <c r="D1046" s="24" t="s">
        <v>855</v>
      </c>
      <c r="E1046" s="24" t="s">
        <v>443</v>
      </c>
    </row>
    <row r="1047" spans="1:5" x14ac:dyDescent="0.3">
      <c r="A1047">
        <v>1046</v>
      </c>
      <c r="B1047" s="24" t="s">
        <v>2074</v>
      </c>
      <c r="C1047" s="24" t="s">
        <v>642</v>
      </c>
      <c r="D1047" s="24" t="s">
        <v>857</v>
      </c>
      <c r="E1047" s="24" t="s">
        <v>443</v>
      </c>
    </row>
    <row r="1048" spans="1:5" x14ac:dyDescent="0.3">
      <c r="A1048">
        <v>1047</v>
      </c>
      <c r="B1048" s="24" t="s">
        <v>2075</v>
      </c>
      <c r="C1048" s="24" t="s">
        <v>642</v>
      </c>
      <c r="D1048" s="24" t="s">
        <v>856</v>
      </c>
      <c r="E1048" s="24" t="s">
        <v>443</v>
      </c>
    </row>
    <row r="1049" spans="1:5" x14ac:dyDescent="0.3">
      <c r="A1049">
        <v>1048</v>
      </c>
      <c r="B1049" s="24" t="s">
        <v>2076</v>
      </c>
      <c r="C1049" s="24" t="s">
        <v>642</v>
      </c>
      <c r="D1049" s="24" t="s">
        <v>851</v>
      </c>
      <c r="E1049" s="24" t="s">
        <v>444</v>
      </c>
    </row>
    <row r="1050" spans="1:5" x14ac:dyDescent="0.3">
      <c r="A1050">
        <v>1049</v>
      </c>
      <c r="B1050" s="24" t="s">
        <v>2077</v>
      </c>
      <c r="C1050" s="24" t="s">
        <v>642</v>
      </c>
      <c r="D1050" s="24" t="s">
        <v>850</v>
      </c>
      <c r="E1050" s="24" t="s">
        <v>444</v>
      </c>
    </row>
    <row r="1051" spans="1:5" x14ac:dyDescent="0.3">
      <c r="A1051">
        <v>1050</v>
      </c>
      <c r="B1051" s="24" t="s">
        <v>2078</v>
      </c>
      <c r="C1051" s="24" t="s">
        <v>643</v>
      </c>
      <c r="D1051" s="24" t="s">
        <v>846</v>
      </c>
      <c r="E1051" s="24" t="s">
        <v>497</v>
      </c>
    </row>
    <row r="1052" spans="1:5" x14ac:dyDescent="0.3">
      <c r="A1052">
        <v>1051</v>
      </c>
      <c r="B1052" s="24" t="s">
        <v>2079</v>
      </c>
      <c r="C1052" s="24" t="s">
        <v>643</v>
      </c>
      <c r="D1052" s="24" t="s">
        <v>847</v>
      </c>
      <c r="E1052" s="24" t="s">
        <v>443</v>
      </c>
    </row>
    <row r="1053" spans="1:5" x14ac:dyDescent="0.3">
      <c r="A1053">
        <v>1052</v>
      </c>
      <c r="B1053" s="24" t="s">
        <v>2080</v>
      </c>
      <c r="C1053" s="24" t="s">
        <v>643</v>
      </c>
      <c r="D1053" s="24" t="s">
        <v>848</v>
      </c>
      <c r="E1053" s="24" t="s">
        <v>443</v>
      </c>
    </row>
    <row r="1054" spans="1:5" x14ac:dyDescent="0.3">
      <c r="A1054">
        <v>1053</v>
      </c>
      <c r="B1054" s="24" t="s">
        <v>2081</v>
      </c>
      <c r="C1054" s="24" t="s">
        <v>643</v>
      </c>
      <c r="D1054" s="24" t="s">
        <v>849</v>
      </c>
      <c r="E1054" s="24" t="s">
        <v>443</v>
      </c>
    </row>
    <row r="1055" spans="1:5" x14ac:dyDescent="0.3">
      <c r="A1055">
        <v>1054</v>
      </c>
      <c r="B1055" s="24" t="s">
        <v>2082</v>
      </c>
      <c r="C1055" s="24" t="s">
        <v>643</v>
      </c>
      <c r="D1055" s="24" t="s">
        <v>851</v>
      </c>
      <c r="E1055" s="24" t="s">
        <v>444</v>
      </c>
    </row>
    <row r="1056" spans="1:5" x14ac:dyDescent="0.3">
      <c r="A1056">
        <v>1055</v>
      </c>
      <c r="B1056" s="24" t="s">
        <v>2083</v>
      </c>
      <c r="C1056" s="24" t="s">
        <v>643</v>
      </c>
      <c r="D1056" s="24" t="s">
        <v>850</v>
      </c>
      <c r="E1056" s="24" t="s">
        <v>444</v>
      </c>
    </row>
    <row r="1057" spans="1:5" x14ac:dyDescent="0.3">
      <c r="A1057">
        <v>1056</v>
      </c>
      <c r="B1057" s="24" t="s">
        <v>2084</v>
      </c>
      <c r="C1057" s="24" t="s">
        <v>644</v>
      </c>
      <c r="D1057" s="24" t="s">
        <v>846</v>
      </c>
      <c r="E1057" s="24" t="s">
        <v>497</v>
      </c>
    </row>
    <row r="1058" spans="1:5" x14ac:dyDescent="0.3">
      <c r="A1058">
        <v>1057</v>
      </c>
      <c r="B1058" s="24" t="s">
        <v>2085</v>
      </c>
      <c r="C1058" s="24" t="s">
        <v>644</v>
      </c>
      <c r="D1058" s="24" t="s">
        <v>847</v>
      </c>
      <c r="E1058" s="24" t="s">
        <v>443</v>
      </c>
    </row>
    <row r="1059" spans="1:5" x14ac:dyDescent="0.3">
      <c r="A1059">
        <v>1058</v>
      </c>
      <c r="B1059" s="24" t="s">
        <v>2086</v>
      </c>
      <c r="C1059" s="24" t="s">
        <v>644</v>
      </c>
      <c r="D1059" s="24" t="s">
        <v>848</v>
      </c>
      <c r="E1059" s="24" t="s">
        <v>443</v>
      </c>
    </row>
    <row r="1060" spans="1:5" x14ac:dyDescent="0.3">
      <c r="A1060">
        <v>1059</v>
      </c>
      <c r="B1060" s="24" t="s">
        <v>2087</v>
      </c>
      <c r="C1060" s="24" t="s">
        <v>644</v>
      </c>
      <c r="D1060" s="24" t="s">
        <v>849</v>
      </c>
      <c r="E1060" s="24" t="s">
        <v>443</v>
      </c>
    </row>
    <row r="1061" spans="1:5" x14ac:dyDescent="0.3">
      <c r="A1061">
        <v>1060</v>
      </c>
      <c r="B1061" s="24" t="s">
        <v>2088</v>
      </c>
      <c r="C1061" s="24" t="s">
        <v>644</v>
      </c>
      <c r="D1061" s="24" t="s">
        <v>851</v>
      </c>
      <c r="E1061" s="24" t="s">
        <v>444</v>
      </c>
    </row>
    <row r="1062" spans="1:5" x14ac:dyDescent="0.3">
      <c r="A1062">
        <v>1061</v>
      </c>
      <c r="B1062" s="24" t="s">
        <v>2089</v>
      </c>
      <c r="C1062" s="24" t="s">
        <v>644</v>
      </c>
      <c r="D1062" s="24" t="s">
        <v>850</v>
      </c>
      <c r="E1062" s="24" t="s">
        <v>444</v>
      </c>
    </row>
    <row r="1063" spans="1:5" x14ac:dyDescent="0.3">
      <c r="A1063">
        <v>1062</v>
      </c>
      <c r="B1063" s="24" t="s">
        <v>2090</v>
      </c>
      <c r="C1063" s="24" t="s">
        <v>645</v>
      </c>
      <c r="D1063" s="24" t="s">
        <v>846</v>
      </c>
      <c r="E1063" s="24" t="s">
        <v>497</v>
      </c>
    </row>
    <row r="1064" spans="1:5" x14ac:dyDescent="0.3">
      <c r="A1064">
        <v>1063</v>
      </c>
      <c r="B1064" s="24" t="s">
        <v>2091</v>
      </c>
      <c r="C1064" s="24" t="s">
        <v>645</v>
      </c>
      <c r="D1064" s="24" t="s">
        <v>847</v>
      </c>
      <c r="E1064" s="24" t="s">
        <v>443</v>
      </c>
    </row>
    <row r="1065" spans="1:5" x14ac:dyDescent="0.3">
      <c r="A1065">
        <v>1064</v>
      </c>
      <c r="B1065" s="24" t="s">
        <v>2092</v>
      </c>
      <c r="C1065" s="24" t="s">
        <v>645</v>
      </c>
      <c r="D1065" s="24" t="s">
        <v>848</v>
      </c>
      <c r="E1065" s="24" t="s">
        <v>443</v>
      </c>
    </row>
    <row r="1066" spans="1:5" x14ac:dyDescent="0.3">
      <c r="A1066">
        <v>1065</v>
      </c>
      <c r="B1066" s="24" t="s">
        <v>2093</v>
      </c>
      <c r="C1066" s="24" t="s">
        <v>645</v>
      </c>
      <c r="D1066" s="24" t="s">
        <v>849</v>
      </c>
      <c r="E1066" s="24" t="s">
        <v>443</v>
      </c>
    </row>
    <row r="1067" spans="1:5" x14ac:dyDescent="0.3">
      <c r="A1067">
        <v>1066</v>
      </c>
      <c r="B1067" s="24" t="s">
        <v>2094</v>
      </c>
      <c r="C1067" s="24" t="s">
        <v>645</v>
      </c>
      <c r="D1067" s="24" t="s">
        <v>851</v>
      </c>
      <c r="E1067" s="24" t="s">
        <v>444</v>
      </c>
    </row>
    <row r="1068" spans="1:5" x14ac:dyDescent="0.3">
      <c r="A1068">
        <v>1067</v>
      </c>
      <c r="B1068" s="24" t="s">
        <v>2095</v>
      </c>
      <c r="C1068" s="24" t="s">
        <v>645</v>
      </c>
      <c r="D1068" s="24" t="s">
        <v>850</v>
      </c>
      <c r="E1068" s="24" t="s">
        <v>444</v>
      </c>
    </row>
    <row r="1069" spans="1:5" x14ac:dyDescent="0.3">
      <c r="A1069">
        <v>1068</v>
      </c>
      <c r="B1069" s="24" t="s">
        <v>2096</v>
      </c>
      <c r="C1069" s="24" t="s">
        <v>646</v>
      </c>
      <c r="D1069" s="24" t="s">
        <v>846</v>
      </c>
      <c r="E1069" s="24" t="s">
        <v>497</v>
      </c>
    </row>
    <row r="1070" spans="1:5" x14ac:dyDescent="0.3">
      <c r="A1070">
        <v>1069</v>
      </c>
      <c r="B1070" s="24" t="s">
        <v>2097</v>
      </c>
      <c r="C1070" s="24" t="s">
        <v>646</v>
      </c>
      <c r="D1070" s="24" t="s">
        <v>847</v>
      </c>
      <c r="E1070" s="24" t="s">
        <v>443</v>
      </c>
    </row>
    <row r="1071" spans="1:5" x14ac:dyDescent="0.3">
      <c r="A1071">
        <v>1070</v>
      </c>
      <c r="B1071" s="24" t="s">
        <v>2098</v>
      </c>
      <c r="C1071" s="24" t="s">
        <v>646</v>
      </c>
      <c r="D1071" s="24" t="s">
        <v>848</v>
      </c>
      <c r="E1071" s="24" t="s">
        <v>443</v>
      </c>
    </row>
    <row r="1072" spans="1:5" x14ac:dyDescent="0.3">
      <c r="A1072">
        <v>1071</v>
      </c>
      <c r="B1072" s="24" t="s">
        <v>2099</v>
      </c>
      <c r="C1072" s="24" t="s">
        <v>646</v>
      </c>
      <c r="D1072" s="24" t="s">
        <v>849</v>
      </c>
      <c r="E1072" s="24" t="s">
        <v>443</v>
      </c>
    </row>
    <row r="1073" spans="1:5" x14ac:dyDescent="0.3">
      <c r="A1073">
        <v>1072</v>
      </c>
      <c r="B1073" s="24" t="s">
        <v>2100</v>
      </c>
      <c r="C1073" s="24" t="s">
        <v>646</v>
      </c>
      <c r="D1073" s="24" t="s">
        <v>851</v>
      </c>
      <c r="E1073" s="24" t="s">
        <v>444</v>
      </c>
    </row>
    <row r="1074" spans="1:5" x14ac:dyDescent="0.3">
      <c r="A1074">
        <v>1073</v>
      </c>
      <c r="B1074" s="24" t="s">
        <v>2101</v>
      </c>
      <c r="C1074" s="24" t="s">
        <v>646</v>
      </c>
      <c r="D1074" s="24" t="s">
        <v>850</v>
      </c>
      <c r="E1074" s="24" t="s">
        <v>444</v>
      </c>
    </row>
    <row r="1075" spans="1:5" x14ac:dyDescent="0.3">
      <c r="A1075">
        <v>1074</v>
      </c>
      <c r="B1075" s="24" t="s">
        <v>2102</v>
      </c>
      <c r="C1075" s="24" t="s">
        <v>647</v>
      </c>
      <c r="D1075" s="24" t="s">
        <v>846</v>
      </c>
      <c r="E1075" s="24" t="s">
        <v>497</v>
      </c>
    </row>
    <row r="1076" spans="1:5" x14ac:dyDescent="0.3">
      <c r="A1076">
        <v>1075</v>
      </c>
      <c r="B1076" s="24" t="s">
        <v>2103</v>
      </c>
      <c r="C1076" s="24" t="s">
        <v>647</v>
      </c>
      <c r="D1076" s="24" t="s">
        <v>847</v>
      </c>
      <c r="E1076" s="24" t="s">
        <v>443</v>
      </c>
    </row>
    <row r="1077" spans="1:5" x14ac:dyDescent="0.3">
      <c r="A1077">
        <v>1076</v>
      </c>
      <c r="B1077" s="24" t="s">
        <v>2104</v>
      </c>
      <c r="C1077" s="24" t="s">
        <v>647</v>
      </c>
      <c r="D1077" s="24" t="s">
        <v>848</v>
      </c>
      <c r="E1077" s="24" t="s">
        <v>443</v>
      </c>
    </row>
    <row r="1078" spans="1:5" x14ac:dyDescent="0.3">
      <c r="A1078">
        <v>1077</v>
      </c>
      <c r="B1078" s="24" t="s">
        <v>2105</v>
      </c>
      <c r="C1078" s="24" t="s">
        <v>647</v>
      </c>
      <c r="D1078" s="24" t="s">
        <v>849</v>
      </c>
      <c r="E1078" s="24" t="s">
        <v>443</v>
      </c>
    </row>
    <row r="1079" spans="1:5" x14ac:dyDescent="0.3">
      <c r="A1079">
        <v>1078</v>
      </c>
      <c r="B1079" s="24" t="s">
        <v>2106</v>
      </c>
      <c r="C1079" s="24" t="s">
        <v>647</v>
      </c>
      <c r="D1079" s="24" t="s">
        <v>851</v>
      </c>
      <c r="E1079" s="24" t="s">
        <v>444</v>
      </c>
    </row>
    <row r="1080" spans="1:5" x14ac:dyDescent="0.3">
      <c r="A1080">
        <v>1079</v>
      </c>
      <c r="B1080" s="24" t="s">
        <v>2107</v>
      </c>
      <c r="C1080" s="24" t="s">
        <v>647</v>
      </c>
      <c r="D1080" s="24" t="s">
        <v>850</v>
      </c>
      <c r="E1080" s="24" t="s">
        <v>444</v>
      </c>
    </row>
    <row r="1081" spans="1:5" x14ac:dyDescent="0.3">
      <c r="A1081">
        <v>1080</v>
      </c>
      <c r="B1081" s="24" t="s">
        <v>2159</v>
      </c>
      <c r="C1081" s="24" t="s">
        <v>790</v>
      </c>
      <c r="D1081" s="24" t="s">
        <v>854</v>
      </c>
      <c r="E1081" s="24" t="s">
        <v>443</v>
      </c>
    </row>
    <row r="1082" spans="1:5" x14ac:dyDescent="0.3">
      <c r="A1082">
        <v>1081</v>
      </c>
      <c r="B1082" s="24" t="s">
        <v>2160</v>
      </c>
      <c r="C1082" s="24" t="s">
        <v>790</v>
      </c>
      <c r="D1082" s="24" t="s">
        <v>855</v>
      </c>
      <c r="E1082" s="24" t="s">
        <v>443</v>
      </c>
    </row>
    <row r="1083" spans="1:5" x14ac:dyDescent="0.3">
      <c r="A1083">
        <v>1082</v>
      </c>
      <c r="B1083" s="24" t="s">
        <v>2161</v>
      </c>
      <c r="C1083" s="24" t="s">
        <v>790</v>
      </c>
      <c r="D1083" s="24" t="s">
        <v>857</v>
      </c>
      <c r="E1083" s="24" t="s">
        <v>443</v>
      </c>
    </row>
    <row r="1084" spans="1:5" x14ac:dyDescent="0.3">
      <c r="A1084">
        <v>1083</v>
      </c>
      <c r="B1084" s="24" t="s">
        <v>2162</v>
      </c>
      <c r="C1084" s="24" t="s">
        <v>790</v>
      </c>
      <c r="D1084" s="24" t="s">
        <v>856</v>
      </c>
      <c r="E1084" s="24" t="s">
        <v>443</v>
      </c>
    </row>
    <row r="1085" spans="1:5" x14ac:dyDescent="0.3">
      <c r="A1085">
        <v>1084</v>
      </c>
      <c r="B1085" s="24" t="s">
        <v>2163</v>
      </c>
      <c r="C1085" s="24" t="s">
        <v>790</v>
      </c>
      <c r="D1085" s="24" t="s">
        <v>851</v>
      </c>
      <c r="E1085" s="24" t="s">
        <v>444</v>
      </c>
    </row>
    <row r="1086" spans="1:5" x14ac:dyDescent="0.3">
      <c r="A1086">
        <v>1085</v>
      </c>
      <c r="B1086" s="24" t="s">
        <v>2164</v>
      </c>
      <c r="C1086" s="24" t="s">
        <v>790</v>
      </c>
      <c r="D1086" s="24" t="s">
        <v>850</v>
      </c>
      <c r="E1086" s="24" t="s">
        <v>444</v>
      </c>
    </row>
    <row r="1087" spans="1:5" x14ac:dyDescent="0.3">
      <c r="A1087">
        <v>1086</v>
      </c>
      <c r="B1087" s="24" t="s">
        <v>2165</v>
      </c>
      <c r="C1087" s="24" t="s">
        <v>791</v>
      </c>
      <c r="D1087" s="24" t="s">
        <v>854</v>
      </c>
      <c r="E1087" s="24" t="s">
        <v>443</v>
      </c>
    </row>
    <row r="1088" spans="1:5" x14ac:dyDescent="0.3">
      <c r="A1088">
        <v>1087</v>
      </c>
      <c r="B1088" s="24" t="s">
        <v>2166</v>
      </c>
      <c r="C1088" s="24" t="s">
        <v>791</v>
      </c>
      <c r="D1088" s="24" t="s">
        <v>855</v>
      </c>
      <c r="E1088" s="24" t="s">
        <v>443</v>
      </c>
    </row>
    <row r="1089" spans="1:5" x14ac:dyDescent="0.3">
      <c r="A1089">
        <v>1088</v>
      </c>
      <c r="B1089" s="24" t="s">
        <v>2167</v>
      </c>
      <c r="C1089" s="24" t="s">
        <v>791</v>
      </c>
      <c r="D1089" s="24" t="s">
        <v>857</v>
      </c>
      <c r="E1089" s="24" t="s">
        <v>443</v>
      </c>
    </row>
    <row r="1090" spans="1:5" x14ac:dyDescent="0.3">
      <c r="A1090">
        <v>1089</v>
      </c>
      <c r="B1090" s="24" t="s">
        <v>2168</v>
      </c>
      <c r="C1090" s="24" t="s">
        <v>791</v>
      </c>
      <c r="D1090" s="24" t="s">
        <v>856</v>
      </c>
      <c r="E1090" s="24" t="s">
        <v>443</v>
      </c>
    </row>
    <row r="1091" spans="1:5" x14ac:dyDescent="0.3">
      <c r="A1091">
        <v>1090</v>
      </c>
      <c r="B1091" s="24" t="s">
        <v>2169</v>
      </c>
      <c r="C1091" s="24" t="s">
        <v>791</v>
      </c>
      <c r="D1091" s="24" t="s">
        <v>851</v>
      </c>
      <c r="E1091" s="24" t="s">
        <v>444</v>
      </c>
    </row>
    <row r="1092" spans="1:5" x14ac:dyDescent="0.3">
      <c r="A1092">
        <v>1091</v>
      </c>
      <c r="B1092" s="24" t="s">
        <v>2170</v>
      </c>
      <c r="C1092" s="24" t="s">
        <v>791</v>
      </c>
      <c r="D1092" s="24" t="s">
        <v>850</v>
      </c>
      <c r="E1092" s="24" t="s">
        <v>444</v>
      </c>
    </row>
    <row r="1093" spans="1:5" x14ac:dyDescent="0.3">
      <c r="A1093">
        <v>1092</v>
      </c>
      <c r="B1093" s="24" t="s">
        <v>2171</v>
      </c>
      <c r="C1093" s="24" t="s">
        <v>792</v>
      </c>
      <c r="D1093" s="24" t="s">
        <v>854</v>
      </c>
      <c r="E1093" s="24" t="s">
        <v>443</v>
      </c>
    </row>
    <row r="1094" spans="1:5" x14ac:dyDescent="0.3">
      <c r="A1094">
        <v>1093</v>
      </c>
      <c r="B1094" s="24" t="s">
        <v>2172</v>
      </c>
      <c r="C1094" s="24" t="s">
        <v>792</v>
      </c>
      <c r="D1094" s="24" t="s">
        <v>855</v>
      </c>
      <c r="E1094" s="24" t="s">
        <v>443</v>
      </c>
    </row>
    <row r="1095" spans="1:5" x14ac:dyDescent="0.3">
      <c r="A1095">
        <v>1094</v>
      </c>
      <c r="B1095" s="24" t="s">
        <v>2173</v>
      </c>
      <c r="C1095" s="24" t="s">
        <v>792</v>
      </c>
      <c r="D1095" s="24" t="s">
        <v>857</v>
      </c>
      <c r="E1095" s="24" t="s">
        <v>443</v>
      </c>
    </row>
    <row r="1096" spans="1:5" x14ac:dyDescent="0.3">
      <c r="A1096">
        <v>1095</v>
      </c>
      <c r="B1096" s="24" t="s">
        <v>2174</v>
      </c>
      <c r="C1096" s="24" t="s">
        <v>792</v>
      </c>
      <c r="D1096" s="24" t="s">
        <v>856</v>
      </c>
      <c r="E1096" s="24" t="s">
        <v>443</v>
      </c>
    </row>
    <row r="1097" spans="1:5" x14ac:dyDescent="0.3">
      <c r="A1097">
        <v>1096</v>
      </c>
      <c r="B1097" s="24" t="s">
        <v>2175</v>
      </c>
      <c r="C1097" s="24" t="s">
        <v>792</v>
      </c>
      <c r="D1097" s="24" t="s">
        <v>851</v>
      </c>
      <c r="E1097" s="24" t="s">
        <v>444</v>
      </c>
    </row>
    <row r="1098" spans="1:5" x14ac:dyDescent="0.3">
      <c r="A1098">
        <v>1097</v>
      </c>
      <c r="B1098" s="24" t="s">
        <v>2176</v>
      </c>
      <c r="C1098" s="24" t="s">
        <v>792</v>
      </c>
      <c r="D1098" s="24" t="s">
        <v>850</v>
      </c>
      <c r="E1098" s="24" t="s">
        <v>444</v>
      </c>
    </row>
    <row r="1099" spans="1:5" x14ac:dyDescent="0.3">
      <c r="A1099">
        <v>1098</v>
      </c>
      <c r="B1099" s="24" t="s">
        <v>2177</v>
      </c>
      <c r="C1099" s="24" t="s">
        <v>792</v>
      </c>
      <c r="D1099" s="24" t="s">
        <v>858</v>
      </c>
      <c r="E1099" s="24" t="s">
        <v>444</v>
      </c>
    </row>
    <row r="1100" spans="1:5" x14ac:dyDescent="0.3">
      <c r="A1100">
        <v>1099</v>
      </c>
      <c r="B1100" s="24" t="s">
        <v>2178</v>
      </c>
      <c r="C1100" s="24" t="s">
        <v>794</v>
      </c>
      <c r="D1100" s="24" t="s">
        <v>854</v>
      </c>
      <c r="E1100" s="24" t="s">
        <v>443</v>
      </c>
    </row>
    <row r="1101" spans="1:5" x14ac:dyDescent="0.3">
      <c r="A1101">
        <v>1100</v>
      </c>
      <c r="B1101" s="24" t="s">
        <v>2179</v>
      </c>
      <c r="C1101" s="24" t="s">
        <v>794</v>
      </c>
      <c r="D1101" s="24" t="s">
        <v>855</v>
      </c>
      <c r="E1101" s="24" t="s">
        <v>443</v>
      </c>
    </row>
    <row r="1102" spans="1:5" x14ac:dyDescent="0.3">
      <c r="A1102">
        <v>1101</v>
      </c>
      <c r="B1102" s="24" t="s">
        <v>2180</v>
      </c>
      <c r="C1102" s="24" t="s">
        <v>794</v>
      </c>
      <c r="D1102" s="24" t="s">
        <v>857</v>
      </c>
      <c r="E1102" s="24" t="s">
        <v>443</v>
      </c>
    </row>
    <row r="1103" spans="1:5" x14ac:dyDescent="0.3">
      <c r="A1103">
        <v>1102</v>
      </c>
      <c r="B1103" s="24" t="s">
        <v>2181</v>
      </c>
      <c r="C1103" s="24" t="s">
        <v>794</v>
      </c>
      <c r="D1103" s="24" t="s">
        <v>856</v>
      </c>
      <c r="E1103" s="24" t="s">
        <v>443</v>
      </c>
    </row>
    <row r="1104" spans="1:5" x14ac:dyDescent="0.3">
      <c r="A1104">
        <v>1103</v>
      </c>
      <c r="B1104" s="24" t="s">
        <v>2182</v>
      </c>
      <c r="C1104" s="24" t="s">
        <v>794</v>
      </c>
      <c r="D1104" s="24" t="s">
        <v>851</v>
      </c>
      <c r="E1104" s="24" t="s">
        <v>444</v>
      </c>
    </row>
    <row r="1105" spans="1:5" x14ac:dyDescent="0.3">
      <c r="A1105">
        <v>1104</v>
      </c>
      <c r="B1105" s="24" t="s">
        <v>2183</v>
      </c>
      <c r="C1105" s="24" t="s">
        <v>794</v>
      </c>
      <c r="D1105" s="24" t="s">
        <v>850</v>
      </c>
      <c r="E1105" s="24" t="s">
        <v>444</v>
      </c>
    </row>
    <row r="1106" spans="1:5" x14ac:dyDescent="0.3">
      <c r="A1106">
        <v>1105</v>
      </c>
      <c r="B1106" s="24" t="s">
        <v>2184</v>
      </c>
      <c r="C1106" s="24" t="s">
        <v>794</v>
      </c>
      <c r="D1106" s="24" t="s">
        <v>858</v>
      </c>
      <c r="E1106" s="24" t="s">
        <v>444</v>
      </c>
    </row>
    <row r="1107" spans="1:5" x14ac:dyDescent="0.3">
      <c r="A1107">
        <v>1106</v>
      </c>
      <c r="B1107" s="24" t="s">
        <v>2185</v>
      </c>
      <c r="C1107" s="24" t="s">
        <v>648</v>
      </c>
      <c r="D1107" s="24" t="s">
        <v>854</v>
      </c>
      <c r="E1107" s="24" t="s">
        <v>443</v>
      </c>
    </row>
    <row r="1108" spans="1:5" x14ac:dyDescent="0.3">
      <c r="A1108">
        <v>1107</v>
      </c>
      <c r="B1108" s="24" t="s">
        <v>2186</v>
      </c>
      <c r="C1108" s="24" t="s">
        <v>648</v>
      </c>
      <c r="D1108" s="24" t="s">
        <v>855</v>
      </c>
      <c r="E1108" s="24" t="s">
        <v>443</v>
      </c>
    </row>
    <row r="1109" spans="1:5" x14ac:dyDescent="0.3">
      <c r="A1109">
        <v>1108</v>
      </c>
      <c r="B1109" s="24" t="s">
        <v>2187</v>
      </c>
      <c r="C1109" s="24" t="s">
        <v>648</v>
      </c>
      <c r="D1109" s="24" t="s">
        <v>857</v>
      </c>
      <c r="E1109" s="24" t="s">
        <v>443</v>
      </c>
    </row>
    <row r="1110" spans="1:5" x14ac:dyDescent="0.3">
      <c r="A1110">
        <v>1109</v>
      </c>
      <c r="B1110" s="24" t="s">
        <v>2188</v>
      </c>
      <c r="C1110" s="24" t="s">
        <v>648</v>
      </c>
      <c r="D1110" s="24" t="s">
        <v>856</v>
      </c>
      <c r="E1110" s="24" t="s">
        <v>443</v>
      </c>
    </row>
    <row r="1111" spans="1:5" x14ac:dyDescent="0.3">
      <c r="A1111">
        <v>1110</v>
      </c>
      <c r="B1111" s="24" t="s">
        <v>2189</v>
      </c>
      <c r="C1111" s="24" t="s">
        <v>648</v>
      </c>
      <c r="D1111" s="24" t="s">
        <v>851</v>
      </c>
      <c r="E1111" s="24" t="s">
        <v>444</v>
      </c>
    </row>
    <row r="1112" spans="1:5" x14ac:dyDescent="0.3">
      <c r="A1112">
        <v>1111</v>
      </c>
      <c r="B1112" s="24" t="s">
        <v>2190</v>
      </c>
      <c r="C1112" s="24" t="s">
        <v>648</v>
      </c>
      <c r="D1112" s="24" t="s">
        <v>850</v>
      </c>
      <c r="E1112" s="24" t="s">
        <v>444</v>
      </c>
    </row>
    <row r="1113" spans="1:5" x14ac:dyDescent="0.3">
      <c r="A1113">
        <v>1112</v>
      </c>
      <c r="B1113" s="24" t="s">
        <v>2191</v>
      </c>
      <c r="C1113" s="24" t="s">
        <v>649</v>
      </c>
      <c r="D1113" s="24" t="s">
        <v>854</v>
      </c>
      <c r="E1113" s="24" t="s">
        <v>443</v>
      </c>
    </row>
    <row r="1114" spans="1:5" x14ac:dyDescent="0.3">
      <c r="A1114">
        <v>1113</v>
      </c>
      <c r="B1114" s="24" t="s">
        <v>2192</v>
      </c>
      <c r="C1114" s="24" t="s">
        <v>649</v>
      </c>
      <c r="D1114" s="24" t="s">
        <v>855</v>
      </c>
      <c r="E1114" s="24" t="s">
        <v>443</v>
      </c>
    </row>
    <row r="1115" spans="1:5" x14ac:dyDescent="0.3">
      <c r="A1115">
        <v>1114</v>
      </c>
      <c r="B1115" s="24" t="s">
        <v>2193</v>
      </c>
      <c r="C1115" s="24" t="s">
        <v>649</v>
      </c>
      <c r="D1115" s="24" t="s">
        <v>857</v>
      </c>
      <c r="E1115" s="24" t="s">
        <v>443</v>
      </c>
    </row>
    <row r="1116" spans="1:5" x14ac:dyDescent="0.3">
      <c r="A1116">
        <v>1115</v>
      </c>
      <c r="B1116" s="24" t="s">
        <v>2194</v>
      </c>
      <c r="C1116" s="24" t="s">
        <v>649</v>
      </c>
      <c r="D1116" s="24" t="s">
        <v>856</v>
      </c>
      <c r="E1116" s="24" t="s">
        <v>443</v>
      </c>
    </row>
    <row r="1117" spans="1:5" x14ac:dyDescent="0.3">
      <c r="A1117">
        <v>1116</v>
      </c>
      <c r="B1117" s="24" t="s">
        <v>2195</v>
      </c>
      <c r="C1117" s="24" t="s">
        <v>649</v>
      </c>
      <c r="D1117" s="24" t="s">
        <v>851</v>
      </c>
      <c r="E1117" s="24" t="s">
        <v>444</v>
      </c>
    </row>
    <row r="1118" spans="1:5" x14ac:dyDescent="0.3">
      <c r="A1118">
        <v>1117</v>
      </c>
      <c r="B1118" s="24" t="s">
        <v>2196</v>
      </c>
      <c r="C1118" s="24" t="s">
        <v>649</v>
      </c>
      <c r="D1118" s="24" t="s">
        <v>850</v>
      </c>
      <c r="E1118" s="24" t="s">
        <v>444</v>
      </c>
    </row>
    <row r="1119" spans="1:5" x14ac:dyDescent="0.3">
      <c r="A1119">
        <v>1118</v>
      </c>
      <c r="B1119" s="24" t="s">
        <v>2197</v>
      </c>
      <c r="C1119" s="24" t="s">
        <v>795</v>
      </c>
      <c r="D1119" s="24" t="s">
        <v>854</v>
      </c>
      <c r="E1119" s="24" t="s">
        <v>443</v>
      </c>
    </row>
    <row r="1120" spans="1:5" x14ac:dyDescent="0.3">
      <c r="A1120">
        <v>1119</v>
      </c>
      <c r="B1120" s="24" t="s">
        <v>2198</v>
      </c>
      <c r="C1120" s="24" t="s">
        <v>795</v>
      </c>
      <c r="D1120" s="24" t="s">
        <v>855</v>
      </c>
      <c r="E1120" s="24" t="s">
        <v>443</v>
      </c>
    </row>
    <row r="1121" spans="1:5" x14ac:dyDescent="0.3">
      <c r="A1121">
        <v>1120</v>
      </c>
      <c r="B1121" s="24" t="s">
        <v>2199</v>
      </c>
      <c r="C1121" s="24" t="s">
        <v>795</v>
      </c>
      <c r="D1121" s="24" t="s">
        <v>857</v>
      </c>
      <c r="E1121" s="24" t="s">
        <v>443</v>
      </c>
    </row>
    <row r="1122" spans="1:5" x14ac:dyDescent="0.3">
      <c r="A1122">
        <v>1121</v>
      </c>
      <c r="B1122" s="24" t="s">
        <v>2200</v>
      </c>
      <c r="C1122" s="24" t="s">
        <v>795</v>
      </c>
      <c r="D1122" s="24" t="s">
        <v>856</v>
      </c>
      <c r="E1122" s="24" t="s">
        <v>443</v>
      </c>
    </row>
    <row r="1123" spans="1:5" x14ac:dyDescent="0.3">
      <c r="A1123">
        <v>1122</v>
      </c>
      <c r="B1123" s="24" t="s">
        <v>2201</v>
      </c>
      <c r="C1123" s="24" t="s">
        <v>795</v>
      </c>
      <c r="D1123" s="24" t="s">
        <v>851</v>
      </c>
      <c r="E1123" s="24" t="s">
        <v>444</v>
      </c>
    </row>
    <row r="1124" spans="1:5" x14ac:dyDescent="0.3">
      <c r="A1124">
        <v>1123</v>
      </c>
      <c r="B1124" s="24" t="s">
        <v>2202</v>
      </c>
      <c r="C1124" s="24" t="s">
        <v>795</v>
      </c>
      <c r="D1124" s="24" t="s">
        <v>850</v>
      </c>
      <c r="E1124" s="24" t="s">
        <v>444</v>
      </c>
    </row>
    <row r="1125" spans="1:5" x14ac:dyDescent="0.3">
      <c r="A1125">
        <v>1124</v>
      </c>
      <c r="B1125" s="24" t="s">
        <v>2203</v>
      </c>
      <c r="C1125" s="24" t="s">
        <v>650</v>
      </c>
      <c r="D1125" s="24" t="s">
        <v>846</v>
      </c>
      <c r="E1125" s="24" t="s">
        <v>497</v>
      </c>
    </row>
    <row r="1126" spans="1:5" x14ac:dyDescent="0.3">
      <c r="A1126">
        <v>1125</v>
      </c>
      <c r="B1126" s="24" t="s">
        <v>2204</v>
      </c>
      <c r="C1126" s="24" t="s">
        <v>650</v>
      </c>
      <c r="D1126" s="24" t="s">
        <v>854</v>
      </c>
      <c r="E1126" s="24" t="s">
        <v>443</v>
      </c>
    </row>
    <row r="1127" spans="1:5" x14ac:dyDescent="0.3">
      <c r="A1127">
        <v>1126</v>
      </c>
      <c r="B1127" s="24" t="s">
        <v>2205</v>
      </c>
      <c r="C1127" s="24" t="s">
        <v>650</v>
      </c>
      <c r="D1127" s="24" t="s">
        <v>855</v>
      </c>
      <c r="E1127" s="24" t="s">
        <v>443</v>
      </c>
    </row>
    <row r="1128" spans="1:5" x14ac:dyDescent="0.3">
      <c r="A1128">
        <v>1127</v>
      </c>
      <c r="B1128" s="24" t="s">
        <v>2206</v>
      </c>
      <c r="C1128" s="24" t="s">
        <v>650</v>
      </c>
      <c r="D1128" s="24" t="s">
        <v>857</v>
      </c>
      <c r="E1128" s="24" t="s">
        <v>443</v>
      </c>
    </row>
    <row r="1129" spans="1:5" x14ac:dyDescent="0.3">
      <c r="A1129">
        <v>1128</v>
      </c>
      <c r="B1129" s="24" t="s">
        <v>2207</v>
      </c>
      <c r="C1129" s="24" t="s">
        <v>650</v>
      </c>
      <c r="D1129" s="24" t="s">
        <v>856</v>
      </c>
      <c r="E1129" s="24" t="s">
        <v>443</v>
      </c>
    </row>
    <row r="1130" spans="1:5" x14ac:dyDescent="0.3">
      <c r="A1130">
        <v>1129</v>
      </c>
      <c r="B1130" s="24" t="s">
        <v>2208</v>
      </c>
      <c r="C1130" s="24" t="s">
        <v>650</v>
      </c>
      <c r="D1130" s="24" t="s">
        <v>851</v>
      </c>
      <c r="E1130" s="24" t="s">
        <v>444</v>
      </c>
    </row>
    <row r="1131" spans="1:5" x14ac:dyDescent="0.3">
      <c r="A1131">
        <v>1130</v>
      </c>
      <c r="B1131" s="24" t="s">
        <v>2209</v>
      </c>
      <c r="C1131" s="24" t="s">
        <v>650</v>
      </c>
      <c r="D1131" s="24" t="s">
        <v>850</v>
      </c>
      <c r="E1131" s="24" t="s">
        <v>444</v>
      </c>
    </row>
    <row r="1132" spans="1:5" x14ac:dyDescent="0.3">
      <c r="A1132">
        <v>1131</v>
      </c>
      <c r="B1132" s="24" t="s">
        <v>2210</v>
      </c>
      <c r="C1132" s="24" t="s">
        <v>651</v>
      </c>
      <c r="D1132" s="24" t="s">
        <v>846</v>
      </c>
      <c r="E1132" s="24" t="s">
        <v>497</v>
      </c>
    </row>
    <row r="1133" spans="1:5" x14ac:dyDescent="0.3">
      <c r="A1133">
        <v>1132</v>
      </c>
      <c r="B1133" s="24" t="s">
        <v>2211</v>
      </c>
      <c r="C1133" s="24" t="s">
        <v>651</v>
      </c>
      <c r="D1133" s="24" t="s">
        <v>854</v>
      </c>
      <c r="E1133" s="24" t="s">
        <v>443</v>
      </c>
    </row>
    <row r="1134" spans="1:5" x14ac:dyDescent="0.3">
      <c r="A1134">
        <v>1133</v>
      </c>
      <c r="B1134" s="24" t="s">
        <v>2212</v>
      </c>
      <c r="C1134" s="24" t="s">
        <v>651</v>
      </c>
      <c r="D1134" s="24" t="s">
        <v>855</v>
      </c>
      <c r="E1134" s="24" t="s">
        <v>443</v>
      </c>
    </row>
    <row r="1135" spans="1:5" x14ac:dyDescent="0.3">
      <c r="A1135">
        <v>1134</v>
      </c>
      <c r="B1135" s="24" t="s">
        <v>2213</v>
      </c>
      <c r="C1135" s="24" t="s">
        <v>651</v>
      </c>
      <c r="D1135" s="24" t="s">
        <v>857</v>
      </c>
      <c r="E1135" s="24" t="s">
        <v>443</v>
      </c>
    </row>
    <row r="1136" spans="1:5" x14ac:dyDescent="0.3">
      <c r="A1136">
        <v>1135</v>
      </c>
      <c r="B1136" s="24" t="s">
        <v>2214</v>
      </c>
      <c r="C1136" s="24" t="s">
        <v>651</v>
      </c>
      <c r="D1136" s="24" t="s">
        <v>856</v>
      </c>
      <c r="E1136" s="24" t="s">
        <v>443</v>
      </c>
    </row>
    <row r="1137" spans="1:5" x14ac:dyDescent="0.3">
      <c r="A1137">
        <v>1136</v>
      </c>
      <c r="B1137" s="24" t="s">
        <v>2215</v>
      </c>
      <c r="C1137" s="24" t="s">
        <v>651</v>
      </c>
      <c r="D1137" s="24" t="s">
        <v>851</v>
      </c>
      <c r="E1137" s="24" t="s">
        <v>444</v>
      </c>
    </row>
    <row r="1138" spans="1:5" x14ac:dyDescent="0.3">
      <c r="A1138">
        <v>1137</v>
      </c>
      <c r="B1138" s="24" t="s">
        <v>2216</v>
      </c>
      <c r="C1138" s="24" t="s">
        <v>651</v>
      </c>
      <c r="D1138" s="24" t="s">
        <v>850</v>
      </c>
      <c r="E1138" s="24" t="s">
        <v>444</v>
      </c>
    </row>
    <row r="1139" spans="1:5" x14ac:dyDescent="0.3">
      <c r="A1139">
        <v>1138</v>
      </c>
      <c r="B1139" s="24" t="s">
        <v>2217</v>
      </c>
      <c r="C1139" s="24" t="s">
        <v>652</v>
      </c>
      <c r="D1139" s="24" t="s">
        <v>846</v>
      </c>
      <c r="E1139" s="24" t="s">
        <v>497</v>
      </c>
    </row>
    <row r="1140" spans="1:5" x14ac:dyDescent="0.3">
      <c r="A1140">
        <v>1139</v>
      </c>
      <c r="B1140" s="24" t="s">
        <v>2218</v>
      </c>
      <c r="C1140" s="24" t="s">
        <v>652</v>
      </c>
      <c r="D1140" s="24" t="s">
        <v>854</v>
      </c>
      <c r="E1140" s="24" t="s">
        <v>443</v>
      </c>
    </row>
    <row r="1141" spans="1:5" x14ac:dyDescent="0.3">
      <c r="A1141">
        <v>1140</v>
      </c>
      <c r="B1141" s="24" t="s">
        <v>2219</v>
      </c>
      <c r="C1141" s="24" t="s">
        <v>652</v>
      </c>
      <c r="D1141" s="24" t="s">
        <v>855</v>
      </c>
      <c r="E1141" s="24" t="s">
        <v>443</v>
      </c>
    </row>
    <row r="1142" spans="1:5" x14ac:dyDescent="0.3">
      <c r="A1142">
        <v>1141</v>
      </c>
      <c r="B1142" s="24" t="s">
        <v>2220</v>
      </c>
      <c r="C1142" s="24" t="s">
        <v>652</v>
      </c>
      <c r="D1142" s="24" t="s">
        <v>857</v>
      </c>
      <c r="E1142" s="24" t="s">
        <v>443</v>
      </c>
    </row>
    <row r="1143" spans="1:5" x14ac:dyDescent="0.3">
      <c r="A1143">
        <v>1142</v>
      </c>
      <c r="B1143" s="24" t="s">
        <v>2221</v>
      </c>
      <c r="C1143" s="24" t="s">
        <v>652</v>
      </c>
      <c r="D1143" s="24" t="s">
        <v>856</v>
      </c>
      <c r="E1143" s="24" t="s">
        <v>443</v>
      </c>
    </row>
    <row r="1144" spans="1:5" x14ac:dyDescent="0.3">
      <c r="A1144">
        <v>1143</v>
      </c>
      <c r="B1144" s="24" t="s">
        <v>2222</v>
      </c>
      <c r="C1144" s="24" t="s">
        <v>652</v>
      </c>
      <c r="D1144" s="24" t="s">
        <v>851</v>
      </c>
      <c r="E1144" s="24" t="s">
        <v>444</v>
      </c>
    </row>
    <row r="1145" spans="1:5" x14ac:dyDescent="0.3">
      <c r="A1145">
        <v>1144</v>
      </c>
      <c r="B1145" s="24" t="s">
        <v>2223</v>
      </c>
      <c r="C1145" s="24" t="s">
        <v>652</v>
      </c>
      <c r="D1145" s="24" t="s">
        <v>850</v>
      </c>
      <c r="E1145" s="24" t="s">
        <v>444</v>
      </c>
    </row>
    <row r="1146" spans="1:5" x14ac:dyDescent="0.3">
      <c r="A1146">
        <v>1145</v>
      </c>
      <c r="B1146" s="24" t="s">
        <v>2224</v>
      </c>
      <c r="C1146" s="24" t="s">
        <v>653</v>
      </c>
      <c r="D1146" s="24" t="s">
        <v>846</v>
      </c>
      <c r="E1146" s="24" t="s">
        <v>497</v>
      </c>
    </row>
    <row r="1147" spans="1:5" x14ac:dyDescent="0.3">
      <c r="A1147">
        <v>1146</v>
      </c>
      <c r="B1147" s="24" t="s">
        <v>2225</v>
      </c>
      <c r="C1147" s="24" t="s">
        <v>653</v>
      </c>
      <c r="D1147" s="24" t="s">
        <v>854</v>
      </c>
      <c r="E1147" s="24" t="s">
        <v>443</v>
      </c>
    </row>
    <row r="1148" spans="1:5" x14ac:dyDescent="0.3">
      <c r="A1148">
        <v>1147</v>
      </c>
      <c r="B1148" s="24" t="s">
        <v>2226</v>
      </c>
      <c r="C1148" s="24" t="s">
        <v>653</v>
      </c>
      <c r="D1148" s="24" t="s">
        <v>855</v>
      </c>
      <c r="E1148" s="24" t="s">
        <v>443</v>
      </c>
    </row>
    <row r="1149" spans="1:5" x14ac:dyDescent="0.3">
      <c r="A1149">
        <v>1148</v>
      </c>
      <c r="B1149" s="24" t="s">
        <v>2227</v>
      </c>
      <c r="C1149" s="24" t="s">
        <v>653</v>
      </c>
      <c r="D1149" s="24" t="s">
        <v>857</v>
      </c>
      <c r="E1149" s="24" t="s">
        <v>443</v>
      </c>
    </row>
    <row r="1150" spans="1:5" x14ac:dyDescent="0.3">
      <c r="A1150">
        <v>1149</v>
      </c>
      <c r="B1150" s="24" t="s">
        <v>2228</v>
      </c>
      <c r="C1150" s="24" t="s">
        <v>653</v>
      </c>
      <c r="D1150" s="24" t="s">
        <v>856</v>
      </c>
      <c r="E1150" s="24" t="s">
        <v>443</v>
      </c>
    </row>
    <row r="1151" spans="1:5" x14ac:dyDescent="0.3">
      <c r="A1151">
        <v>1150</v>
      </c>
      <c r="B1151" s="24" t="s">
        <v>2229</v>
      </c>
      <c r="C1151" s="24" t="s">
        <v>653</v>
      </c>
      <c r="D1151" s="24" t="s">
        <v>851</v>
      </c>
      <c r="E1151" s="24" t="s">
        <v>444</v>
      </c>
    </row>
    <row r="1152" spans="1:5" x14ac:dyDescent="0.3">
      <c r="A1152">
        <v>1151</v>
      </c>
      <c r="B1152" s="24" t="s">
        <v>2230</v>
      </c>
      <c r="C1152" s="24" t="s">
        <v>653</v>
      </c>
      <c r="D1152" s="24" t="s">
        <v>850</v>
      </c>
      <c r="E1152" s="24" t="s">
        <v>444</v>
      </c>
    </row>
    <row r="1153" spans="1:5" x14ac:dyDescent="0.3">
      <c r="A1153">
        <v>1152</v>
      </c>
      <c r="B1153" s="24" t="s">
        <v>2231</v>
      </c>
      <c r="C1153" s="24" t="s">
        <v>654</v>
      </c>
      <c r="D1153" s="24" t="s">
        <v>854</v>
      </c>
      <c r="E1153" s="24" t="s">
        <v>443</v>
      </c>
    </row>
    <row r="1154" spans="1:5" x14ac:dyDescent="0.3">
      <c r="A1154">
        <v>1153</v>
      </c>
      <c r="B1154" s="24" t="s">
        <v>2232</v>
      </c>
      <c r="C1154" s="24" t="s">
        <v>654</v>
      </c>
      <c r="D1154" s="24" t="s">
        <v>855</v>
      </c>
      <c r="E1154" s="24" t="s">
        <v>443</v>
      </c>
    </row>
    <row r="1155" spans="1:5" x14ac:dyDescent="0.3">
      <c r="A1155">
        <v>1154</v>
      </c>
      <c r="B1155" s="24" t="s">
        <v>2233</v>
      </c>
      <c r="C1155" s="24" t="s">
        <v>654</v>
      </c>
      <c r="D1155" s="24" t="s">
        <v>857</v>
      </c>
      <c r="E1155" s="24" t="s">
        <v>443</v>
      </c>
    </row>
    <row r="1156" spans="1:5" x14ac:dyDescent="0.3">
      <c r="A1156">
        <v>1155</v>
      </c>
      <c r="B1156" s="24" t="s">
        <v>2234</v>
      </c>
      <c r="C1156" s="24" t="s">
        <v>654</v>
      </c>
      <c r="D1156" s="24" t="s">
        <v>856</v>
      </c>
      <c r="E1156" s="24" t="s">
        <v>443</v>
      </c>
    </row>
    <row r="1157" spans="1:5" x14ac:dyDescent="0.3">
      <c r="A1157">
        <v>1156</v>
      </c>
      <c r="B1157" s="24" t="s">
        <v>2235</v>
      </c>
      <c r="C1157" s="24" t="s">
        <v>654</v>
      </c>
      <c r="D1157" s="24" t="s">
        <v>851</v>
      </c>
      <c r="E1157" s="24" t="s">
        <v>444</v>
      </c>
    </row>
    <row r="1158" spans="1:5" x14ac:dyDescent="0.3">
      <c r="A1158">
        <v>1157</v>
      </c>
      <c r="B1158" s="24" t="s">
        <v>2236</v>
      </c>
      <c r="C1158" s="24" t="s">
        <v>654</v>
      </c>
      <c r="D1158" s="24" t="s">
        <v>850</v>
      </c>
      <c r="E1158" s="24" t="s">
        <v>444</v>
      </c>
    </row>
    <row r="1159" spans="1:5" x14ac:dyDescent="0.3">
      <c r="A1159">
        <v>1158</v>
      </c>
      <c r="B1159" s="24" t="s">
        <v>2237</v>
      </c>
      <c r="C1159" s="24" t="s">
        <v>655</v>
      </c>
      <c r="D1159" s="24" t="s">
        <v>854</v>
      </c>
      <c r="E1159" s="24" t="s">
        <v>443</v>
      </c>
    </row>
    <row r="1160" spans="1:5" x14ac:dyDescent="0.3">
      <c r="A1160">
        <v>1159</v>
      </c>
      <c r="B1160" s="24" t="s">
        <v>2238</v>
      </c>
      <c r="C1160" s="24" t="s">
        <v>655</v>
      </c>
      <c r="D1160" s="24" t="s">
        <v>855</v>
      </c>
      <c r="E1160" s="24" t="s">
        <v>443</v>
      </c>
    </row>
    <row r="1161" spans="1:5" x14ac:dyDescent="0.3">
      <c r="A1161">
        <v>1160</v>
      </c>
      <c r="B1161" s="24" t="s">
        <v>2239</v>
      </c>
      <c r="C1161" s="24" t="s">
        <v>655</v>
      </c>
      <c r="D1161" s="24" t="s">
        <v>857</v>
      </c>
      <c r="E1161" s="24" t="s">
        <v>443</v>
      </c>
    </row>
    <row r="1162" spans="1:5" x14ac:dyDescent="0.3">
      <c r="A1162">
        <v>1161</v>
      </c>
      <c r="B1162" s="24" t="s">
        <v>2240</v>
      </c>
      <c r="C1162" s="24" t="s">
        <v>655</v>
      </c>
      <c r="D1162" s="24" t="s">
        <v>856</v>
      </c>
      <c r="E1162" s="24" t="s">
        <v>443</v>
      </c>
    </row>
    <row r="1163" spans="1:5" x14ac:dyDescent="0.3">
      <c r="A1163">
        <v>1162</v>
      </c>
      <c r="B1163" s="24" t="s">
        <v>2241</v>
      </c>
      <c r="C1163" s="24" t="s">
        <v>655</v>
      </c>
      <c r="D1163" s="24" t="s">
        <v>851</v>
      </c>
      <c r="E1163" s="24" t="s">
        <v>444</v>
      </c>
    </row>
    <row r="1164" spans="1:5" x14ac:dyDescent="0.3">
      <c r="A1164">
        <v>1163</v>
      </c>
      <c r="B1164" s="24" t="s">
        <v>2242</v>
      </c>
      <c r="C1164" s="24" t="s">
        <v>655</v>
      </c>
      <c r="D1164" s="24" t="s">
        <v>850</v>
      </c>
      <c r="E1164" s="24" t="s">
        <v>444</v>
      </c>
    </row>
    <row r="1165" spans="1:5" x14ac:dyDescent="0.3">
      <c r="A1165">
        <v>1164</v>
      </c>
      <c r="B1165" s="24" t="s">
        <v>2243</v>
      </c>
      <c r="C1165" s="24" t="s">
        <v>656</v>
      </c>
      <c r="D1165" s="24" t="s">
        <v>854</v>
      </c>
      <c r="E1165" s="24" t="s">
        <v>443</v>
      </c>
    </row>
    <row r="1166" spans="1:5" x14ac:dyDescent="0.3">
      <c r="A1166">
        <v>1165</v>
      </c>
      <c r="B1166" s="24" t="s">
        <v>2244</v>
      </c>
      <c r="C1166" s="24" t="s">
        <v>656</v>
      </c>
      <c r="D1166" s="24" t="s">
        <v>855</v>
      </c>
      <c r="E1166" s="24" t="s">
        <v>443</v>
      </c>
    </row>
    <row r="1167" spans="1:5" x14ac:dyDescent="0.3">
      <c r="A1167">
        <v>1166</v>
      </c>
      <c r="B1167" s="24" t="s">
        <v>2245</v>
      </c>
      <c r="C1167" s="24" t="s">
        <v>656</v>
      </c>
      <c r="D1167" s="24" t="s">
        <v>857</v>
      </c>
      <c r="E1167" s="24" t="s">
        <v>443</v>
      </c>
    </row>
    <row r="1168" spans="1:5" x14ac:dyDescent="0.3">
      <c r="A1168">
        <v>1167</v>
      </c>
      <c r="B1168" s="24" t="s">
        <v>2246</v>
      </c>
      <c r="C1168" s="24" t="s">
        <v>656</v>
      </c>
      <c r="D1168" s="24" t="s">
        <v>856</v>
      </c>
      <c r="E1168" s="24" t="s">
        <v>443</v>
      </c>
    </row>
    <row r="1169" spans="1:5" x14ac:dyDescent="0.3">
      <c r="A1169">
        <v>1168</v>
      </c>
      <c r="B1169" s="24" t="s">
        <v>2247</v>
      </c>
      <c r="C1169" s="24" t="s">
        <v>656</v>
      </c>
      <c r="D1169" s="24" t="s">
        <v>851</v>
      </c>
      <c r="E1169" s="24" t="s">
        <v>444</v>
      </c>
    </row>
    <row r="1170" spans="1:5" x14ac:dyDescent="0.3">
      <c r="A1170">
        <v>1169</v>
      </c>
      <c r="B1170" s="24" t="s">
        <v>2248</v>
      </c>
      <c r="C1170" s="24" t="s">
        <v>656</v>
      </c>
      <c r="D1170" s="24" t="s">
        <v>850</v>
      </c>
      <c r="E1170" s="24" t="s">
        <v>444</v>
      </c>
    </row>
    <row r="1171" spans="1:5" x14ac:dyDescent="0.3">
      <c r="A1171">
        <v>1170</v>
      </c>
      <c r="B1171" s="24" t="s">
        <v>2249</v>
      </c>
      <c r="C1171" s="24" t="s">
        <v>657</v>
      </c>
      <c r="D1171" s="24" t="s">
        <v>846</v>
      </c>
      <c r="E1171" s="24" t="s">
        <v>497</v>
      </c>
    </row>
    <row r="1172" spans="1:5" x14ac:dyDescent="0.3">
      <c r="A1172">
        <v>1171</v>
      </c>
      <c r="B1172" s="24" t="s">
        <v>2250</v>
      </c>
      <c r="C1172" s="24" t="s">
        <v>657</v>
      </c>
      <c r="D1172" s="24" t="s">
        <v>847</v>
      </c>
      <c r="E1172" s="24" t="s">
        <v>443</v>
      </c>
    </row>
    <row r="1173" spans="1:5" x14ac:dyDescent="0.3">
      <c r="A1173">
        <v>1172</v>
      </c>
      <c r="B1173" s="24" t="s">
        <v>2251</v>
      </c>
      <c r="C1173" s="24" t="s">
        <v>657</v>
      </c>
      <c r="D1173" s="24" t="s">
        <v>848</v>
      </c>
      <c r="E1173" s="24" t="s">
        <v>443</v>
      </c>
    </row>
    <row r="1174" spans="1:5" x14ac:dyDescent="0.3">
      <c r="A1174">
        <v>1173</v>
      </c>
      <c r="B1174" s="24" t="s">
        <v>2252</v>
      </c>
      <c r="C1174" s="24" t="s">
        <v>657</v>
      </c>
      <c r="D1174" s="24" t="s">
        <v>849</v>
      </c>
      <c r="E1174" s="24" t="s">
        <v>443</v>
      </c>
    </row>
    <row r="1175" spans="1:5" x14ac:dyDescent="0.3">
      <c r="A1175">
        <v>1174</v>
      </c>
      <c r="B1175" s="24" t="s">
        <v>2253</v>
      </c>
      <c r="C1175" s="24" t="s">
        <v>657</v>
      </c>
      <c r="D1175" s="24" t="s">
        <v>851</v>
      </c>
      <c r="E1175" s="24" t="s">
        <v>444</v>
      </c>
    </row>
    <row r="1176" spans="1:5" x14ac:dyDescent="0.3">
      <c r="A1176">
        <v>1175</v>
      </c>
      <c r="B1176" s="24" t="s">
        <v>2254</v>
      </c>
      <c r="C1176" s="24" t="s">
        <v>657</v>
      </c>
      <c r="D1176" s="24" t="s">
        <v>850</v>
      </c>
      <c r="E1176" s="24" t="s">
        <v>444</v>
      </c>
    </row>
    <row r="1177" spans="1:5" x14ac:dyDescent="0.3">
      <c r="A1177">
        <v>1176</v>
      </c>
      <c r="B1177" s="24" t="s">
        <v>2255</v>
      </c>
      <c r="C1177" s="24" t="s">
        <v>658</v>
      </c>
      <c r="D1177" s="24" t="s">
        <v>846</v>
      </c>
      <c r="E1177" s="24" t="s">
        <v>497</v>
      </c>
    </row>
    <row r="1178" spans="1:5" x14ac:dyDescent="0.3">
      <c r="A1178">
        <v>1177</v>
      </c>
      <c r="B1178" s="24" t="s">
        <v>2256</v>
      </c>
      <c r="C1178" s="24" t="s">
        <v>658</v>
      </c>
      <c r="D1178" s="24" t="s">
        <v>847</v>
      </c>
      <c r="E1178" s="24" t="s">
        <v>443</v>
      </c>
    </row>
    <row r="1179" spans="1:5" x14ac:dyDescent="0.3">
      <c r="A1179">
        <v>1178</v>
      </c>
      <c r="B1179" s="24" t="s">
        <v>2257</v>
      </c>
      <c r="C1179" s="24" t="s">
        <v>658</v>
      </c>
      <c r="D1179" s="24" t="s">
        <v>848</v>
      </c>
      <c r="E1179" s="24" t="s">
        <v>443</v>
      </c>
    </row>
    <row r="1180" spans="1:5" x14ac:dyDescent="0.3">
      <c r="A1180">
        <v>1179</v>
      </c>
      <c r="B1180" s="24" t="s">
        <v>2258</v>
      </c>
      <c r="C1180" s="24" t="s">
        <v>658</v>
      </c>
      <c r="D1180" s="24" t="s">
        <v>849</v>
      </c>
      <c r="E1180" s="24" t="s">
        <v>443</v>
      </c>
    </row>
    <row r="1181" spans="1:5" x14ac:dyDescent="0.3">
      <c r="A1181">
        <v>1180</v>
      </c>
      <c r="B1181" s="24" t="s">
        <v>2259</v>
      </c>
      <c r="C1181" s="24" t="s">
        <v>658</v>
      </c>
      <c r="D1181" s="24" t="s">
        <v>851</v>
      </c>
      <c r="E1181" s="24" t="s">
        <v>444</v>
      </c>
    </row>
    <row r="1182" spans="1:5" x14ac:dyDescent="0.3">
      <c r="A1182">
        <v>1181</v>
      </c>
      <c r="B1182" s="24" t="s">
        <v>2260</v>
      </c>
      <c r="C1182" s="24" t="s">
        <v>658</v>
      </c>
      <c r="D1182" s="24" t="s">
        <v>850</v>
      </c>
      <c r="E1182" s="24" t="s">
        <v>444</v>
      </c>
    </row>
    <row r="1183" spans="1:5" x14ac:dyDescent="0.3">
      <c r="A1183">
        <v>1182</v>
      </c>
      <c r="B1183" s="24" t="s">
        <v>2261</v>
      </c>
      <c r="C1183" s="24" t="s">
        <v>659</v>
      </c>
      <c r="D1183" s="24" t="s">
        <v>846</v>
      </c>
      <c r="E1183" s="24" t="s">
        <v>497</v>
      </c>
    </row>
    <row r="1184" spans="1:5" x14ac:dyDescent="0.3">
      <c r="A1184">
        <v>1183</v>
      </c>
      <c r="B1184" s="24" t="s">
        <v>2262</v>
      </c>
      <c r="C1184" s="24" t="s">
        <v>659</v>
      </c>
      <c r="D1184" s="24" t="s">
        <v>847</v>
      </c>
      <c r="E1184" s="24" t="s">
        <v>443</v>
      </c>
    </row>
    <row r="1185" spans="1:5" x14ac:dyDescent="0.3">
      <c r="A1185">
        <v>1184</v>
      </c>
      <c r="B1185" s="24" t="s">
        <v>2263</v>
      </c>
      <c r="C1185" s="24" t="s">
        <v>659</v>
      </c>
      <c r="D1185" s="24" t="s">
        <v>848</v>
      </c>
      <c r="E1185" s="24" t="s">
        <v>443</v>
      </c>
    </row>
    <row r="1186" spans="1:5" x14ac:dyDescent="0.3">
      <c r="A1186">
        <v>1185</v>
      </c>
      <c r="B1186" s="24" t="s">
        <v>2264</v>
      </c>
      <c r="C1186" s="24" t="s">
        <v>659</v>
      </c>
      <c r="D1186" s="24" t="s">
        <v>849</v>
      </c>
      <c r="E1186" s="24" t="s">
        <v>443</v>
      </c>
    </row>
    <row r="1187" spans="1:5" x14ac:dyDescent="0.3">
      <c r="A1187">
        <v>1186</v>
      </c>
      <c r="B1187" s="24" t="s">
        <v>2265</v>
      </c>
      <c r="C1187" s="24" t="s">
        <v>659</v>
      </c>
      <c r="D1187" s="24" t="s">
        <v>851</v>
      </c>
      <c r="E1187" s="24" t="s">
        <v>444</v>
      </c>
    </row>
    <row r="1188" spans="1:5" x14ac:dyDescent="0.3">
      <c r="A1188">
        <v>1187</v>
      </c>
      <c r="B1188" s="24" t="s">
        <v>2266</v>
      </c>
      <c r="C1188" s="24" t="s">
        <v>659</v>
      </c>
      <c r="D1188" s="24" t="s">
        <v>850</v>
      </c>
      <c r="E1188" s="24" t="s">
        <v>444</v>
      </c>
    </row>
    <row r="1189" spans="1:5" x14ac:dyDescent="0.3">
      <c r="A1189">
        <v>1188</v>
      </c>
      <c r="B1189" s="24" t="s">
        <v>2267</v>
      </c>
      <c r="C1189" s="24" t="s">
        <v>660</v>
      </c>
      <c r="D1189" s="24" t="s">
        <v>854</v>
      </c>
      <c r="E1189" s="24" t="s">
        <v>443</v>
      </c>
    </row>
    <row r="1190" spans="1:5" x14ac:dyDescent="0.3">
      <c r="A1190">
        <v>1189</v>
      </c>
      <c r="B1190" s="24" t="s">
        <v>2268</v>
      </c>
      <c r="C1190" s="24" t="s">
        <v>660</v>
      </c>
      <c r="D1190" s="24" t="s">
        <v>855</v>
      </c>
      <c r="E1190" s="24" t="s">
        <v>443</v>
      </c>
    </row>
    <row r="1191" spans="1:5" x14ac:dyDescent="0.3">
      <c r="A1191">
        <v>1190</v>
      </c>
      <c r="B1191" s="24" t="s">
        <v>2269</v>
      </c>
      <c r="C1191" s="24" t="s">
        <v>660</v>
      </c>
      <c r="D1191" s="24" t="s">
        <v>857</v>
      </c>
      <c r="E1191" s="24" t="s">
        <v>443</v>
      </c>
    </row>
    <row r="1192" spans="1:5" x14ac:dyDescent="0.3">
      <c r="A1192">
        <v>1191</v>
      </c>
      <c r="B1192" s="24" t="s">
        <v>2270</v>
      </c>
      <c r="C1192" s="24" t="s">
        <v>660</v>
      </c>
      <c r="D1192" s="24" t="s">
        <v>856</v>
      </c>
      <c r="E1192" s="24" t="s">
        <v>443</v>
      </c>
    </row>
    <row r="1193" spans="1:5" x14ac:dyDescent="0.3">
      <c r="A1193">
        <v>1192</v>
      </c>
      <c r="B1193" s="24" t="s">
        <v>2271</v>
      </c>
      <c r="C1193" s="24" t="s">
        <v>660</v>
      </c>
      <c r="D1193" s="24" t="s">
        <v>851</v>
      </c>
      <c r="E1193" s="24" t="s">
        <v>444</v>
      </c>
    </row>
    <row r="1194" spans="1:5" x14ac:dyDescent="0.3">
      <c r="A1194">
        <v>1193</v>
      </c>
      <c r="B1194" s="24" t="s">
        <v>2272</v>
      </c>
      <c r="C1194" s="24" t="s">
        <v>660</v>
      </c>
      <c r="D1194" s="24" t="s">
        <v>850</v>
      </c>
      <c r="E1194" s="24" t="s">
        <v>444</v>
      </c>
    </row>
    <row r="1195" spans="1:5" x14ac:dyDescent="0.3">
      <c r="A1195">
        <v>1194</v>
      </c>
      <c r="B1195" s="24" t="s">
        <v>2273</v>
      </c>
      <c r="C1195" s="24" t="s">
        <v>661</v>
      </c>
      <c r="D1195" s="24" t="s">
        <v>854</v>
      </c>
      <c r="E1195" s="24" t="s">
        <v>443</v>
      </c>
    </row>
    <row r="1196" spans="1:5" x14ac:dyDescent="0.3">
      <c r="A1196">
        <v>1195</v>
      </c>
      <c r="B1196" s="24" t="s">
        <v>2274</v>
      </c>
      <c r="C1196" s="24" t="s">
        <v>661</v>
      </c>
      <c r="D1196" s="24" t="s">
        <v>855</v>
      </c>
      <c r="E1196" s="24" t="s">
        <v>443</v>
      </c>
    </row>
    <row r="1197" spans="1:5" x14ac:dyDescent="0.3">
      <c r="A1197">
        <v>1196</v>
      </c>
      <c r="B1197" s="24" t="s">
        <v>2275</v>
      </c>
      <c r="C1197" s="24" t="s">
        <v>661</v>
      </c>
      <c r="D1197" s="24" t="s">
        <v>857</v>
      </c>
      <c r="E1197" s="24" t="s">
        <v>443</v>
      </c>
    </row>
    <row r="1198" spans="1:5" x14ac:dyDescent="0.3">
      <c r="A1198">
        <v>1197</v>
      </c>
      <c r="B1198" s="24" t="s">
        <v>2276</v>
      </c>
      <c r="C1198" s="24" t="s">
        <v>661</v>
      </c>
      <c r="D1198" s="24" t="s">
        <v>856</v>
      </c>
      <c r="E1198" s="24" t="s">
        <v>443</v>
      </c>
    </row>
    <row r="1199" spans="1:5" x14ac:dyDescent="0.3">
      <c r="A1199">
        <v>1198</v>
      </c>
      <c r="B1199" s="24" t="s">
        <v>2277</v>
      </c>
      <c r="C1199" s="24" t="s">
        <v>661</v>
      </c>
      <c r="D1199" s="24" t="s">
        <v>851</v>
      </c>
      <c r="E1199" s="24" t="s">
        <v>444</v>
      </c>
    </row>
    <row r="1200" spans="1:5" x14ac:dyDescent="0.3">
      <c r="A1200">
        <v>1199</v>
      </c>
      <c r="B1200" s="24" t="s">
        <v>2278</v>
      </c>
      <c r="C1200" s="24" t="s">
        <v>661</v>
      </c>
      <c r="D1200" s="24" t="s">
        <v>850</v>
      </c>
      <c r="E1200" s="24" t="s">
        <v>444</v>
      </c>
    </row>
    <row r="1201" spans="1:5" x14ac:dyDescent="0.3">
      <c r="A1201">
        <v>1200</v>
      </c>
      <c r="B1201" s="24" t="s">
        <v>2279</v>
      </c>
      <c r="C1201" s="24" t="s">
        <v>662</v>
      </c>
      <c r="D1201" s="24" t="s">
        <v>854</v>
      </c>
      <c r="E1201" s="24" t="s">
        <v>443</v>
      </c>
    </row>
    <row r="1202" spans="1:5" x14ac:dyDescent="0.3">
      <c r="A1202">
        <v>1201</v>
      </c>
      <c r="B1202" s="24" t="s">
        <v>2280</v>
      </c>
      <c r="C1202" s="24" t="s">
        <v>662</v>
      </c>
      <c r="D1202" s="24" t="s">
        <v>855</v>
      </c>
      <c r="E1202" s="24" t="s">
        <v>443</v>
      </c>
    </row>
    <row r="1203" spans="1:5" x14ac:dyDescent="0.3">
      <c r="A1203">
        <v>1202</v>
      </c>
      <c r="B1203" s="24" t="s">
        <v>2281</v>
      </c>
      <c r="C1203" s="24" t="s">
        <v>662</v>
      </c>
      <c r="D1203" s="24" t="s">
        <v>857</v>
      </c>
      <c r="E1203" s="24" t="s">
        <v>443</v>
      </c>
    </row>
    <row r="1204" spans="1:5" x14ac:dyDescent="0.3">
      <c r="A1204">
        <v>1203</v>
      </c>
      <c r="B1204" s="24" t="s">
        <v>2282</v>
      </c>
      <c r="C1204" s="24" t="s">
        <v>662</v>
      </c>
      <c r="D1204" s="24" t="s">
        <v>856</v>
      </c>
      <c r="E1204" s="24" t="s">
        <v>443</v>
      </c>
    </row>
    <row r="1205" spans="1:5" x14ac:dyDescent="0.3">
      <c r="A1205">
        <v>1204</v>
      </c>
      <c r="B1205" s="24" t="s">
        <v>2283</v>
      </c>
      <c r="C1205" s="24" t="s">
        <v>662</v>
      </c>
      <c r="D1205" s="24" t="s">
        <v>851</v>
      </c>
      <c r="E1205" s="24" t="s">
        <v>444</v>
      </c>
    </row>
    <row r="1206" spans="1:5" x14ac:dyDescent="0.3">
      <c r="A1206">
        <v>1205</v>
      </c>
      <c r="B1206" s="24" t="s">
        <v>2284</v>
      </c>
      <c r="C1206" s="24" t="s">
        <v>662</v>
      </c>
      <c r="D1206" s="24" t="s">
        <v>850</v>
      </c>
      <c r="E1206" s="24" t="s">
        <v>444</v>
      </c>
    </row>
    <row r="1207" spans="1:5" x14ac:dyDescent="0.3">
      <c r="A1207">
        <v>1206</v>
      </c>
      <c r="B1207" s="24" t="s">
        <v>2285</v>
      </c>
      <c r="C1207" s="24" t="s">
        <v>663</v>
      </c>
      <c r="D1207" s="24" t="s">
        <v>854</v>
      </c>
      <c r="E1207" s="24" t="s">
        <v>443</v>
      </c>
    </row>
    <row r="1208" spans="1:5" x14ac:dyDescent="0.3">
      <c r="A1208">
        <v>1207</v>
      </c>
      <c r="B1208" s="24" t="s">
        <v>2286</v>
      </c>
      <c r="C1208" s="24" t="s">
        <v>663</v>
      </c>
      <c r="D1208" s="24" t="s">
        <v>855</v>
      </c>
      <c r="E1208" s="24" t="s">
        <v>443</v>
      </c>
    </row>
    <row r="1209" spans="1:5" x14ac:dyDescent="0.3">
      <c r="A1209">
        <v>1208</v>
      </c>
      <c r="B1209" s="24" t="s">
        <v>2287</v>
      </c>
      <c r="C1209" s="24" t="s">
        <v>663</v>
      </c>
      <c r="D1209" s="24" t="s">
        <v>857</v>
      </c>
      <c r="E1209" s="24" t="s">
        <v>443</v>
      </c>
    </row>
    <row r="1210" spans="1:5" x14ac:dyDescent="0.3">
      <c r="A1210">
        <v>1209</v>
      </c>
      <c r="B1210" s="24" t="s">
        <v>2288</v>
      </c>
      <c r="C1210" s="24" t="s">
        <v>663</v>
      </c>
      <c r="D1210" s="24" t="s">
        <v>856</v>
      </c>
      <c r="E1210" s="24" t="s">
        <v>443</v>
      </c>
    </row>
    <row r="1211" spans="1:5" x14ac:dyDescent="0.3">
      <c r="A1211">
        <v>1210</v>
      </c>
      <c r="B1211" s="24" t="s">
        <v>2289</v>
      </c>
      <c r="C1211" s="24" t="s">
        <v>663</v>
      </c>
      <c r="D1211" s="24" t="s">
        <v>851</v>
      </c>
      <c r="E1211" s="24" t="s">
        <v>444</v>
      </c>
    </row>
    <row r="1212" spans="1:5" x14ac:dyDescent="0.3">
      <c r="A1212">
        <v>1211</v>
      </c>
      <c r="B1212" s="24" t="s">
        <v>2290</v>
      </c>
      <c r="C1212" s="24" t="s">
        <v>663</v>
      </c>
      <c r="D1212" s="24" t="s">
        <v>850</v>
      </c>
      <c r="E1212" s="24" t="s">
        <v>444</v>
      </c>
    </row>
    <row r="1213" spans="1:5" x14ac:dyDescent="0.3">
      <c r="A1213">
        <v>1212</v>
      </c>
      <c r="B1213" s="24" t="s">
        <v>2291</v>
      </c>
      <c r="C1213" s="24" t="s">
        <v>664</v>
      </c>
      <c r="D1213" s="24" t="s">
        <v>854</v>
      </c>
      <c r="E1213" s="24" t="s">
        <v>443</v>
      </c>
    </row>
    <row r="1214" spans="1:5" x14ac:dyDescent="0.3">
      <c r="A1214">
        <v>1213</v>
      </c>
      <c r="B1214" s="24" t="s">
        <v>2292</v>
      </c>
      <c r="C1214" s="24" t="s">
        <v>664</v>
      </c>
      <c r="D1214" s="24" t="s">
        <v>855</v>
      </c>
      <c r="E1214" s="24" t="s">
        <v>443</v>
      </c>
    </row>
    <row r="1215" spans="1:5" x14ac:dyDescent="0.3">
      <c r="A1215">
        <v>1214</v>
      </c>
      <c r="B1215" s="24" t="s">
        <v>2293</v>
      </c>
      <c r="C1215" s="24" t="s">
        <v>664</v>
      </c>
      <c r="D1215" s="24" t="s">
        <v>857</v>
      </c>
      <c r="E1215" s="24" t="s">
        <v>443</v>
      </c>
    </row>
    <row r="1216" spans="1:5" x14ac:dyDescent="0.3">
      <c r="A1216">
        <v>1215</v>
      </c>
      <c r="B1216" s="24" t="s">
        <v>2294</v>
      </c>
      <c r="C1216" s="24" t="s">
        <v>664</v>
      </c>
      <c r="D1216" s="24" t="s">
        <v>856</v>
      </c>
      <c r="E1216" s="24" t="s">
        <v>443</v>
      </c>
    </row>
    <row r="1217" spans="1:5" x14ac:dyDescent="0.3">
      <c r="A1217">
        <v>1216</v>
      </c>
      <c r="B1217" s="24" t="s">
        <v>2295</v>
      </c>
      <c r="C1217" s="24" t="s">
        <v>664</v>
      </c>
      <c r="D1217" s="24" t="s">
        <v>851</v>
      </c>
      <c r="E1217" s="24" t="s">
        <v>444</v>
      </c>
    </row>
    <row r="1218" spans="1:5" x14ac:dyDescent="0.3">
      <c r="A1218">
        <v>1217</v>
      </c>
      <c r="B1218" s="24" t="s">
        <v>2296</v>
      </c>
      <c r="C1218" s="24" t="s">
        <v>664</v>
      </c>
      <c r="D1218" s="24" t="s">
        <v>850</v>
      </c>
      <c r="E1218" s="24" t="s">
        <v>444</v>
      </c>
    </row>
    <row r="1219" spans="1:5" x14ac:dyDescent="0.3">
      <c r="A1219">
        <v>1218</v>
      </c>
      <c r="B1219" s="24" t="s">
        <v>2297</v>
      </c>
      <c r="C1219" s="24" t="s">
        <v>665</v>
      </c>
      <c r="D1219" s="24" t="s">
        <v>854</v>
      </c>
      <c r="E1219" s="24" t="s">
        <v>443</v>
      </c>
    </row>
    <row r="1220" spans="1:5" x14ac:dyDescent="0.3">
      <c r="A1220">
        <v>1219</v>
      </c>
      <c r="B1220" s="24" t="s">
        <v>2298</v>
      </c>
      <c r="C1220" s="24" t="s">
        <v>665</v>
      </c>
      <c r="D1220" s="24" t="s">
        <v>855</v>
      </c>
      <c r="E1220" s="24" t="s">
        <v>443</v>
      </c>
    </row>
    <row r="1221" spans="1:5" x14ac:dyDescent="0.3">
      <c r="A1221">
        <v>1220</v>
      </c>
      <c r="B1221" s="24" t="s">
        <v>2299</v>
      </c>
      <c r="C1221" s="24" t="s">
        <v>665</v>
      </c>
      <c r="D1221" s="24" t="s">
        <v>857</v>
      </c>
      <c r="E1221" s="24" t="s">
        <v>443</v>
      </c>
    </row>
    <row r="1222" spans="1:5" x14ac:dyDescent="0.3">
      <c r="A1222">
        <v>1221</v>
      </c>
      <c r="B1222" s="24" t="s">
        <v>2300</v>
      </c>
      <c r="C1222" s="24" t="s">
        <v>665</v>
      </c>
      <c r="D1222" s="24" t="s">
        <v>856</v>
      </c>
      <c r="E1222" s="24" t="s">
        <v>443</v>
      </c>
    </row>
    <row r="1223" spans="1:5" x14ac:dyDescent="0.3">
      <c r="A1223">
        <v>1222</v>
      </c>
      <c r="B1223" s="24" t="s">
        <v>2301</v>
      </c>
      <c r="C1223" s="24" t="s">
        <v>665</v>
      </c>
      <c r="D1223" s="24" t="s">
        <v>851</v>
      </c>
      <c r="E1223" s="24" t="s">
        <v>444</v>
      </c>
    </row>
    <row r="1224" spans="1:5" x14ac:dyDescent="0.3">
      <c r="A1224">
        <v>1223</v>
      </c>
      <c r="B1224" s="24" t="s">
        <v>2302</v>
      </c>
      <c r="C1224" s="24" t="s">
        <v>665</v>
      </c>
      <c r="D1224" s="24" t="s">
        <v>850</v>
      </c>
      <c r="E1224" s="24" t="s">
        <v>444</v>
      </c>
    </row>
    <row r="1225" spans="1:5" x14ac:dyDescent="0.3">
      <c r="A1225">
        <v>1224</v>
      </c>
      <c r="B1225" s="24" t="s">
        <v>2303</v>
      </c>
      <c r="C1225" s="24" t="s">
        <v>666</v>
      </c>
      <c r="D1225" s="24" t="s">
        <v>854</v>
      </c>
      <c r="E1225" s="24" t="s">
        <v>443</v>
      </c>
    </row>
    <row r="1226" spans="1:5" x14ac:dyDescent="0.3">
      <c r="A1226">
        <v>1225</v>
      </c>
      <c r="B1226" s="24" t="s">
        <v>2304</v>
      </c>
      <c r="C1226" s="24" t="s">
        <v>666</v>
      </c>
      <c r="D1226" s="24" t="s">
        <v>855</v>
      </c>
      <c r="E1226" s="24" t="s">
        <v>443</v>
      </c>
    </row>
    <row r="1227" spans="1:5" x14ac:dyDescent="0.3">
      <c r="A1227">
        <v>1226</v>
      </c>
      <c r="B1227" s="24" t="s">
        <v>2305</v>
      </c>
      <c r="C1227" s="24" t="s">
        <v>666</v>
      </c>
      <c r="D1227" s="24" t="s">
        <v>857</v>
      </c>
      <c r="E1227" s="24" t="s">
        <v>443</v>
      </c>
    </row>
    <row r="1228" spans="1:5" x14ac:dyDescent="0.3">
      <c r="A1228">
        <v>1227</v>
      </c>
      <c r="B1228" s="24" t="s">
        <v>2306</v>
      </c>
      <c r="C1228" s="24" t="s">
        <v>666</v>
      </c>
      <c r="D1228" s="24" t="s">
        <v>856</v>
      </c>
      <c r="E1228" s="24" t="s">
        <v>443</v>
      </c>
    </row>
    <row r="1229" spans="1:5" x14ac:dyDescent="0.3">
      <c r="A1229">
        <v>1228</v>
      </c>
      <c r="B1229" s="24" t="s">
        <v>2307</v>
      </c>
      <c r="C1229" s="24" t="s">
        <v>666</v>
      </c>
      <c r="D1229" s="24" t="s">
        <v>851</v>
      </c>
      <c r="E1229" s="24" t="s">
        <v>444</v>
      </c>
    </row>
    <row r="1230" spans="1:5" x14ac:dyDescent="0.3">
      <c r="A1230">
        <v>1229</v>
      </c>
      <c r="B1230" s="24" t="s">
        <v>2308</v>
      </c>
      <c r="C1230" s="24" t="s">
        <v>666</v>
      </c>
      <c r="D1230" s="24" t="s">
        <v>850</v>
      </c>
      <c r="E1230" s="24" t="s">
        <v>444</v>
      </c>
    </row>
    <row r="1231" spans="1:5" x14ac:dyDescent="0.3">
      <c r="A1231">
        <v>1230</v>
      </c>
      <c r="B1231" s="24" t="s">
        <v>2309</v>
      </c>
      <c r="C1231" s="24" t="s">
        <v>667</v>
      </c>
      <c r="D1231" s="24" t="s">
        <v>854</v>
      </c>
      <c r="E1231" s="24" t="s">
        <v>443</v>
      </c>
    </row>
    <row r="1232" spans="1:5" x14ac:dyDescent="0.3">
      <c r="A1232">
        <v>1231</v>
      </c>
      <c r="B1232" s="24" t="s">
        <v>2310</v>
      </c>
      <c r="C1232" s="24" t="s">
        <v>667</v>
      </c>
      <c r="D1232" s="24" t="s">
        <v>855</v>
      </c>
      <c r="E1232" s="24" t="s">
        <v>443</v>
      </c>
    </row>
    <row r="1233" spans="1:5" x14ac:dyDescent="0.3">
      <c r="A1233">
        <v>1232</v>
      </c>
      <c r="B1233" s="24" t="s">
        <v>2311</v>
      </c>
      <c r="C1233" s="24" t="s">
        <v>667</v>
      </c>
      <c r="D1233" s="24" t="s">
        <v>857</v>
      </c>
      <c r="E1233" s="24" t="s">
        <v>443</v>
      </c>
    </row>
    <row r="1234" spans="1:5" x14ac:dyDescent="0.3">
      <c r="A1234">
        <v>1233</v>
      </c>
      <c r="B1234" s="24" t="s">
        <v>2312</v>
      </c>
      <c r="C1234" s="24" t="s">
        <v>667</v>
      </c>
      <c r="D1234" s="24" t="s">
        <v>856</v>
      </c>
      <c r="E1234" s="24" t="s">
        <v>443</v>
      </c>
    </row>
    <row r="1235" spans="1:5" x14ac:dyDescent="0.3">
      <c r="A1235">
        <v>1234</v>
      </c>
      <c r="B1235" s="24" t="s">
        <v>2313</v>
      </c>
      <c r="C1235" s="24" t="s">
        <v>667</v>
      </c>
      <c r="D1235" s="24" t="s">
        <v>851</v>
      </c>
      <c r="E1235" s="24" t="s">
        <v>444</v>
      </c>
    </row>
    <row r="1236" spans="1:5" x14ac:dyDescent="0.3">
      <c r="A1236">
        <v>1235</v>
      </c>
      <c r="B1236" s="24" t="s">
        <v>2314</v>
      </c>
      <c r="C1236" s="24" t="s">
        <v>667</v>
      </c>
      <c r="D1236" s="24" t="s">
        <v>850</v>
      </c>
      <c r="E1236" s="24" t="s">
        <v>444</v>
      </c>
    </row>
    <row r="1237" spans="1:5" x14ac:dyDescent="0.3">
      <c r="A1237">
        <v>1236</v>
      </c>
      <c r="B1237" s="24" t="s">
        <v>2315</v>
      </c>
      <c r="C1237" s="24" t="s">
        <v>668</v>
      </c>
      <c r="D1237" s="24" t="s">
        <v>854</v>
      </c>
      <c r="E1237" s="24" t="s">
        <v>443</v>
      </c>
    </row>
    <row r="1238" spans="1:5" x14ac:dyDescent="0.3">
      <c r="A1238">
        <v>1237</v>
      </c>
      <c r="B1238" s="24" t="s">
        <v>2316</v>
      </c>
      <c r="C1238" s="24" t="s">
        <v>668</v>
      </c>
      <c r="D1238" s="24" t="s">
        <v>855</v>
      </c>
      <c r="E1238" s="24" t="s">
        <v>443</v>
      </c>
    </row>
    <row r="1239" spans="1:5" x14ac:dyDescent="0.3">
      <c r="A1239">
        <v>1238</v>
      </c>
      <c r="B1239" s="24" t="s">
        <v>2317</v>
      </c>
      <c r="C1239" s="24" t="s">
        <v>668</v>
      </c>
      <c r="D1239" s="24" t="s">
        <v>857</v>
      </c>
      <c r="E1239" s="24" t="s">
        <v>443</v>
      </c>
    </row>
    <row r="1240" spans="1:5" x14ac:dyDescent="0.3">
      <c r="A1240">
        <v>1239</v>
      </c>
      <c r="B1240" s="24" t="s">
        <v>2318</v>
      </c>
      <c r="C1240" s="24" t="s">
        <v>668</v>
      </c>
      <c r="D1240" s="24" t="s">
        <v>856</v>
      </c>
      <c r="E1240" s="24" t="s">
        <v>443</v>
      </c>
    </row>
    <row r="1241" spans="1:5" x14ac:dyDescent="0.3">
      <c r="A1241">
        <v>1240</v>
      </c>
      <c r="B1241" s="24" t="s">
        <v>2319</v>
      </c>
      <c r="C1241" s="24" t="s">
        <v>668</v>
      </c>
      <c r="D1241" s="24" t="s">
        <v>851</v>
      </c>
      <c r="E1241" s="24" t="s">
        <v>444</v>
      </c>
    </row>
    <row r="1242" spans="1:5" x14ac:dyDescent="0.3">
      <c r="A1242">
        <v>1241</v>
      </c>
      <c r="B1242" s="24" t="s">
        <v>2320</v>
      </c>
      <c r="C1242" s="24" t="s">
        <v>668</v>
      </c>
      <c r="D1242" s="24" t="s">
        <v>850</v>
      </c>
      <c r="E1242" s="24" t="s">
        <v>444</v>
      </c>
    </row>
    <row r="1243" spans="1:5" x14ac:dyDescent="0.3">
      <c r="A1243">
        <v>1242</v>
      </c>
      <c r="B1243" s="24" t="s">
        <v>2321</v>
      </c>
      <c r="C1243" s="24" t="s">
        <v>669</v>
      </c>
      <c r="D1243" s="24" t="s">
        <v>854</v>
      </c>
      <c r="E1243" s="24" t="s">
        <v>443</v>
      </c>
    </row>
    <row r="1244" spans="1:5" x14ac:dyDescent="0.3">
      <c r="A1244">
        <v>1243</v>
      </c>
      <c r="B1244" s="24" t="s">
        <v>2322</v>
      </c>
      <c r="C1244" s="24" t="s">
        <v>669</v>
      </c>
      <c r="D1244" s="24" t="s">
        <v>855</v>
      </c>
      <c r="E1244" s="24" t="s">
        <v>443</v>
      </c>
    </row>
    <row r="1245" spans="1:5" x14ac:dyDescent="0.3">
      <c r="A1245">
        <v>1244</v>
      </c>
      <c r="B1245" s="24" t="s">
        <v>2323</v>
      </c>
      <c r="C1245" s="24" t="s">
        <v>669</v>
      </c>
      <c r="D1245" s="24" t="s">
        <v>857</v>
      </c>
      <c r="E1245" s="24" t="s">
        <v>443</v>
      </c>
    </row>
    <row r="1246" spans="1:5" x14ac:dyDescent="0.3">
      <c r="A1246">
        <v>1245</v>
      </c>
      <c r="B1246" s="24" t="s">
        <v>2324</v>
      </c>
      <c r="C1246" s="24" t="s">
        <v>669</v>
      </c>
      <c r="D1246" s="24" t="s">
        <v>856</v>
      </c>
      <c r="E1246" s="24" t="s">
        <v>443</v>
      </c>
    </row>
    <row r="1247" spans="1:5" x14ac:dyDescent="0.3">
      <c r="A1247">
        <v>1246</v>
      </c>
      <c r="B1247" s="24" t="s">
        <v>2325</v>
      </c>
      <c r="C1247" s="24" t="s">
        <v>669</v>
      </c>
      <c r="D1247" s="24" t="s">
        <v>851</v>
      </c>
      <c r="E1247" s="24" t="s">
        <v>444</v>
      </c>
    </row>
    <row r="1248" spans="1:5" x14ac:dyDescent="0.3">
      <c r="A1248">
        <v>1247</v>
      </c>
      <c r="B1248" s="24" t="s">
        <v>2326</v>
      </c>
      <c r="C1248" s="24" t="s">
        <v>669</v>
      </c>
      <c r="D1248" s="24" t="s">
        <v>850</v>
      </c>
      <c r="E1248" s="24" t="s">
        <v>444</v>
      </c>
    </row>
    <row r="1249" spans="1:5" x14ac:dyDescent="0.3">
      <c r="A1249">
        <v>1248</v>
      </c>
      <c r="B1249" s="24" t="s">
        <v>2327</v>
      </c>
      <c r="C1249" s="24" t="s">
        <v>670</v>
      </c>
      <c r="D1249" s="24" t="s">
        <v>854</v>
      </c>
      <c r="E1249" s="24" t="s">
        <v>443</v>
      </c>
    </row>
    <row r="1250" spans="1:5" x14ac:dyDescent="0.3">
      <c r="A1250">
        <v>1249</v>
      </c>
      <c r="B1250" s="24" t="s">
        <v>2328</v>
      </c>
      <c r="C1250" s="24" t="s">
        <v>670</v>
      </c>
      <c r="D1250" s="24" t="s">
        <v>855</v>
      </c>
      <c r="E1250" s="24" t="s">
        <v>443</v>
      </c>
    </row>
    <row r="1251" spans="1:5" x14ac:dyDescent="0.3">
      <c r="A1251">
        <v>1250</v>
      </c>
      <c r="B1251" s="24" t="s">
        <v>2329</v>
      </c>
      <c r="C1251" s="24" t="s">
        <v>670</v>
      </c>
      <c r="D1251" s="24" t="s">
        <v>857</v>
      </c>
      <c r="E1251" s="24" t="s">
        <v>443</v>
      </c>
    </row>
    <row r="1252" spans="1:5" x14ac:dyDescent="0.3">
      <c r="A1252">
        <v>1251</v>
      </c>
      <c r="B1252" s="24" t="s">
        <v>2330</v>
      </c>
      <c r="C1252" s="24" t="s">
        <v>670</v>
      </c>
      <c r="D1252" s="24" t="s">
        <v>856</v>
      </c>
      <c r="E1252" s="24" t="s">
        <v>443</v>
      </c>
    </row>
    <row r="1253" spans="1:5" x14ac:dyDescent="0.3">
      <c r="A1253">
        <v>1252</v>
      </c>
      <c r="B1253" s="24" t="s">
        <v>2331</v>
      </c>
      <c r="C1253" s="24" t="s">
        <v>670</v>
      </c>
      <c r="D1253" s="24" t="s">
        <v>851</v>
      </c>
      <c r="E1253" s="24" t="s">
        <v>444</v>
      </c>
    </row>
    <row r="1254" spans="1:5" x14ac:dyDescent="0.3">
      <c r="A1254">
        <v>1253</v>
      </c>
      <c r="B1254" s="24" t="s">
        <v>2332</v>
      </c>
      <c r="C1254" s="24" t="s">
        <v>670</v>
      </c>
      <c r="D1254" s="24" t="s">
        <v>850</v>
      </c>
      <c r="E1254" s="24" t="s">
        <v>444</v>
      </c>
    </row>
    <row r="1255" spans="1:5" x14ac:dyDescent="0.3">
      <c r="A1255">
        <v>1254</v>
      </c>
      <c r="B1255" s="24" t="s">
        <v>2333</v>
      </c>
      <c r="C1255" s="24" t="s">
        <v>671</v>
      </c>
      <c r="D1255" s="24" t="s">
        <v>854</v>
      </c>
      <c r="E1255" s="24" t="s">
        <v>443</v>
      </c>
    </row>
    <row r="1256" spans="1:5" x14ac:dyDescent="0.3">
      <c r="A1256">
        <v>1255</v>
      </c>
      <c r="B1256" s="24" t="s">
        <v>2334</v>
      </c>
      <c r="C1256" s="24" t="s">
        <v>671</v>
      </c>
      <c r="D1256" s="24" t="s">
        <v>855</v>
      </c>
      <c r="E1256" s="24" t="s">
        <v>443</v>
      </c>
    </row>
    <row r="1257" spans="1:5" x14ac:dyDescent="0.3">
      <c r="A1257">
        <v>1256</v>
      </c>
      <c r="B1257" s="24" t="s">
        <v>2335</v>
      </c>
      <c r="C1257" s="24" t="s">
        <v>671</v>
      </c>
      <c r="D1257" s="24" t="s">
        <v>857</v>
      </c>
      <c r="E1257" s="24" t="s">
        <v>443</v>
      </c>
    </row>
    <row r="1258" spans="1:5" x14ac:dyDescent="0.3">
      <c r="A1258">
        <v>1257</v>
      </c>
      <c r="B1258" s="24" t="s">
        <v>2336</v>
      </c>
      <c r="C1258" s="24" t="s">
        <v>671</v>
      </c>
      <c r="D1258" s="24" t="s">
        <v>856</v>
      </c>
      <c r="E1258" s="24" t="s">
        <v>443</v>
      </c>
    </row>
    <row r="1259" spans="1:5" x14ac:dyDescent="0.3">
      <c r="A1259">
        <v>1258</v>
      </c>
      <c r="B1259" s="24" t="s">
        <v>2337</v>
      </c>
      <c r="C1259" s="24" t="s">
        <v>671</v>
      </c>
      <c r="D1259" s="24" t="s">
        <v>851</v>
      </c>
      <c r="E1259" s="24" t="s">
        <v>444</v>
      </c>
    </row>
    <row r="1260" spans="1:5" x14ac:dyDescent="0.3">
      <c r="A1260">
        <v>1259</v>
      </c>
      <c r="B1260" s="24" t="s">
        <v>2338</v>
      </c>
      <c r="C1260" s="24" t="s">
        <v>671</v>
      </c>
      <c r="D1260" s="24" t="s">
        <v>850</v>
      </c>
      <c r="E1260" s="24" t="s">
        <v>444</v>
      </c>
    </row>
    <row r="1261" spans="1:5" x14ac:dyDescent="0.3">
      <c r="A1261">
        <v>1260</v>
      </c>
      <c r="B1261" s="24" t="s">
        <v>2339</v>
      </c>
      <c r="C1261" s="24" t="s">
        <v>672</v>
      </c>
      <c r="D1261" s="24" t="s">
        <v>854</v>
      </c>
      <c r="E1261" s="24" t="s">
        <v>443</v>
      </c>
    </row>
    <row r="1262" spans="1:5" x14ac:dyDescent="0.3">
      <c r="A1262">
        <v>1261</v>
      </c>
      <c r="B1262" s="24" t="s">
        <v>2340</v>
      </c>
      <c r="C1262" s="24" t="s">
        <v>672</v>
      </c>
      <c r="D1262" s="24" t="s">
        <v>855</v>
      </c>
      <c r="E1262" s="24" t="s">
        <v>443</v>
      </c>
    </row>
    <row r="1263" spans="1:5" x14ac:dyDescent="0.3">
      <c r="A1263">
        <v>1262</v>
      </c>
      <c r="B1263" s="24" t="s">
        <v>2341</v>
      </c>
      <c r="C1263" s="24" t="s">
        <v>672</v>
      </c>
      <c r="D1263" s="24" t="s">
        <v>857</v>
      </c>
      <c r="E1263" s="24" t="s">
        <v>443</v>
      </c>
    </row>
    <row r="1264" spans="1:5" x14ac:dyDescent="0.3">
      <c r="A1264">
        <v>1263</v>
      </c>
      <c r="B1264" s="24" t="s">
        <v>2342</v>
      </c>
      <c r="C1264" s="24" t="s">
        <v>672</v>
      </c>
      <c r="D1264" s="24" t="s">
        <v>856</v>
      </c>
      <c r="E1264" s="24" t="s">
        <v>443</v>
      </c>
    </row>
    <row r="1265" spans="1:5" x14ac:dyDescent="0.3">
      <c r="A1265">
        <v>1264</v>
      </c>
      <c r="B1265" s="24" t="s">
        <v>2343</v>
      </c>
      <c r="C1265" s="24" t="s">
        <v>672</v>
      </c>
      <c r="D1265" s="24" t="s">
        <v>851</v>
      </c>
      <c r="E1265" s="24" t="s">
        <v>444</v>
      </c>
    </row>
    <row r="1266" spans="1:5" x14ac:dyDescent="0.3">
      <c r="A1266">
        <v>1265</v>
      </c>
      <c r="B1266" s="24" t="s">
        <v>2344</v>
      </c>
      <c r="C1266" s="24" t="s">
        <v>672</v>
      </c>
      <c r="D1266" s="24" t="s">
        <v>850</v>
      </c>
      <c r="E1266" s="24" t="s">
        <v>444</v>
      </c>
    </row>
    <row r="1267" spans="1:5" x14ac:dyDescent="0.3">
      <c r="A1267">
        <v>1266</v>
      </c>
      <c r="B1267" s="24" t="s">
        <v>2345</v>
      </c>
      <c r="C1267" s="24" t="s">
        <v>798</v>
      </c>
      <c r="D1267" s="24" t="s">
        <v>846</v>
      </c>
      <c r="E1267" s="24" t="s">
        <v>497</v>
      </c>
    </row>
    <row r="1268" spans="1:5" x14ac:dyDescent="0.3">
      <c r="A1268">
        <v>1267</v>
      </c>
      <c r="B1268" s="24" t="s">
        <v>2346</v>
      </c>
      <c r="C1268" s="24" t="s">
        <v>798</v>
      </c>
      <c r="D1268" s="24" t="s">
        <v>847</v>
      </c>
      <c r="E1268" s="24" t="s">
        <v>443</v>
      </c>
    </row>
    <row r="1269" spans="1:5" x14ac:dyDescent="0.3">
      <c r="A1269">
        <v>1268</v>
      </c>
      <c r="B1269" s="24" t="s">
        <v>2347</v>
      </c>
      <c r="C1269" s="24" t="s">
        <v>798</v>
      </c>
      <c r="D1269" s="24" t="s">
        <v>848</v>
      </c>
      <c r="E1269" s="24" t="s">
        <v>443</v>
      </c>
    </row>
    <row r="1270" spans="1:5" x14ac:dyDescent="0.3">
      <c r="A1270">
        <v>1269</v>
      </c>
      <c r="B1270" s="24" t="s">
        <v>2348</v>
      </c>
      <c r="C1270" s="24" t="s">
        <v>798</v>
      </c>
      <c r="D1270" s="24" t="s">
        <v>849</v>
      </c>
      <c r="E1270" s="24" t="s">
        <v>443</v>
      </c>
    </row>
    <row r="1271" spans="1:5" x14ac:dyDescent="0.3">
      <c r="A1271">
        <v>1270</v>
      </c>
      <c r="B1271" s="24" t="s">
        <v>2349</v>
      </c>
      <c r="C1271" s="24" t="s">
        <v>798</v>
      </c>
      <c r="D1271" s="24" t="s">
        <v>851</v>
      </c>
      <c r="E1271" s="24" t="s">
        <v>444</v>
      </c>
    </row>
    <row r="1272" spans="1:5" x14ac:dyDescent="0.3">
      <c r="A1272">
        <v>1271</v>
      </c>
      <c r="B1272" s="24" t="s">
        <v>2350</v>
      </c>
      <c r="C1272" s="24" t="s">
        <v>798</v>
      </c>
      <c r="D1272" s="24" t="s">
        <v>850</v>
      </c>
      <c r="E1272" s="24" t="s">
        <v>444</v>
      </c>
    </row>
    <row r="1273" spans="1:5" x14ac:dyDescent="0.3">
      <c r="A1273">
        <v>1272</v>
      </c>
      <c r="B1273" s="24" t="s">
        <v>2351</v>
      </c>
      <c r="C1273" s="24" t="s">
        <v>799</v>
      </c>
      <c r="D1273" s="24" t="s">
        <v>846</v>
      </c>
      <c r="E1273" s="24" t="s">
        <v>497</v>
      </c>
    </row>
    <row r="1274" spans="1:5" x14ac:dyDescent="0.3">
      <c r="A1274">
        <v>1273</v>
      </c>
      <c r="B1274" s="24" t="s">
        <v>2352</v>
      </c>
      <c r="C1274" s="24" t="s">
        <v>799</v>
      </c>
      <c r="D1274" s="24" t="s">
        <v>847</v>
      </c>
      <c r="E1274" s="24" t="s">
        <v>443</v>
      </c>
    </row>
    <row r="1275" spans="1:5" x14ac:dyDescent="0.3">
      <c r="A1275">
        <v>1274</v>
      </c>
      <c r="B1275" s="24" t="s">
        <v>2353</v>
      </c>
      <c r="C1275" s="24" t="s">
        <v>799</v>
      </c>
      <c r="D1275" s="24" t="s">
        <v>848</v>
      </c>
      <c r="E1275" s="24" t="s">
        <v>443</v>
      </c>
    </row>
    <row r="1276" spans="1:5" x14ac:dyDescent="0.3">
      <c r="A1276">
        <v>1275</v>
      </c>
      <c r="B1276" s="24" t="s">
        <v>2354</v>
      </c>
      <c r="C1276" s="24" t="s">
        <v>799</v>
      </c>
      <c r="D1276" s="24" t="s">
        <v>849</v>
      </c>
      <c r="E1276" s="24" t="s">
        <v>443</v>
      </c>
    </row>
    <row r="1277" spans="1:5" x14ac:dyDescent="0.3">
      <c r="A1277">
        <v>1276</v>
      </c>
      <c r="B1277" s="24" t="s">
        <v>2355</v>
      </c>
      <c r="C1277" s="24" t="s">
        <v>799</v>
      </c>
      <c r="D1277" s="24" t="s">
        <v>851</v>
      </c>
      <c r="E1277" s="24" t="s">
        <v>444</v>
      </c>
    </row>
    <row r="1278" spans="1:5" x14ac:dyDescent="0.3">
      <c r="A1278">
        <v>1277</v>
      </c>
      <c r="B1278" s="24" t="s">
        <v>2356</v>
      </c>
      <c r="C1278" s="24" t="s">
        <v>799</v>
      </c>
      <c r="D1278" s="24" t="s">
        <v>850</v>
      </c>
      <c r="E1278" s="24" t="s">
        <v>444</v>
      </c>
    </row>
    <row r="1279" spans="1:5" x14ac:dyDescent="0.3">
      <c r="A1279">
        <v>1278</v>
      </c>
      <c r="B1279" s="24" t="s">
        <v>2357</v>
      </c>
      <c r="C1279" s="24" t="s">
        <v>673</v>
      </c>
      <c r="D1279" s="24" t="s">
        <v>846</v>
      </c>
      <c r="E1279" s="24" t="s">
        <v>497</v>
      </c>
    </row>
    <row r="1280" spans="1:5" x14ac:dyDescent="0.3">
      <c r="A1280">
        <v>1279</v>
      </c>
      <c r="B1280" s="24" t="s">
        <v>2358</v>
      </c>
      <c r="C1280" s="24" t="s">
        <v>673</v>
      </c>
      <c r="D1280" s="24" t="s">
        <v>847</v>
      </c>
      <c r="E1280" s="24" t="s">
        <v>443</v>
      </c>
    </row>
    <row r="1281" spans="1:5" x14ac:dyDescent="0.3">
      <c r="A1281">
        <v>1280</v>
      </c>
      <c r="B1281" s="24" t="s">
        <v>2359</v>
      </c>
      <c r="C1281" s="24" t="s">
        <v>673</v>
      </c>
      <c r="D1281" s="24" t="s">
        <v>848</v>
      </c>
      <c r="E1281" s="24" t="s">
        <v>443</v>
      </c>
    </row>
    <row r="1282" spans="1:5" x14ac:dyDescent="0.3">
      <c r="A1282">
        <v>1281</v>
      </c>
      <c r="B1282" s="24" t="s">
        <v>2360</v>
      </c>
      <c r="C1282" s="24" t="s">
        <v>673</v>
      </c>
      <c r="D1282" s="24" t="s">
        <v>849</v>
      </c>
      <c r="E1282" s="24" t="s">
        <v>443</v>
      </c>
    </row>
    <row r="1283" spans="1:5" x14ac:dyDescent="0.3">
      <c r="A1283">
        <v>1282</v>
      </c>
      <c r="B1283" s="24" t="s">
        <v>2361</v>
      </c>
      <c r="C1283" s="24" t="s">
        <v>673</v>
      </c>
      <c r="D1283" s="24" t="s">
        <v>851</v>
      </c>
      <c r="E1283" s="24" t="s">
        <v>444</v>
      </c>
    </row>
    <row r="1284" spans="1:5" x14ac:dyDescent="0.3">
      <c r="A1284">
        <v>1283</v>
      </c>
      <c r="B1284" s="24" t="s">
        <v>2362</v>
      </c>
      <c r="C1284" s="24" t="s">
        <v>673</v>
      </c>
      <c r="D1284" s="24" t="s">
        <v>850</v>
      </c>
      <c r="E1284" s="24" t="s">
        <v>444</v>
      </c>
    </row>
    <row r="1285" spans="1:5" x14ac:dyDescent="0.3">
      <c r="A1285">
        <v>1284</v>
      </c>
      <c r="B1285" s="24" t="s">
        <v>2363</v>
      </c>
      <c r="C1285" s="24" t="s">
        <v>674</v>
      </c>
      <c r="D1285" s="24" t="s">
        <v>846</v>
      </c>
      <c r="E1285" s="24" t="s">
        <v>497</v>
      </c>
    </row>
    <row r="1286" spans="1:5" x14ac:dyDescent="0.3">
      <c r="A1286">
        <v>1285</v>
      </c>
      <c r="B1286" s="24" t="s">
        <v>2364</v>
      </c>
      <c r="C1286" s="24" t="s">
        <v>674</v>
      </c>
      <c r="D1286" s="24" t="s">
        <v>847</v>
      </c>
      <c r="E1286" s="24" t="s">
        <v>443</v>
      </c>
    </row>
    <row r="1287" spans="1:5" x14ac:dyDescent="0.3">
      <c r="A1287">
        <v>1286</v>
      </c>
      <c r="B1287" s="24" t="s">
        <v>2365</v>
      </c>
      <c r="C1287" s="24" t="s">
        <v>674</v>
      </c>
      <c r="D1287" s="24" t="s">
        <v>848</v>
      </c>
      <c r="E1287" s="24" t="s">
        <v>443</v>
      </c>
    </row>
    <row r="1288" spans="1:5" x14ac:dyDescent="0.3">
      <c r="A1288">
        <v>1287</v>
      </c>
      <c r="B1288" s="24" t="s">
        <v>2366</v>
      </c>
      <c r="C1288" s="24" t="s">
        <v>674</v>
      </c>
      <c r="D1288" s="24" t="s">
        <v>849</v>
      </c>
      <c r="E1288" s="24" t="s">
        <v>443</v>
      </c>
    </row>
    <row r="1289" spans="1:5" x14ac:dyDescent="0.3">
      <c r="A1289">
        <v>1288</v>
      </c>
      <c r="B1289" s="24" t="s">
        <v>2367</v>
      </c>
      <c r="C1289" s="24" t="s">
        <v>674</v>
      </c>
      <c r="D1289" s="24" t="s">
        <v>851</v>
      </c>
      <c r="E1289" s="24" t="s">
        <v>444</v>
      </c>
    </row>
    <row r="1290" spans="1:5" x14ac:dyDescent="0.3">
      <c r="A1290">
        <v>1289</v>
      </c>
      <c r="B1290" s="24" t="s">
        <v>2368</v>
      </c>
      <c r="C1290" s="24" t="s">
        <v>674</v>
      </c>
      <c r="D1290" s="24" t="s">
        <v>850</v>
      </c>
      <c r="E1290" s="24" t="s">
        <v>444</v>
      </c>
    </row>
    <row r="1291" spans="1:5" x14ac:dyDescent="0.3">
      <c r="A1291">
        <v>1290</v>
      </c>
      <c r="B1291" s="24" t="s">
        <v>2369</v>
      </c>
      <c r="C1291" s="24" t="s">
        <v>675</v>
      </c>
      <c r="D1291" s="24" t="s">
        <v>846</v>
      </c>
      <c r="E1291" s="24" t="s">
        <v>497</v>
      </c>
    </row>
    <row r="1292" spans="1:5" x14ac:dyDescent="0.3">
      <c r="A1292">
        <v>1291</v>
      </c>
      <c r="B1292" s="24" t="s">
        <v>2370</v>
      </c>
      <c r="C1292" s="24" t="s">
        <v>675</v>
      </c>
      <c r="D1292" s="24" t="s">
        <v>847</v>
      </c>
      <c r="E1292" s="24" t="s">
        <v>443</v>
      </c>
    </row>
    <row r="1293" spans="1:5" x14ac:dyDescent="0.3">
      <c r="A1293">
        <v>1292</v>
      </c>
      <c r="B1293" s="24" t="s">
        <v>2371</v>
      </c>
      <c r="C1293" s="24" t="s">
        <v>675</v>
      </c>
      <c r="D1293" s="24" t="s">
        <v>848</v>
      </c>
      <c r="E1293" s="24" t="s">
        <v>443</v>
      </c>
    </row>
    <row r="1294" spans="1:5" x14ac:dyDescent="0.3">
      <c r="A1294">
        <v>1293</v>
      </c>
      <c r="B1294" s="24" t="s">
        <v>2372</v>
      </c>
      <c r="C1294" s="24" t="s">
        <v>675</v>
      </c>
      <c r="D1294" s="24" t="s">
        <v>849</v>
      </c>
      <c r="E1294" s="24" t="s">
        <v>443</v>
      </c>
    </row>
    <row r="1295" spans="1:5" x14ac:dyDescent="0.3">
      <c r="A1295">
        <v>1294</v>
      </c>
      <c r="B1295" s="24" t="s">
        <v>2373</v>
      </c>
      <c r="C1295" s="24" t="s">
        <v>675</v>
      </c>
      <c r="D1295" s="24" t="s">
        <v>851</v>
      </c>
      <c r="E1295" s="24" t="s">
        <v>444</v>
      </c>
    </row>
    <row r="1296" spans="1:5" x14ac:dyDescent="0.3">
      <c r="A1296">
        <v>1295</v>
      </c>
      <c r="B1296" s="24" t="s">
        <v>2374</v>
      </c>
      <c r="C1296" s="24" t="s">
        <v>675</v>
      </c>
      <c r="D1296" s="24" t="s">
        <v>850</v>
      </c>
      <c r="E1296" s="24" t="s">
        <v>444</v>
      </c>
    </row>
    <row r="1297" spans="1:5" x14ac:dyDescent="0.3">
      <c r="A1297">
        <v>1296</v>
      </c>
      <c r="B1297" s="24" t="s">
        <v>2375</v>
      </c>
      <c r="C1297" s="24" t="s">
        <v>676</v>
      </c>
      <c r="D1297" s="24" t="s">
        <v>846</v>
      </c>
      <c r="E1297" s="24" t="s">
        <v>497</v>
      </c>
    </row>
    <row r="1298" spans="1:5" x14ac:dyDescent="0.3">
      <c r="A1298">
        <v>1297</v>
      </c>
      <c r="B1298" s="24" t="s">
        <v>2376</v>
      </c>
      <c r="C1298" s="24" t="s">
        <v>676</v>
      </c>
      <c r="D1298" s="24" t="s">
        <v>847</v>
      </c>
      <c r="E1298" s="24" t="s">
        <v>443</v>
      </c>
    </row>
    <row r="1299" spans="1:5" x14ac:dyDescent="0.3">
      <c r="A1299">
        <v>1298</v>
      </c>
      <c r="B1299" s="24" t="s">
        <v>2377</v>
      </c>
      <c r="C1299" s="24" t="s">
        <v>676</v>
      </c>
      <c r="D1299" s="24" t="s">
        <v>848</v>
      </c>
      <c r="E1299" s="24" t="s">
        <v>443</v>
      </c>
    </row>
    <row r="1300" spans="1:5" x14ac:dyDescent="0.3">
      <c r="A1300">
        <v>1299</v>
      </c>
      <c r="B1300" s="24" t="s">
        <v>2378</v>
      </c>
      <c r="C1300" s="24" t="s">
        <v>676</v>
      </c>
      <c r="D1300" s="24" t="s">
        <v>849</v>
      </c>
      <c r="E1300" s="24" t="s">
        <v>443</v>
      </c>
    </row>
    <row r="1301" spans="1:5" x14ac:dyDescent="0.3">
      <c r="A1301">
        <v>1300</v>
      </c>
      <c r="B1301" s="24" t="s">
        <v>2379</v>
      </c>
      <c r="C1301" s="24" t="s">
        <v>676</v>
      </c>
      <c r="D1301" s="24" t="s">
        <v>851</v>
      </c>
      <c r="E1301" s="24" t="s">
        <v>444</v>
      </c>
    </row>
    <row r="1302" spans="1:5" x14ac:dyDescent="0.3">
      <c r="A1302">
        <v>1301</v>
      </c>
      <c r="B1302" s="24" t="s">
        <v>2380</v>
      </c>
      <c r="C1302" s="24" t="s">
        <v>676</v>
      </c>
      <c r="D1302" s="24" t="s">
        <v>850</v>
      </c>
      <c r="E1302" s="24" t="s">
        <v>444</v>
      </c>
    </row>
    <row r="1303" spans="1:5" x14ac:dyDescent="0.3">
      <c r="A1303">
        <v>1302</v>
      </c>
      <c r="B1303" s="24" t="s">
        <v>2381</v>
      </c>
      <c r="C1303" s="24" t="s">
        <v>677</v>
      </c>
      <c r="D1303" s="24" t="s">
        <v>846</v>
      </c>
      <c r="E1303" s="24" t="s">
        <v>497</v>
      </c>
    </row>
    <row r="1304" spans="1:5" x14ac:dyDescent="0.3">
      <c r="A1304">
        <v>1303</v>
      </c>
      <c r="B1304" s="24" t="s">
        <v>2382</v>
      </c>
      <c r="C1304" s="24" t="s">
        <v>677</v>
      </c>
      <c r="D1304" s="24" t="s">
        <v>847</v>
      </c>
      <c r="E1304" s="24" t="s">
        <v>443</v>
      </c>
    </row>
    <row r="1305" spans="1:5" x14ac:dyDescent="0.3">
      <c r="A1305">
        <v>1304</v>
      </c>
      <c r="B1305" s="24" t="s">
        <v>2383</v>
      </c>
      <c r="C1305" s="24" t="s">
        <v>677</v>
      </c>
      <c r="D1305" s="24" t="s">
        <v>848</v>
      </c>
      <c r="E1305" s="24" t="s">
        <v>443</v>
      </c>
    </row>
    <row r="1306" spans="1:5" x14ac:dyDescent="0.3">
      <c r="A1306">
        <v>1305</v>
      </c>
      <c r="B1306" s="24" t="s">
        <v>2384</v>
      </c>
      <c r="C1306" s="24" t="s">
        <v>677</v>
      </c>
      <c r="D1306" s="24" t="s">
        <v>849</v>
      </c>
      <c r="E1306" s="24" t="s">
        <v>443</v>
      </c>
    </row>
    <row r="1307" spans="1:5" x14ac:dyDescent="0.3">
      <c r="A1307">
        <v>1306</v>
      </c>
      <c r="B1307" s="24" t="s">
        <v>2385</v>
      </c>
      <c r="C1307" s="24" t="s">
        <v>677</v>
      </c>
      <c r="D1307" s="24" t="s">
        <v>851</v>
      </c>
      <c r="E1307" s="24" t="s">
        <v>444</v>
      </c>
    </row>
    <row r="1308" spans="1:5" x14ac:dyDescent="0.3">
      <c r="A1308">
        <v>1307</v>
      </c>
      <c r="B1308" s="24" t="s">
        <v>2386</v>
      </c>
      <c r="C1308" s="24" t="s">
        <v>677</v>
      </c>
      <c r="D1308" s="24" t="s">
        <v>850</v>
      </c>
      <c r="E1308" s="24" t="s">
        <v>444</v>
      </c>
    </row>
    <row r="1309" spans="1:5" x14ac:dyDescent="0.3">
      <c r="A1309">
        <v>1308</v>
      </c>
      <c r="B1309" s="24" t="s">
        <v>2108</v>
      </c>
      <c r="C1309" s="24" t="s">
        <v>515</v>
      </c>
      <c r="D1309" s="24" t="s">
        <v>854</v>
      </c>
      <c r="E1309" s="24" t="s">
        <v>443</v>
      </c>
    </row>
    <row r="1310" spans="1:5" x14ac:dyDescent="0.3">
      <c r="A1310">
        <v>1309</v>
      </c>
      <c r="B1310" s="24" t="s">
        <v>2109</v>
      </c>
      <c r="C1310" s="24" t="s">
        <v>515</v>
      </c>
      <c r="D1310" s="24" t="s">
        <v>855</v>
      </c>
      <c r="E1310" s="24" t="s">
        <v>443</v>
      </c>
    </row>
    <row r="1311" spans="1:5" x14ac:dyDescent="0.3">
      <c r="A1311">
        <v>1310</v>
      </c>
      <c r="B1311" s="24" t="s">
        <v>2110</v>
      </c>
      <c r="C1311" s="24" t="s">
        <v>515</v>
      </c>
      <c r="D1311" s="24" t="s">
        <v>857</v>
      </c>
      <c r="E1311" s="24" t="s">
        <v>443</v>
      </c>
    </row>
    <row r="1312" spans="1:5" x14ac:dyDescent="0.3">
      <c r="A1312">
        <v>1311</v>
      </c>
      <c r="B1312" s="24" t="s">
        <v>2111</v>
      </c>
      <c r="C1312" s="24" t="s">
        <v>515</v>
      </c>
      <c r="D1312" s="24" t="s">
        <v>856</v>
      </c>
      <c r="E1312" s="24" t="s">
        <v>443</v>
      </c>
    </row>
    <row r="1313" spans="1:5" x14ac:dyDescent="0.3">
      <c r="A1313">
        <v>1312</v>
      </c>
      <c r="B1313" s="24" t="s">
        <v>2112</v>
      </c>
      <c r="C1313" s="24" t="s">
        <v>515</v>
      </c>
      <c r="D1313" s="24" t="s">
        <v>851</v>
      </c>
      <c r="E1313" s="24" t="s">
        <v>444</v>
      </c>
    </row>
    <row r="1314" spans="1:5" x14ac:dyDescent="0.3">
      <c r="A1314">
        <v>1313</v>
      </c>
      <c r="B1314" s="24" t="s">
        <v>2113</v>
      </c>
      <c r="C1314" s="24" t="s">
        <v>515</v>
      </c>
      <c r="D1314" s="24" t="s">
        <v>850</v>
      </c>
      <c r="E1314" s="24" t="s">
        <v>444</v>
      </c>
    </row>
    <row r="1315" spans="1:5" x14ac:dyDescent="0.3">
      <c r="A1315">
        <v>1314</v>
      </c>
      <c r="B1315" s="24" t="s">
        <v>2114</v>
      </c>
      <c r="C1315" s="24" t="s">
        <v>515</v>
      </c>
      <c r="D1315" s="24" t="s">
        <v>858</v>
      </c>
      <c r="E1315" s="24" t="s">
        <v>444</v>
      </c>
    </row>
    <row r="1316" spans="1:5" x14ac:dyDescent="0.3">
      <c r="A1316">
        <v>1315</v>
      </c>
      <c r="B1316" s="24" t="s">
        <v>2115</v>
      </c>
      <c r="C1316" s="24" t="s">
        <v>516</v>
      </c>
      <c r="D1316" s="24" t="s">
        <v>854</v>
      </c>
      <c r="E1316" s="24" t="s">
        <v>443</v>
      </c>
    </row>
    <row r="1317" spans="1:5" x14ac:dyDescent="0.3">
      <c r="A1317">
        <v>1316</v>
      </c>
      <c r="B1317" s="24" t="s">
        <v>2116</v>
      </c>
      <c r="C1317" s="24" t="s">
        <v>516</v>
      </c>
      <c r="D1317" s="24" t="s">
        <v>855</v>
      </c>
      <c r="E1317" s="24" t="s">
        <v>443</v>
      </c>
    </row>
    <row r="1318" spans="1:5" x14ac:dyDescent="0.3">
      <c r="A1318">
        <v>1317</v>
      </c>
      <c r="B1318" s="24" t="s">
        <v>2117</v>
      </c>
      <c r="C1318" s="24" t="s">
        <v>516</v>
      </c>
      <c r="D1318" s="24" t="s">
        <v>857</v>
      </c>
      <c r="E1318" s="24" t="s">
        <v>443</v>
      </c>
    </row>
    <row r="1319" spans="1:5" x14ac:dyDescent="0.3">
      <c r="A1319">
        <v>1318</v>
      </c>
      <c r="B1319" s="24" t="s">
        <v>2118</v>
      </c>
      <c r="C1319" s="24" t="s">
        <v>516</v>
      </c>
      <c r="D1319" s="24" t="s">
        <v>856</v>
      </c>
      <c r="E1319" s="24" t="s">
        <v>443</v>
      </c>
    </row>
    <row r="1320" spans="1:5" x14ac:dyDescent="0.3">
      <c r="A1320">
        <v>1319</v>
      </c>
      <c r="B1320" s="24" t="s">
        <v>2119</v>
      </c>
      <c r="C1320" s="24" t="s">
        <v>516</v>
      </c>
      <c r="D1320" s="24" t="s">
        <v>851</v>
      </c>
      <c r="E1320" s="24" t="s">
        <v>444</v>
      </c>
    </row>
    <row r="1321" spans="1:5" x14ac:dyDescent="0.3">
      <c r="A1321">
        <v>1320</v>
      </c>
      <c r="B1321" s="24" t="s">
        <v>2120</v>
      </c>
      <c r="C1321" s="24" t="s">
        <v>516</v>
      </c>
      <c r="D1321" s="24" t="s">
        <v>850</v>
      </c>
      <c r="E1321" s="24" t="s">
        <v>444</v>
      </c>
    </row>
    <row r="1322" spans="1:5" x14ac:dyDescent="0.3">
      <c r="A1322">
        <v>1321</v>
      </c>
      <c r="B1322" s="24" t="s">
        <v>2121</v>
      </c>
      <c r="C1322" s="24" t="s">
        <v>516</v>
      </c>
      <c r="D1322" s="24" t="s">
        <v>858</v>
      </c>
      <c r="E1322" s="24" t="s">
        <v>444</v>
      </c>
    </row>
    <row r="1323" spans="1:5" x14ac:dyDescent="0.3">
      <c r="A1323">
        <v>1322</v>
      </c>
      <c r="B1323" s="24" t="s">
        <v>2122</v>
      </c>
      <c r="C1323" s="24" t="s">
        <v>517</v>
      </c>
      <c r="D1323" s="24" t="s">
        <v>854</v>
      </c>
      <c r="E1323" s="24" t="s">
        <v>443</v>
      </c>
    </row>
    <row r="1324" spans="1:5" x14ac:dyDescent="0.3">
      <c r="A1324">
        <v>1323</v>
      </c>
      <c r="B1324" s="24" t="s">
        <v>2123</v>
      </c>
      <c r="C1324" s="24" t="s">
        <v>517</v>
      </c>
      <c r="D1324" s="24" t="s">
        <v>855</v>
      </c>
      <c r="E1324" s="24" t="s">
        <v>443</v>
      </c>
    </row>
    <row r="1325" spans="1:5" x14ac:dyDescent="0.3">
      <c r="A1325">
        <v>1324</v>
      </c>
      <c r="B1325" s="24" t="s">
        <v>2124</v>
      </c>
      <c r="C1325" s="24" t="s">
        <v>517</v>
      </c>
      <c r="D1325" s="24" t="s">
        <v>857</v>
      </c>
      <c r="E1325" s="24" t="s">
        <v>443</v>
      </c>
    </row>
    <row r="1326" spans="1:5" x14ac:dyDescent="0.3">
      <c r="A1326">
        <v>1325</v>
      </c>
      <c r="B1326" s="24" t="s">
        <v>2125</v>
      </c>
      <c r="C1326" s="24" t="s">
        <v>517</v>
      </c>
      <c r="D1326" s="24" t="s">
        <v>856</v>
      </c>
      <c r="E1326" s="24" t="s">
        <v>443</v>
      </c>
    </row>
    <row r="1327" spans="1:5" x14ac:dyDescent="0.3">
      <c r="A1327">
        <v>1326</v>
      </c>
      <c r="B1327" s="24" t="s">
        <v>2126</v>
      </c>
      <c r="C1327" s="24" t="s">
        <v>517</v>
      </c>
      <c r="D1327" s="24" t="s">
        <v>851</v>
      </c>
      <c r="E1327" s="24" t="s">
        <v>444</v>
      </c>
    </row>
    <row r="1328" spans="1:5" x14ac:dyDescent="0.3">
      <c r="A1328">
        <v>1327</v>
      </c>
      <c r="B1328" s="24" t="s">
        <v>2127</v>
      </c>
      <c r="C1328" s="24" t="s">
        <v>517</v>
      </c>
      <c r="D1328" s="24" t="s">
        <v>850</v>
      </c>
      <c r="E1328" s="24" t="s">
        <v>444</v>
      </c>
    </row>
    <row r="1329" spans="1:5" x14ac:dyDescent="0.3">
      <c r="A1329">
        <v>1328</v>
      </c>
      <c r="B1329" s="24" t="s">
        <v>2128</v>
      </c>
      <c r="C1329" s="24" t="s">
        <v>517</v>
      </c>
      <c r="D1329" s="24" t="s">
        <v>858</v>
      </c>
      <c r="E1329" s="24" t="s">
        <v>444</v>
      </c>
    </row>
    <row r="1330" spans="1:5" x14ac:dyDescent="0.3">
      <c r="A1330">
        <v>1329</v>
      </c>
      <c r="B1330" s="24" t="s">
        <v>2129</v>
      </c>
      <c r="C1330" s="24" t="s">
        <v>517</v>
      </c>
      <c r="D1330" s="24" t="s">
        <v>854</v>
      </c>
      <c r="E1330" s="24" t="s">
        <v>443</v>
      </c>
    </row>
    <row r="1331" spans="1:5" x14ac:dyDescent="0.3">
      <c r="A1331">
        <v>1330</v>
      </c>
      <c r="B1331" s="24" t="s">
        <v>2130</v>
      </c>
      <c r="C1331" s="24" t="s">
        <v>517</v>
      </c>
      <c r="D1331" s="24" t="s">
        <v>855</v>
      </c>
      <c r="E1331" s="24" t="s">
        <v>443</v>
      </c>
    </row>
    <row r="1332" spans="1:5" x14ac:dyDescent="0.3">
      <c r="A1332">
        <v>1331</v>
      </c>
      <c r="B1332" s="24" t="s">
        <v>2131</v>
      </c>
      <c r="C1332" s="24" t="s">
        <v>517</v>
      </c>
      <c r="D1332" s="24" t="s">
        <v>857</v>
      </c>
      <c r="E1332" s="24" t="s">
        <v>443</v>
      </c>
    </row>
    <row r="1333" spans="1:5" x14ac:dyDescent="0.3">
      <c r="A1333">
        <v>1332</v>
      </c>
      <c r="B1333" s="24" t="s">
        <v>2132</v>
      </c>
      <c r="C1333" s="24" t="s">
        <v>517</v>
      </c>
      <c r="D1333" s="24" t="s">
        <v>856</v>
      </c>
      <c r="E1333" s="24" t="s">
        <v>443</v>
      </c>
    </row>
    <row r="1334" spans="1:5" x14ac:dyDescent="0.3">
      <c r="A1334">
        <v>1333</v>
      </c>
      <c r="B1334" s="24" t="s">
        <v>2133</v>
      </c>
      <c r="C1334" s="24" t="s">
        <v>517</v>
      </c>
      <c r="D1334" s="24" t="s">
        <v>851</v>
      </c>
      <c r="E1334" s="24" t="s">
        <v>444</v>
      </c>
    </row>
    <row r="1335" spans="1:5" x14ac:dyDescent="0.3">
      <c r="A1335">
        <v>1334</v>
      </c>
      <c r="B1335" s="24" t="s">
        <v>2134</v>
      </c>
      <c r="C1335" s="24" t="s">
        <v>517</v>
      </c>
      <c r="D1335" s="24" t="s">
        <v>850</v>
      </c>
      <c r="E1335" s="24" t="s">
        <v>444</v>
      </c>
    </row>
    <row r="1336" spans="1:5" x14ac:dyDescent="0.3">
      <c r="A1336">
        <v>1335</v>
      </c>
      <c r="B1336" s="24" t="s">
        <v>2135</v>
      </c>
      <c r="C1336" s="24" t="s">
        <v>517</v>
      </c>
      <c r="D1336" s="24" t="s">
        <v>858</v>
      </c>
      <c r="E1336" s="24" t="s">
        <v>444</v>
      </c>
    </row>
    <row r="1337" spans="1:5" x14ac:dyDescent="0.3">
      <c r="A1337">
        <v>1336</v>
      </c>
      <c r="B1337" s="24" t="s">
        <v>2136</v>
      </c>
      <c r="C1337" s="24" t="s">
        <v>518</v>
      </c>
      <c r="D1337" s="24" t="s">
        <v>846</v>
      </c>
      <c r="E1337" s="24" t="s">
        <v>497</v>
      </c>
    </row>
    <row r="1338" spans="1:5" x14ac:dyDescent="0.3">
      <c r="A1338">
        <v>1337</v>
      </c>
      <c r="B1338" s="24" t="s">
        <v>2137</v>
      </c>
      <c r="C1338" s="24" t="s">
        <v>518</v>
      </c>
      <c r="D1338" s="24" t="s">
        <v>854</v>
      </c>
      <c r="E1338" s="24" t="s">
        <v>443</v>
      </c>
    </row>
    <row r="1339" spans="1:5" x14ac:dyDescent="0.3">
      <c r="A1339">
        <v>1338</v>
      </c>
      <c r="B1339" s="24" t="s">
        <v>2138</v>
      </c>
      <c r="C1339" s="24" t="s">
        <v>518</v>
      </c>
      <c r="D1339" s="24" t="s">
        <v>855</v>
      </c>
      <c r="E1339" s="24" t="s">
        <v>443</v>
      </c>
    </row>
    <row r="1340" spans="1:5" x14ac:dyDescent="0.3">
      <c r="A1340">
        <v>1339</v>
      </c>
      <c r="B1340" s="24" t="s">
        <v>2139</v>
      </c>
      <c r="C1340" s="24" t="s">
        <v>518</v>
      </c>
      <c r="D1340" s="24" t="s">
        <v>857</v>
      </c>
      <c r="E1340" s="24" t="s">
        <v>443</v>
      </c>
    </row>
    <row r="1341" spans="1:5" x14ac:dyDescent="0.3">
      <c r="A1341">
        <v>1340</v>
      </c>
      <c r="B1341" s="24" t="s">
        <v>2140</v>
      </c>
      <c r="C1341" s="24" t="s">
        <v>518</v>
      </c>
      <c r="D1341" s="24" t="s">
        <v>856</v>
      </c>
      <c r="E1341" s="24" t="s">
        <v>443</v>
      </c>
    </row>
    <row r="1342" spans="1:5" x14ac:dyDescent="0.3">
      <c r="A1342">
        <v>1341</v>
      </c>
      <c r="B1342" s="24" t="s">
        <v>2141</v>
      </c>
      <c r="C1342" s="24" t="s">
        <v>518</v>
      </c>
      <c r="D1342" s="24" t="s">
        <v>851</v>
      </c>
      <c r="E1342" s="24" t="s">
        <v>444</v>
      </c>
    </row>
    <row r="1343" spans="1:5" x14ac:dyDescent="0.3">
      <c r="A1343">
        <v>1342</v>
      </c>
      <c r="B1343" s="24" t="s">
        <v>2142</v>
      </c>
      <c r="C1343" s="24" t="s">
        <v>518</v>
      </c>
      <c r="D1343" s="24" t="s">
        <v>850</v>
      </c>
      <c r="E1343" s="24" t="s">
        <v>444</v>
      </c>
    </row>
    <row r="1344" spans="1:5" x14ac:dyDescent="0.3">
      <c r="A1344">
        <v>1343</v>
      </c>
      <c r="B1344" s="24" t="s">
        <v>2143</v>
      </c>
      <c r="C1344" s="24" t="s">
        <v>518</v>
      </c>
      <c r="D1344" s="24" t="s">
        <v>858</v>
      </c>
      <c r="E1344" s="24" t="s">
        <v>444</v>
      </c>
    </row>
    <row r="1345" spans="1:5" x14ac:dyDescent="0.3">
      <c r="A1345">
        <v>1344</v>
      </c>
      <c r="B1345" s="24" t="s">
        <v>2144</v>
      </c>
      <c r="C1345" s="24" t="s">
        <v>518</v>
      </c>
      <c r="D1345" s="24" t="s">
        <v>846</v>
      </c>
      <c r="E1345" s="24" t="s">
        <v>497</v>
      </c>
    </row>
    <row r="1346" spans="1:5" x14ac:dyDescent="0.3">
      <c r="A1346">
        <v>1345</v>
      </c>
      <c r="B1346" s="24" t="s">
        <v>2145</v>
      </c>
      <c r="C1346" s="24" t="s">
        <v>518</v>
      </c>
      <c r="D1346" s="24" t="s">
        <v>854</v>
      </c>
      <c r="E1346" s="24" t="s">
        <v>443</v>
      </c>
    </row>
    <row r="1347" spans="1:5" x14ac:dyDescent="0.3">
      <c r="A1347">
        <v>1346</v>
      </c>
      <c r="B1347" s="24" t="s">
        <v>2146</v>
      </c>
      <c r="C1347" s="24" t="s">
        <v>518</v>
      </c>
      <c r="D1347" s="24" t="s">
        <v>855</v>
      </c>
      <c r="E1347" s="24" t="s">
        <v>443</v>
      </c>
    </row>
    <row r="1348" spans="1:5" x14ac:dyDescent="0.3">
      <c r="A1348">
        <v>1347</v>
      </c>
      <c r="B1348" s="24" t="s">
        <v>2147</v>
      </c>
      <c r="C1348" s="24" t="s">
        <v>518</v>
      </c>
      <c r="D1348" s="24" t="s">
        <v>857</v>
      </c>
      <c r="E1348" s="24" t="s">
        <v>443</v>
      </c>
    </row>
    <row r="1349" spans="1:5" x14ac:dyDescent="0.3">
      <c r="A1349">
        <v>1348</v>
      </c>
      <c r="B1349" s="24" t="s">
        <v>2148</v>
      </c>
      <c r="C1349" s="24" t="s">
        <v>518</v>
      </c>
      <c r="D1349" s="24" t="s">
        <v>856</v>
      </c>
      <c r="E1349" s="24" t="s">
        <v>443</v>
      </c>
    </row>
    <row r="1350" spans="1:5" x14ac:dyDescent="0.3">
      <c r="A1350">
        <v>1349</v>
      </c>
      <c r="B1350" s="24" t="s">
        <v>2149</v>
      </c>
      <c r="C1350" s="24" t="s">
        <v>518</v>
      </c>
      <c r="D1350" s="24" t="s">
        <v>851</v>
      </c>
      <c r="E1350" s="24" t="s">
        <v>444</v>
      </c>
    </row>
    <row r="1351" spans="1:5" x14ac:dyDescent="0.3">
      <c r="A1351">
        <v>1350</v>
      </c>
      <c r="B1351" s="24" t="s">
        <v>2150</v>
      </c>
      <c r="C1351" s="24" t="s">
        <v>518</v>
      </c>
      <c r="D1351" s="24" t="s">
        <v>850</v>
      </c>
      <c r="E1351" s="24" t="s">
        <v>444</v>
      </c>
    </row>
    <row r="1352" spans="1:5" x14ac:dyDescent="0.3">
      <c r="A1352">
        <v>1351</v>
      </c>
      <c r="B1352" s="24" t="s">
        <v>2151</v>
      </c>
      <c r="C1352" s="24" t="s">
        <v>518</v>
      </c>
      <c r="D1352" s="24" t="s">
        <v>858</v>
      </c>
      <c r="E1352" s="24" t="s">
        <v>444</v>
      </c>
    </row>
    <row r="1353" spans="1:5" x14ac:dyDescent="0.3">
      <c r="A1353">
        <v>1352</v>
      </c>
      <c r="B1353" s="24" t="s">
        <v>2152</v>
      </c>
      <c r="C1353" s="24" t="s">
        <v>519</v>
      </c>
      <c r="D1353" s="24" t="s">
        <v>854</v>
      </c>
      <c r="E1353" s="24" t="s">
        <v>443</v>
      </c>
    </row>
    <row r="1354" spans="1:5" x14ac:dyDescent="0.3">
      <c r="A1354">
        <v>1353</v>
      </c>
      <c r="B1354" s="24" t="s">
        <v>2153</v>
      </c>
      <c r="C1354" s="24" t="s">
        <v>519</v>
      </c>
      <c r="D1354" s="24" t="s">
        <v>855</v>
      </c>
      <c r="E1354" s="24" t="s">
        <v>443</v>
      </c>
    </row>
    <row r="1355" spans="1:5" x14ac:dyDescent="0.3">
      <c r="A1355">
        <v>1354</v>
      </c>
      <c r="B1355" s="24" t="s">
        <v>2154</v>
      </c>
      <c r="C1355" s="24" t="s">
        <v>519</v>
      </c>
      <c r="D1355" s="24" t="s">
        <v>857</v>
      </c>
      <c r="E1355" s="24" t="s">
        <v>443</v>
      </c>
    </row>
    <row r="1356" spans="1:5" x14ac:dyDescent="0.3">
      <c r="A1356">
        <v>1355</v>
      </c>
      <c r="B1356" s="24" t="s">
        <v>2155</v>
      </c>
      <c r="C1356" s="24" t="s">
        <v>519</v>
      </c>
      <c r="D1356" s="24" t="s">
        <v>856</v>
      </c>
      <c r="E1356" s="24" t="s">
        <v>443</v>
      </c>
    </row>
    <row r="1357" spans="1:5" x14ac:dyDescent="0.3">
      <c r="A1357">
        <v>1356</v>
      </c>
      <c r="B1357" s="24" t="s">
        <v>2156</v>
      </c>
      <c r="C1357" s="24" t="s">
        <v>519</v>
      </c>
      <c r="D1357" s="24" t="s">
        <v>851</v>
      </c>
      <c r="E1357" s="24" t="s">
        <v>444</v>
      </c>
    </row>
    <row r="1358" spans="1:5" x14ac:dyDescent="0.3">
      <c r="A1358">
        <v>1357</v>
      </c>
      <c r="B1358" s="24" t="s">
        <v>2157</v>
      </c>
      <c r="C1358" s="24" t="s">
        <v>519</v>
      </c>
      <c r="D1358" s="24" t="s">
        <v>850</v>
      </c>
      <c r="E1358" s="24" t="s">
        <v>444</v>
      </c>
    </row>
    <row r="1359" spans="1:5" x14ac:dyDescent="0.3">
      <c r="A1359">
        <v>1358</v>
      </c>
      <c r="B1359" s="24" t="s">
        <v>2158</v>
      </c>
      <c r="C1359" s="24" t="s">
        <v>519</v>
      </c>
      <c r="D1359" s="24" t="s">
        <v>858</v>
      </c>
      <c r="E1359" s="24" t="s">
        <v>444</v>
      </c>
    </row>
    <row r="1360" spans="1:5" x14ac:dyDescent="0.3">
      <c r="A1360">
        <v>1359</v>
      </c>
      <c r="B1360" s="24"/>
      <c r="C1360" s="24"/>
      <c r="D1360" s="24"/>
      <c r="E1360" s="24"/>
    </row>
    <row r="1361" spans="1:5" x14ac:dyDescent="0.3">
      <c r="A1361">
        <v>1360</v>
      </c>
      <c r="B1361" s="24"/>
      <c r="C1361" s="24"/>
      <c r="D1361" s="24"/>
      <c r="E1361" s="24"/>
    </row>
    <row r="1362" spans="1:5" x14ac:dyDescent="0.3">
      <c r="A1362">
        <v>1361</v>
      </c>
      <c r="B1362" s="24"/>
      <c r="C1362" s="24"/>
      <c r="D1362" s="24"/>
      <c r="E1362" s="24"/>
    </row>
    <row r="1363" spans="1:5" x14ac:dyDescent="0.3">
      <c r="A1363">
        <v>1362</v>
      </c>
      <c r="B1363" s="24"/>
      <c r="C1363" s="24"/>
      <c r="D1363" s="24"/>
      <c r="E1363" s="24"/>
    </row>
    <row r="1364" spans="1:5" x14ac:dyDescent="0.3">
      <c r="A1364">
        <v>1363</v>
      </c>
      <c r="B1364" s="24"/>
      <c r="C1364" s="24"/>
      <c r="D1364" s="24"/>
      <c r="E1364" s="24"/>
    </row>
    <row r="1365" spans="1:5" x14ac:dyDescent="0.3">
      <c r="A1365">
        <v>1364</v>
      </c>
      <c r="B1365" s="24"/>
      <c r="C1365" s="24"/>
      <c r="D1365" s="24"/>
      <c r="E1365" s="24"/>
    </row>
    <row r="1366" spans="1:5" x14ac:dyDescent="0.3">
      <c r="A1366">
        <v>1365</v>
      </c>
      <c r="B1366" s="24"/>
      <c r="C1366" s="24"/>
      <c r="D1366" s="24"/>
      <c r="E1366" s="24"/>
    </row>
    <row r="1367" spans="1:5" x14ac:dyDescent="0.3">
      <c r="A1367">
        <v>1366</v>
      </c>
      <c r="B1367" s="24"/>
      <c r="C1367" s="24"/>
      <c r="D1367" s="24"/>
      <c r="E1367" s="24"/>
    </row>
    <row r="1368" spans="1:5" x14ac:dyDescent="0.3">
      <c r="A1368">
        <v>1367</v>
      </c>
      <c r="B1368" s="24"/>
      <c r="C1368" s="24"/>
      <c r="D1368" s="24"/>
      <c r="E1368" s="24"/>
    </row>
    <row r="1369" spans="1:5" x14ac:dyDescent="0.3">
      <c r="A1369">
        <v>1368</v>
      </c>
      <c r="B1369" s="24"/>
      <c r="C1369" s="24"/>
      <c r="D1369" s="24"/>
      <c r="E1369" s="24"/>
    </row>
    <row r="1370" spans="1:5" x14ac:dyDescent="0.3">
      <c r="A1370">
        <v>1369</v>
      </c>
      <c r="B1370" s="24"/>
      <c r="C1370" s="24"/>
      <c r="D1370" s="24"/>
      <c r="E1370" s="24"/>
    </row>
    <row r="1371" spans="1:5" x14ac:dyDescent="0.3">
      <c r="A1371">
        <v>1370</v>
      </c>
      <c r="B1371" s="24"/>
      <c r="C1371" s="24"/>
      <c r="D1371" s="24"/>
      <c r="E1371" s="24"/>
    </row>
    <row r="1372" spans="1:5" x14ac:dyDescent="0.3">
      <c r="A1372">
        <v>1371</v>
      </c>
      <c r="B1372" s="24"/>
      <c r="C1372" s="24"/>
      <c r="D1372" s="24"/>
      <c r="E1372" s="24"/>
    </row>
    <row r="1373" spans="1:5" x14ac:dyDescent="0.3">
      <c r="A1373">
        <v>1372</v>
      </c>
      <c r="B1373" s="24"/>
      <c r="C1373" s="24"/>
      <c r="D1373" s="24"/>
      <c r="E1373" s="24"/>
    </row>
    <row r="1374" spans="1:5" x14ac:dyDescent="0.3">
      <c r="A1374">
        <v>1373</v>
      </c>
      <c r="B1374" s="24"/>
      <c r="C1374" s="24"/>
      <c r="D1374" s="24"/>
      <c r="E1374" s="24"/>
    </row>
    <row r="1375" spans="1:5" x14ac:dyDescent="0.3">
      <c r="A1375">
        <v>1374</v>
      </c>
      <c r="B1375" s="24"/>
      <c r="C1375" s="24"/>
      <c r="D1375" s="24"/>
      <c r="E1375" s="24"/>
    </row>
    <row r="1376" spans="1:5" x14ac:dyDescent="0.3">
      <c r="A1376">
        <v>1375</v>
      </c>
      <c r="B1376" s="24"/>
      <c r="C1376" s="24"/>
      <c r="D1376" s="24"/>
      <c r="E1376" s="24"/>
    </row>
    <row r="1377" spans="1:5" x14ac:dyDescent="0.3">
      <c r="A1377">
        <v>1376</v>
      </c>
      <c r="B1377" s="24"/>
      <c r="C1377" s="24"/>
      <c r="D1377" s="24"/>
      <c r="E1377" s="24"/>
    </row>
    <row r="1378" spans="1:5" x14ac:dyDescent="0.3">
      <c r="A1378">
        <v>1377</v>
      </c>
      <c r="B1378" s="24"/>
      <c r="C1378" s="24"/>
      <c r="D1378" s="24"/>
      <c r="E1378" s="24"/>
    </row>
    <row r="1379" spans="1:5" x14ac:dyDescent="0.3">
      <c r="A1379">
        <v>1378</v>
      </c>
      <c r="B1379" s="24"/>
      <c r="C1379" s="24"/>
      <c r="D1379" s="24"/>
      <c r="E1379" s="24"/>
    </row>
    <row r="1380" spans="1:5" x14ac:dyDescent="0.3">
      <c r="A1380">
        <v>1379</v>
      </c>
      <c r="B1380" s="24"/>
      <c r="C1380" s="24"/>
      <c r="D1380" s="24"/>
      <c r="E1380" s="24"/>
    </row>
    <row r="1381" spans="1:5" x14ac:dyDescent="0.3">
      <c r="A1381">
        <v>1380</v>
      </c>
      <c r="B1381" s="24"/>
      <c r="C1381" s="24"/>
      <c r="D1381" s="24"/>
      <c r="E1381" s="24"/>
    </row>
    <row r="1382" spans="1:5" x14ac:dyDescent="0.3">
      <c r="A1382">
        <v>1381</v>
      </c>
      <c r="B1382" s="24"/>
      <c r="C1382" s="24"/>
      <c r="D1382" s="24"/>
      <c r="E1382" s="24"/>
    </row>
    <row r="1383" spans="1:5" x14ac:dyDescent="0.3">
      <c r="A1383">
        <v>1382</v>
      </c>
      <c r="B1383" s="24"/>
      <c r="C1383" s="24"/>
      <c r="D1383" s="24"/>
      <c r="E1383" s="24"/>
    </row>
    <row r="1384" spans="1:5" x14ac:dyDescent="0.3">
      <c r="A1384">
        <v>1383</v>
      </c>
      <c r="B1384" s="24"/>
      <c r="C1384" s="24"/>
      <c r="D1384" s="24"/>
      <c r="E1384" s="24"/>
    </row>
    <row r="1385" spans="1:5" x14ac:dyDescent="0.3">
      <c r="A1385">
        <v>1384</v>
      </c>
      <c r="B1385" s="24"/>
      <c r="C1385" s="24"/>
      <c r="D1385" s="24"/>
      <c r="E1385" s="24"/>
    </row>
    <row r="1386" spans="1:5" x14ac:dyDescent="0.3">
      <c r="A1386">
        <v>1385</v>
      </c>
      <c r="B1386" s="24"/>
      <c r="C1386" s="24"/>
      <c r="D1386" s="24"/>
      <c r="E1386" s="24"/>
    </row>
    <row r="1387" spans="1:5" x14ac:dyDescent="0.3">
      <c r="A1387">
        <v>1386</v>
      </c>
      <c r="B1387" s="24"/>
      <c r="C1387" s="24"/>
      <c r="D1387" s="24"/>
      <c r="E1387" s="24"/>
    </row>
    <row r="1388" spans="1:5" x14ac:dyDescent="0.3">
      <c r="A1388">
        <v>1387</v>
      </c>
      <c r="B1388" s="24"/>
      <c r="C1388" s="24"/>
      <c r="D1388" s="24"/>
      <c r="E1388" s="24"/>
    </row>
    <row r="1389" spans="1:5" x14ac:dyDescent="0.3">
      <c r="A1389">
        <v>1388</v>
      </c>
      <c r="B1389" s="24"/>
      <c r="C1389" s="24"/>
      <c r="D1389" s="24"/>
      <c r="E1389" s="24"/>
    </row>
    <row r="1390" spans="1:5" x14ac:dyDescent="0.3">
      <c r="A1390">
        <v>1389</v>
      </c>
      <c r="B1390" s="24"/>
      <c r="C1390" s="24"/>
      <c r="D1390" s="24"/>
      <c r="E1390" s="24"/>
    </row>
    <row r="1391" spans="1:5" x14ac:dyDescent="0.3">
      <c r="A1391">
        <v>1390</v>
      </c>
      <c r="B1391" s="24"/>
      <c r="C1391" s="24"/>
      <c r="D1391" s="24"/>
      <c r="E1391" s="24"/>
    </row>
    <row r="1392" spans="1:5" x14ac:dyDescent="0.3">
      <c r="A1392">
        <v>1391</v>
      </c>
      <c r="B1392" s="24"/>
      <c r="C1392" s="24"/>
      <c r="D1392" s="24"/>
      <c r="E1392" s="24"/>
    </row>
    <row r="1393" spans="1:5" x14ac:dyDescent="0.3">
      <c r="A1393">
        <v>1392</v>
      </c>
      <c r="B1393" s="24"/>
      <c r="C1393" s="24"/>
      <c r="D1393" s="24"/>
      <c r="E1393" s="24"/>
    </row>
    <row r="1394" spans="1:5" x14ac:dyDescent="0.3">
      <c r="A1394">
        <v>1393</v>
      </c>
      <c r="B1394" s="24"/>
      <c r="C1394" s="24"/>
      <c r="D1394" s="24"/>
      <c r="E1394" s="24"/>
    </row>
    <row r="1395" spans="1:5" x14ac:dyDescent="0.3">
      <c r="A1395">
        <v>1394</v>
      </c>
      <c r="B1395" s="24"/>
      <c r="C1395" s="24"/>
      <c r="D1395" s="24"/>
      <c r="E1395" s="24"/>
    </row>
    <row r="1396" spans="1:5" x14ac:dyDescent="0.3">
      <c r="A1396">
        <v>1395</v>
      </c>
      <c r="B1396" s="24"/>
      <c r="C1396" s="24"/>
      <c r="D1396" s="24"/>
      <c r="E1396" s="24"/>
    </row>
    <row r="1397" spans="1:5" x14ac:dyDescent="0.3">
      <c r="A1397">
        <v>1396</v>
      </c>
      <c r="B1397" s="24"/>
      <c r="C1397" s="24"/>
      <c r="D1397" s="24"/>
      <c r="E1397" s="24"/>
    </row>
    <row r="1398" spans="1:5" x14ac:dyDescent="0.3">
      <c r="A1398">
        <v>1397</v>
      </c>
      <c r="B1398" s="24"/>
      <c r="C1398" s="24"/>
      <c r="D1398" s="24"/>
      <c r="E1398" s="24"/>
    </row>
    <row r="1399" spans="1:5" x14ac:dyDescent="0.3">
      <c r="A1399">
        <v>1398</v>
      </c>
      <c r="B1399" s="24"/>
      <c r="C1399" s="24"/>
      <c r="D1399" s="24"/>
      <c r="E1399" s="24"/>
    </row>
    <row r="1400" spans="1:5" x14ac:dyDescent="0.3">
      <c r="A1400">
        <v>1399</v>
      </c>
      <c r="B1400" s="24"/>
      <c r="C1400" s="24"/>
      <c r="D1400" s="24"/>
      <c r="E1400" s="24"/>
    </row>
    <row r="1401" spans="1:5" x14ac:dyDescent="0.3">
      <c r="A1401">
        <v>1400</v>
      </c>
      <c r="B1401" s="24"/>
      <c r="C1401" s="24"/>
      <c r="D1401" s="24"/>
      <c r="E1401" s="24"/>
    </row>
    <row r="1402" spans="1:5" x14ac:dyDescent="0.3">
      <c r="A1402">
        <v>1401</v>
      </c>
      <c r="B1402" s="24"/>
      <c r="C1402" s="24"/>
      <c r="D1402" s="24"/>
      <c r="E1402" s="24"/>
    </row>
    <row r="1403" spans="1:5" x14ac:dyDescent="0.3">
      <c r="A1403">
        <v>1402</v>
      </c>
      <c r="B1403" s="24"/>
      <c r="C1403" s="24"/>
      <c r="D1403" s="24"/>
      <c r="E1403" s="24"/>
    </row>
    <row r="1404" spans="1:5" x14ac:dyDescent="0.3">
      <c r="A1404">
        <v>1403</v>
      </c>
      <c r="B1404" s="24"/>
      <c r="C1404" s="24"/>
      <c r="D1404" s="24"/>
      <c r="E1404" s="24"/>
    </row>
    <row r="1405" spans="1:5" x14ac:dyDescent="0.3">
      <c r="A1405">
        <v>1404</v>
      </c>
      <c r="B1405" s="24"/>
      <c r="C1405" s="24"/>
      <c r="D1405" s="24"/>
      <c r="E1405" s="24"/>
    </row>
    <row r="1406" spans="1:5" x14ac:dyDescent="0.3">
      <c r="A1406">
        <v>1405</v>
      </c>
      <c r="B1406" s="24"/>
      <c r="C1406" s="24"/>
      <c r="D1406" s="24"/>
      <c r="E1406" s="24"/>
    </row>
    <row r="1407" spans="1:5" x14ac:dyDescent="0.3">
      <c r="A1407">
        <v>1406</v>
      </c>
      <c r="B1407" s="24"/>
      <c r="C1407" s="24"/>
      <c r="D1407" s="24"/>
      <c r="E1407" s="24"/>
    </row>
    <row r="1408" spans="1:5" x14ac:dyDescent="0.3">
      <c r="A1408">
        <v>1407</v>
      </c>
      <c r="B1408" s="24"/>
      <c r="C1408" s="24"/>
      <c r="D1408" s="24"/>
      <c r="E1408" s="24"/>
    </row>
    <row r="1409" spans="1:5" x14ac:dyDescent="0.3">
      <c r="A1409">
        <v>1408</v>
      </c>
      <c r="B1409" s="24"/>
      <c r="C1409" s="24"/>
      <c r="D1409" s="24"/>
      <c r="E1409" s="24"/>
    </row>
    <row r="1410" spans="1:5" x14ac:dyDescent="0.3">
      <c r="A1410">
        <v>1409</v>
      </c>
      <c r="B1410" s="24"/>
      <c r="C1410" s="24"/>
      <c r="D1410" s="24"/>
      <c r="E1410" s="24"/>
    </row>
    <row r="1411" spans="1:5" x14ac:dyDescent="0.3">
      <c r="A1411">
        <v>1410</v>
      </c>
      <c r="B1411" s="24"/>
      <c r="C1411" s="24"/>
      <c r="D1411" s="24"/>
      <c r="E1411" s="24"/>
    </row>
    <row r="1412" spans="1:5" x14ac:dyDescent="0.3">
      <c r="A1412">
        <v>1411</v>
      </c>
      <c r="B1412" s="24"/>
      <c r="C1412" s="24"/>
      <c r="D1412" s="24"/>
      <c r="E1412" s="24"/>
    </row>
    <row r="1413" spans="1:5" x14ac:dyDescent="0.3">
      <c r="A1413">
        <v>1412</v>
      </c>
      <c r="B1413" s="24"/>
      <c r="C1413" s="24"/>
      <c r="D1413" s="24"/>
      <c r="E1413" s="24"/>
    </row>
    <row r="1414" spans="1:5" x14ac:dyDescent="0.3">
      <c r="A1414">
        <v>1413</v>
      </c>
      <c r="B1414" s="24"/>
      <c r="C1414" s="24"/>
      <c r="D1414" s="24"/>
      <c r="E1414" s="24"/>
    </row>
    <row r="1415" spans="1:5" x14ac:dyDescent="0.3">
      <c r="A1415">
        <v>1414</v>
      </c>
      <c r="B1415" s="24"/>
      <c r="C1415" s="24"/>
      <c r="D1415" s="24"/>
      <c r="E1415" s="24"/>
    </row>
    <row r="1416" spans="1:5" x14ac:dyDescent="0.3">
      <c r="A1416">
        <v>1415</v>
      </c>
      <c r="B1416" s="24"/>
      <c r="C1416" s="24"/>
      <c r="D1416" s="24"/>
      <c r="E1416" s="24"/>
    </row>
    <row r="1417" spans="1:5" x14ac:dyDescent="0.3">
      <c r="A1417">
        <v>1416</v>
      </c>
      <c r="B1417" s="24"/>
      <c r="C1417" s="24"/>
      <c r="D1417" s="24"/>
      <c r="E1417" s="24"/>
    </row>
    <row r="1418" spans="1:5" x14ac:dyDescent="0.3">
      <c r="A1418">
        <v>1417</v>
      </c>
      <c r="B1418" s="24"/>
      <c r="C1418" s="24"/>
      <c r="D1418" s="24"/>
      <c r="E1418" s="24"/>
    </row>
    <row r="1419" spans="1:5" x14ac:dyDescent="0.3">
      <c r="A1419">
        <v>1418</v>
      </c>
      <c r="B1419" s="24"/>
      <c r="C1419" s="24"/>
      <c r="D1419" s="24"/>
      <c r="E1419" s="24"/>
    </row>
    <row r="1420" spans="1:5" x14ac:dyDescent="0.3">
      <c r="A1420">
        <v>1419</v>
      </c>
      <c r="B1420" s="24"/>
      <c r="C1420" s="24"/>
      <c r="D1420" s="24"/>
      <c r="E1420" s="24"/>
    </row>
    <row r="1421" spans="1:5" x14ac:dyDescent="0.3">
      <c r="A1421">
        <v>1420</v>
      </c>
      <c r="B1421" s="24"/>
      <c r="C1421" s="24"/>
      <c r="D1421" s="24"/>
      <c r="E1421" s="24"/>
    </row>
    <row r="1422" spans="1:5" x14ac:dyDescent="0.3">
      <c r="A1422">
        <v>1421</v>
      </c>
      <c r="B1422" s="24"/>
      <c r="C1422" s="24"/>
      <c r="D1422" s="24"/>
      <c r="E1422" s="24"/>
    </row>
    <row r="1423" spans="1:5" x14ac:dyDescent="0.3">
      <c r="A1423">
        <v>1422</v>
      </c>
      <c r="B1423" s="24"/>
      <c r="C1423" s="24"/>
      <c r="D1423" s="24"/>
      <c r="E1423" s="24"/>
    </row>
    <row r="1424" spans="1:5" x14ac:dyDescent="0.3">
      <c r="A1424">
        <v>1423</v>
      </c>
      <c r="B1424" s="24"/>
      <c r="C1424" s="24"/>
      <c r="D1424" s="24"/>
      <c r="E1424" s="24"/>
    </row>
    <row r="1425" spans="1:5" x14ac:dyDescent="0.3">
      <c r="A1425">
        <v>1424</v>
      </c>
      <c r="B1425" s="24"/>
      <c r="C1425" s="24"/>
      <c r="D1425" s="24"/>
      <c r="E1425" s="24"/>
    </row>
    <row r="1426" spans="1:5" x14ac:dyDescent="0.3">
      <c r="A1426">
        <v>1425</v>
      </c>
      <c r="B1426" s="24"/>
      <c r="C1426" s="24"/>
      <c r="D1426" s="24"/>
      <c r="E1426" s="24"/>
    </row>
    <row r="1427" spans="1:5" x14ac:dyDescent="0.3">
      <c r="A1427">
        <v>1426</v>
      </c>
      <c r="B1427" s="24"/>
      <c r="C1427" s="24"/>
      <c r="D1427" s="24"/>
      <c r="E1427" s="24"/>
    </row>
    <row r="1428" spans="1:5" x14ac:dyDescent="0.3">
      <c r="A1428">
        <v>1427</v>
      </c>
      <c r="B1428" s="24"/>
      <c r="C1428" s="24"/>
      <c r="D1428" s="24"/>
      <c r="E1428" s="24"/>
    </row>
    <row r="1429" spans="1:5" x14ac:dyDescent="0.3">
      <c r="A1429">
        <v>1428</v>
      </c>
      <c r="B1429" s="24"/>
      <c r="C1429" s="24"/>
      <c r="D1429" s="24"/>
      <c r="E1429" s="24"/>
    </row>
    <row r="1430" spans="1:5" x14ac:dyDescent="0.3">
      <c r="A1430">
        <v>1429</v>
      </c>
      <c r="B1430" s="24"/>
      <c r="C1430" s="24"/>
      <c r="D1430" s="24"/>
      <c r="E1430" s="24"/>
    </row>
    <row r="1431" spans="1:5" x14ac:dyDescent="0.3">
      <c r="A1431">
        <v>1430</v>
      </c>
      <c r="B1431" s="24"/>
      <c r="C1431" s="24"/>
      <c r="D1431" s="24"/>
      <c r="E1431" s="24"/>
    </row>
    <row r="1432" spans="1:5" x14ac:dyDescent="0.3">
      <c r="A1432">
        <v>1431</v>
      </c>
      <c r="B1432" s="24"/>
      <c r="C1432" s="24"/>
      <c r="D1432" s="24"/>
      <c r="E1432" s="24"/>
    </row>
    <row r="1433" spans="1:5" x14ac:dyDescent="0.3">
      <c r="A1433">
        <v>1432</v>
      </c>
      <c r="B1433" s="24"/>
      <c r="C1433" s="24"/>
      <c r="D1433" s="24"/>
      <c r="E1433" s="24"/>
    </row>
    <row r="1434" spans="1:5" x14ac:dyDescent="0.3">
      <c r="A1434">
        <v>1433</v>
      </c>
      <c r="B1434" s="24"/>
      <c r="C1434" s="24"/>
      <c r="D1434" s="24"/>
      <c r="E1434" s="24"/>
    </row>
    <row r="1435" spans="1:5" x14ac:dyDescent="0.3">
      <c r="A1435">
        <v>1434</v>
      </c>
      <c r="B1435" s="24"/>
      <c r="C1435" s="24"/>
      <c r="D1435" s="24"/>
      <c r="E1435" s="24"/>
    </row>
    <row r="1436" spans="1:5" x14ac:dyDescent="0.3">
      <c r="A1436">
        <v>1435</v>
      </c>
      <c r="B1436" s="24"/>
      <c r="C1436" s="24"/>
      <c r="D1436" s="24"/>
      <c r="E1436" s="24"/>
    </row>
    <row r="1437" spans="1:5" x14ac:dyDescent="0.3">
      <c r="A1437">
        <v>1436</v>
      </c>
      <c r="B1437" s="24"/>
      <c r="C1437" s="24"/>
      <c r="D1437" s="24"/>
      <c r="E1437" s="24"/>
    </row>
    <row r="1438" spans="1:5" x14ac:dyDescent="0.3">
      <c r="A1438">
        <v>1437</v>
      </c>
      <c r="B1438" s="24"/>
      <c r="C1438" s="24"/>
      <c r="D1438" s="24"/>
      <c r="E1438" s="24"/>
    </row>
    <row r="1439" spans="1:5" x14ac:dyDescent="0.3">
      <c r="A1439">
        <v>1438</v>
      </c>
      <c r="B1439" s="24"/>
      <c r="C1439" s="24"/>
      <c r="D1439" s="24"/>
      <c r="E1439" s="24"/>
    </row>
    <row r="1440" spans="1:5" x14ac:dyDescent="0.3">
      <c r="A1440">
        <v>1439</v>
      </c>
      <c r="B1440" s="24"/>
      <c r="C1440" s="24"/>
      <c r="D1440" s="24"/>
      <c r="E1440" s="24"/>
    </row>
    <row r="1441" spans="1:5" x14ac:dyDescent="0.3">
      <c r="A1441">
        <v>1440</v>
      </c>
      <c r="B1441" s="24"/>
      <c r="C1441" s="24"/>
      <c r="D1441" s="24"/>
      <c r="E1441" s="24"/>
    </row>
    <row r="1442" spans="1:5" x14ac:dyDescent="0.3">
      <c r="A1442">
        <v>1441</v>
      </c>
      <c r="B1442" s="24"/>
      <c r="C1442" s="24"/>
      <c r="D1442" s="24"/>
      <c r="E1442" s="24"/>
    </row>
    <row r="1443" spans="1:5" x14ac:dyDescent="0.3">
      <c r="A1443">
        <v>1442</v>
      </c>
      <c r="B1443" s="24"/>
      <c r="C1443" s="24"/>
      <c r="D1443" s="24"/>
      <c r="E1443" s="24"/>
    </row>
    <row r="1444" spans="1:5" x14ac:dyDescent="0.3">
      <c r="A1444">
        <v>1443</v>
      </c>
      <c r="B1444" s="24"/>
      <c r="C1444" s="24"/>
      <c r="D1444" s="24"/>
      <c r="E1444" s="24"/>
    </row>
    <row r="1445" spans="1:5" x14ac:dyDescent="0.3">
      <c r="A1445">
        <v>1444</v>
      </c>
      <c r="B1445" s="24"/>
      <c r="C1445" s="24"/>
      <c r="D1445" s="24"/>
      <c r="E1445" s="24"/>
    </row>
    <row r="1446" spans="1:5" x14ac:dyDescent="0.3">
      <c r="A1446">
        <v>1445</v>
      </c>
      <c r="B1446" s="24"/>
      <c r="C1446" s="24"/>
      <c r="D1446" s="24"/>
      <c r="E1446" s="24"/>
    </row>
    <row r="1447" spans="1:5" x14ac:dyDescent="0.3">
      <c r="A1447">
        <v>1446</v>
      </c>
      <c r="B1447" s="24"/>
      <c r="C1447" s="24"/>
      <c r="D1447" s="24"/>
      <c r="E1447" s="24"/>
    </row>
    <row r="1448" spans="1:5" x14ac:dyDescent="0.3">
      <c r="A1448">
        <v>1447</v>
      </c>
      <c r="B1448" s="24"/>
      <c r="C1448" s="24"/>
      <c r="D1448" s="24"/>
      <c r="E1448" s="24"/>
    </row>
    <row r="1449" spans="1:5" x14ac:dyDescent="0.3">
      <c r="A1449">
        <v>1448</v>
      </c>
      <c r="B1449" s="24"/>
      <c r="C1449" s="24"/>
      <c r="D1449" s="24"/>
      <c r="E1449" s="24"/>
    </row>
    <row r="1450" spans="1:5" x14ac:dyDescent="0.3">
      <c r="A1450">
        <v>1449</v>
      </c>
      <c r="B1450" s="24"/>
      <c r="C1450" s="24"/>
      <c r="D1450" s="24"/>
      <c r="E1450" s="24"/>
    </row>
    <row r="1451" spans="1:5" x14ac:dyDescent="0.3">
      <c r="A1451">
        <v>1450</v>
      </c>
      <c r="B1451" s="24"/>
      <c r="C1451" s="24"/>
      <c r="D1451" s="24"/>
      <c r="E1451" s="24"/>
    </row>
    <row r="1452" spans="1:5" x14ac:dyDescent="0.3">
      <c r="A1452">
        <v>1451</v>
      </c>
      <c r="B1452" s="24"/>
      <c r="C1452" s="24"/>
      <c r="D1452" s="24"/>
      <c r="E1452" s="24"/>
    </row>
    <row r="1453" spans="1:5" x14ac:dyDescent="0.3">
      <c r="A1453">
        <v>1452</v>
      </c>
      <c r="B1453" s="24"/>
      <c r="C1453" s="24"/>
      <c r="D1453" s="24"/>
      <c r="E1453" s="24"/>
    </row>
    <row r="1454" spans="1:5" x14ac:dyDescent="0.3">
      <c r="A1454">
        <v>1453</v>
      </c>
      <c r="B1454" s="24"/>
      <c r="C1454" s="24"/>
      <c r="D1454" s="24"/>
      <c r="E1454" s="24"/>
    </row>
    <row r="1455" spans="1:5" x14ac:dyDescent="0.3">
      <c r="A1455">
        <v>1454</v>
      </c>
      <c r="B1455" s="24"/>
      <c r="C1455" s="24"/>
      <c r="D1455" s="24"/>
      <c r="E1455" s="24"/>
    </row>
    <row r="1456" spans="1:5" x14ac:dyDescent="0.3">
      <c r="A1456">
        <v>1455</v>
      </c>
      <c r="B1456" s="24"/>
      <c r="C1456" s="24"/>
      <c r="D1456" s="24"/>
      <c r="E1456" s="24"/>
    </row>
    <row r="1457" spans="1:5" x14ac:dyDescent="0.3">
      <c r="A1457">
        <v>1456</v>
      </c>
      <c r="B1457" s="24"/>
      <c r="C1457" s="24"/>
      <c r="D1457" s="24"/>
      <c r="E1457" s="24"/>
    </row>
    <row r="1458" spans="1:5" x14ac:dyDescent="0.3">
      <c r="A1458">
        <v>1457</v>
      </c>
      <c r="B1458" s="24"/>
      <c r="C1458" s="24"/>
      <c r="D1458" s="24"/>
      <c r="E1458" s="24"/>
    </row>
    <row r="1459" spans="1:5" x14ac:dyDescent="0.3">
      <c r="A1459">
        <v>1458</v>
      </c>
      <c r="B1459" s="24"/>
      <c r="C1459" s="24"/>
      <c r="D1459" s="24"/>
      <c r="E1459" s="24"/>
    </row>
    <row r="1460" spans="1:5" x14ac:dyDescent="0.3">
      <c r="A1460">
        <v>1459</v>
      </c>
      <c r="B1460" s="24"/>
      <c r="C1460" s="24"/>
      <c r="D1460" s="24"/>
      <c r="E1460" s="24"/>
    </row>
    <row r="1461" spans="1:5" x14ac:dyDescent="0.3">
      <c r="A1461">
        <v>1460</v>
      </c>
      <c r="B1461" s="24"/>
      <c r="C1461" s="24"/>
      <c r="D1461" s="24"/>
      <c r="E1461" s="24"/>
    </row>
    <row r="1462" spans="1:5" x14ac:dyDescent="0.3">
      <c r="A1462">
        <v>1461</v>
      </c>
      <c r="B1462" s="24"/>
      <c r="C1462" s="24"/>
      <c r="D1462" s="24"/>
      <c r="E1462" s="24"/>
    </row>
    <row r="1463" spans="1:5" x14ac:dyDescent="0.3">
      <c r="A1463">
        <v>1462</v>
      </c>
      <c r="B1463" s="24"/>
      <c r="C1463" s="24"/>
      <c r="D1463" s="24"/>
      <c r="E1463" s="24"/>
    </row>
    <row r="1464" spans="1:5" x14ac:dyDescent="0.3">
      <c r="A1464">
        <v>1463</v>
      </c>
      <c r="B1464" s="24"/>
      <c r="C1464" s="24"/>
      <c r="D1464" s="24"/>
      <c r="E1464" s="24"/>
    </row>
    <row r="1465" spans="1:5" x14ac:dyDescent="0.3">
      <c r="A1465">
        <v>1464</v>
      </c>
      <c r="B1465" s="24"/>
      <c r="C1465" s="24"/>
      <c r="D1465" s="24"/>
      <c r="E1465" s="24"/>
    </row>
    <row r="1466" spans="1:5" x14ac:dyDescent="0.3">
      <c r="A1466">
        <v>1465</v>
      </c>
      <c r="B1466" s="24"/>
      <c r="C1466" s="24"/>
      <c r="D1466" s="24"/>
      <c r="E1466" s="24"/>
    </row>
    <row r="1467" spans="1:5" x14ac:dyDescent="0.3">
      <c r="A1467">
        <v>1466</v>
      </c>
      <c r="B1467" s="24"/>
      <c r="C1467" s="24"/>
      <c r="D1467" s="24"/>
      <c r="E1467" s="24"/>
    </row>
    <row r="1468" spans="1:5" x14ac:dyDescent="0.3">
      <c r="A1468">
        <v>1467</v>
      </c>
      <c r="B1468" s="24"/>
      <c r="C1468" s="24"/>
      <c r="D1468" s="24"/>
      <c r="E1468" s="24"/>
    </row>
    <row r="1469" spans="1:5" x14ac:dyDescent="0.3">
      <c r="A1469">
        <v>1468</v>
      </c>
      <c r="B1469" s="24"/>
      <c r="C1469" s="24"/>
      <c r="D1469" s="24"/>
      <c r="E1469" s="24"/>
    </row>
    <row r="1470" spans="1:5" x14ac:dyDescent="0.3">
      <c r="A1470">
        <v>1469</v>
      </c>
      <c r="B1470" s="24"/>
      <c r="C1470" s="24"/>
      <c r="D1470" s="24"/>
      <c r="E1470" s="24"/>
    </row>
    <row r="1471" spans="1:5" x14ac:dyDescent="0.3">
      <c r="A1471">
        <v>1470</v>
      </c>
      <c r="B1471" s="24"/>
      <c r="C1471" s="24"/>
      <c r="D1471" s="24"/>
      <c r="E1471" s="24"/>
    </row>
    <row r="1472" spans="1:5" x14ac:dyDescent="0.3">
      <c r="A1472">
        <v>1471</v>
      </c>
      <c r="B1472" s="24"/>
      <c r="C1472" s="24"/>
      <c r="D1472" s="24"/>
      <c r="E1472" s="24"/>
    </row>
    <row r="1473" spans="1:5" x14ac:dyDescent="0.3">
      <c r="A1473">
        <v>1472</v>
      </c>
      <c r="B1473" s="24"/>
      <c r="C1473" s="24"/>
      <c r="D1473" s="24"/>
      <c r="E1473" s="24"/>
    </row>
    <row r="1474" spans="1:5" x14ac:dyDescent="0.3">
      <c r="A1474">
        <v>1473</v>
      </c>
      <c r="B1474" s="24"/>
      <c r="C1474" s="24"/>
      <c r="D1474" s="24"/>
      <c r="E1474" s="24"/>
    </row>
    <row r="1475" spans="1:5" x14ac:dyDescent="0.3">
      <c r="A1475">
        <v>1474</v>
      </c>
      <c r="B1475" s="24"/>
      <c r="C1475" s="24"/>
      <c r="D1475" s="24"/>
      <c r="E1475" s="24"/>
    </row>
    <row r="1476" spans="1:5" x14ac:dyDescent="0.3">
      <c r="A1476">
        <v>1475</v>
      </c>
      <c r="B1476" s="24"/>
      <c r="C1476" s="24"/>
      <c r="D1476" s="24"/>
      <c r="E1476" s="24"/>
    </row>
    <row r="1477" spans="1:5" x14ac:dyDescent="0.3">
      <c r="A1477">
        <v>1476</v>
      </c>
      <c r="B1477" s="24"/>
      <c r="C1477" s="24"/>
      <c r="D1477" s="24"/>
      <c r="E1477" s="24"/>
    </row>
    <row r="1478" spans="1:5" x14ac:dyDescent="0.3">
      <c r="A1478">
        <v>1477</v>
      </c>
      <c r="B1478" s="24"/>
      <c r="C1478" s="24"/>
      <c r="D1478" s="24"/>
      <c r="E1478" s="24"/>
    </row>
    <row r="1479" spans="1:5" x14ac:dyDescent="0.3">
      <c r="A1479">
        <v>1478</v>
      </c>
      <c r="B1479" s="24"/>
      <c r="C1479" s="24"/>
      <c r="D1479" s="24"/>
      <c r="E1479" s="24"/>
    </row>
    <row r="1480" spans="1:5" x14ac:dyDescent="0.3">
      <c r="A1480">
        <v>1479</v>
      </c>
      <c r="B1480" s="24"/>
      <c r="C1480" s="24"/>
      <c r="D1480" s="24"/>
      <c r="E1480" s="24"/>
    </row>
    <row r="1481" spans="1:5" x14ac:dyDescent="0.3">
      <c r="A1481">
        <v>1480</v>
      </c>
      <c r="B1481" s="24"/>
      <c r="C1481" s="24"/>
      <c r="D1481" s="24"/>
      <c r="E1481" s="24"/>
    </row>
    <row r="1482" spans="1:5" x14ac:dyDescent="0.3">
      <c r="A1482">
        <v>1481</v>
      </c>
      <c r="B1482" s="24"/>
      <c r="C1482" s="24"/>
      <c r="D1482" s="24"/>
      <c r="E1482" s="24"/>
    </row>
    <row r="1483" spans="1:5" x14ac:dyDescent="0.3">
      <c r="A1483">
        <v>1482</v>
      </c>
      <c r="B1483" s="24"/>
      <c r="C1483" s="24"/>
      <c r="D1483" s="24"/>
      <c r="E1483" s="24"/>
    </row>
    <row r="1484" spans="1:5" x14ac:dyDescent="0.3">
      <c r="A1484">
        <v>1483</v>
      </c>
      <c r="B1484" s="24"/>
      <c r="C1484" s="24"/>
      <c r="D1484" s="24"/>
      <c r="E1484" s="24"/>
    </row>
    <row r="1485" spans="1:5" x14ac:dyDescent="0.3">
      <c r="A1485">
        <v>1484</v>
      </c>
      <c r="B1485" s="24"/>
      <c r="C1485" s="24"/>
      <c r="D1485" s="24"/>
      <c r="E1485" s="24"/>
    </row>
    <row r="1486" spans="1:5" x14ac:dyDescent="0.3">
      <c r="A1486">
        <v>1485</v>
      </c>
      <c r="B1486" s="24"/>
      <c r="C1486" s="24"/>
      <c r="D1486" s="24"/>
      <c r="E1486" s="24"/>
    </row>
    <row r="1487" spans="1:5" x14ac:dyDescent="0.3">
      <c r="A1487">
        <v>1486</v>
      </c>
      <c r="B1487" s="24"/>
      <c r="C1487" s="24"/>
      <c r="D1487" s="24"/>
      <c r="E1487" s="24"/>
    </row>
    <row r="1488" spans="1:5" x14ac:dyDescent="0.3">
      <c r="A1488">
        <v>1487</v>
      </c>
      <c r="B1488" s="24"/>
      <c r="C1488" s="24"/>
      <c r="D1488" s="24"/>
      <c r="E1488" s="24"/>
    </row>
    <row r="1489" spans="1:5" x14ac:dyDescent="0.3">
      <c r="A1489">
        <v>1488</v>
      </c>
      <c r="B1489" s="24"/>
      <c r="C1489" s="24"/>
      <c r="D1489" s="24"/>
      <c r="E1489" s="24"/>
    </row>
    <row r="1490" spans="1:5" x14ac:dyDescent="0.3">
      <c r="A1490">
        <v>1489</v>
      </c>
      <c r="B1490" s="24"/>
      <c r="C1490" s="24"/>
      <c r="D1490" s="24"/>
      <c r="E1490" s="24"/>
    </row>
    <row r="1491" spans="1:5" x14ac:dyDescent="0.3">
      <c r="A1491">
        <v>1490</v>
      </c>
      <c r="B1491" s="24"/>
      <c r="C1491" s="24"/>
      <c r="D1491" s="24"/>
      <c r="E1491" s="24"/>
    </row>
    <row r="1492" spans="1:5" x14ac:dyDescent="0.3">
      <c r="A1492">
        <v>1491</v>
      </c>
      <c r="B1492" s="24"/>
      <c r="C1492" s="24"/>
      <c r="D1492" s="24"/>
      <c r="E1492" s="24"/>
    </row>
    <row r="1493" spans="1:5" x14ac:dyDescent="0.3">
      <c r="A1493">
        <v>1492</v>
      </c>
      <c r="B1493" s="24"/>
      <c r="C1493" s="24"/>
      <c r="D1493" s="24"/>
      <c r="E1493" s="24"/>
    </row>
    <row r="1494" spans="1:5" x14ac:dyDescent="0.3">
      <c r="A1494">
        <v>1493</v>
      </c>
      <c r="B1494" s="24"/>
      <c r="C1494" s="24"/>
      <c r="D1494" s="24"/>
      <c r="E1494" s="24"/>
    </row>
    <row r="1495" spans="1:5" x14ac:dyDescent="0.3">
      <c r="A1495">
        <v>1494</v>
      </c>
      <c r="B1495" s="24"/>
      <c r="C1495" s="24"/>
      <c r="D1495" s="24"/>
      <c r="E1495" s="24"/>
    </row>
    <row r="1496" spans="1:5" x14ac:dyDescent="0.3">
      <c r="A1496">
        <v>1495</v>
      </c>
      <c r="B1496" s="24"/>
      <c r="C1496" s="24"/>
      <c r="D1496" s="24"/>
      <c r="E1496" s="24"/>
    </row>
    <row r="1497" spans="1:5" x14ac:dyDescent="0.3">
      <c r="A1497">
        <v>1496</v>
      </c>
      <c r="B1497" s="24"/>
      <c r="C1497" s="24"/>
      <c r="D1497" s="24"/>
      <c r="E1497" s="24"/>
    </row>
    <row r="1498" spans="1:5" x14ac:dyDescent="0.3">
      <c r="A1498">
        <v>1497</v>
      </c>
      <c r="B1498" s="24"/>
      <c r="C1498" s="24"/>
      <c r="D1498" s="24"/>
      <c r="E1498" s="24"/>
    </row>
    <row r="1499" spans="1:5" x14ac:dyDescent="0.3">
      <c r="A1499">
        <v>1498</v>
      </c>
      <c r="B1499" s="24"/>
      <c r="C1499" s="24"/>
      <c r="D1499" s="24"/>
      <c r="E1499" s="24"/>
    </row>
    <row r="1500" spans="1:5" x14ac:dyDescent="0.3">
      <c r="A1500">
        <v>1499</v>
      </c>
      <c r="B1500" s="24"/>
      <c r="C1500" s="24"/>
      <c r="D1500" s="24"/>
      <c r="E1500" s="24"/>
    </row>
    <row r="1501" spans="1:5" x14ac:dyDescent="0.3">
      <c r="A1501">
        <v>1500</v>
      </c>
      <c r="B1501" s="24"/>
      <c r="C1501" s="24"/>
      <c r="D1501" s="24"/>
      <c r="E1501" s="24"/>
    </row>
  </sheetData>
  <phoneticPr fontId="14" type="noConversion"/>
  <conditionalFormatting sqref="B1:B1048576">
    <cfRule type="duplicateValues" dxfId="39" priority="1"/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>
    <tabColor rgb="FF00B050"/>
  </sheetPr>
  <dimension ref="A1:K111"/>
  <sheetViews>
    <sheetView topLeftCell="A64" zoomScale="80" zoomScaleNormal="80" workbookViewId="0">
      <selection activeCell="D69" sqref="D69"/>
    </sheetView>
  </sheetViews>
  <sheetFormatPr defaultRowHeight="14.4" x14ac:dyDescent="0.3"/>
  <cols>
    <col min="2" max="2" width="25.77734375" customWidth="1"/>
    <col min="3" max="3" width="56.5546875" customWidth="1"/>
    <col min="4" max="4" width="60" customWidth="1"/>
    <col min="5" max="5" width="11.44140625" customWidth="1"/>
    <col min="6" max="6" width="12.21875" customWidth="1"/>
    <col min="7" max="7" width="14.21875" customWidth="1"/>
    <col min="8" max="8" width="14.77734375" customWidth="1"/>
    <col min="9" max="9" width="10.77734375" customWidth="1"/>
    <col min="10" max="10" width="10.77734375" style="32" customWidth="1"/>
    <col min="11" max="11" width="43" customWidth="1"/>
  </cols>
  <sheetData>
    <row r="1" spans="1:11" ht="48" customHeight="1" x14ac:dyDescent="0.3">
      <c r="A1" s="37" t="s">
        <v>507</v>
      </c>
      <c r="B1" s="37" t="s">
        <v>440</v>
      </c>
      <c r="C1" s="37" t="s">
        <v>845</v>
      </c>
      <c r="D1" s="37" t="s">
        <v>825</v>
      </c>
      <c r="E1" s="28" t="s">
        <v>441</v>
      </c>
      <c r="F1" s="37" t="s">
        <v>874</v>
      </c>
      <c r="G1" s="37" t="s">
        <v>513</v>
      </c>
      <c r="H1" s="37" t="s">
        <v>514</v>
      </c>
      <c r="I1" s="37" t="s">
        <v>824</v>
      </c>
      <c r="J1" s="38" t="s">
        <v>803</v>
      </c>
      <c r="K1" s="55" t="s">
        <v>953</v>
      </c>
    </row>
    <row r="2" spans="1:11" x14ac:dyDescent="0.3">
      <c r="A2">
        <v>1</v>
      </c>
      <c r="B2" s="24" t="s">
        <v>1015</v>
      </c>
      <c r="C2" s="24"/>
      <c r="D2" s="24" t="s">
        <v>811</v>
      </c>
      <c r="E2" s="24" t="s">
        <v>443</v>
      </c>
      <c r="F2" s="24" t="s">
        <v>876</v>
      </c>
      <c r="G2" s="24" t="s">
        <v>800</v>
      </c>
      <c r="H2" s="34">
        <v>0</v>
      </c>
      <c r="I2" s="34">
        <v>0</v>
      </c>
      <c r="K2" t="e">
        <f>VLOOKUP(Таблица1479[[#This Row],[KKS]],'[2]DBID Digital'!$B:$E,4,0)</f>
        <v>#N/A</v>
      </c>
    </row>
    <row r="3" spans="1:11" x14ac:dyDescent="0.3">
      <c r="A3">
        <v>2</v>
      </c>
      <c r="B3" s="24" t="s">
        <v>1016</v>
      </c>
      <c r="C3" s="24"/>
      <c r="D3" s="24" t="s">
        <v>810</v>
      </c>
      <c r="E3" s="24" t="s">
        <v>443</v>
      </c>
      <c r="F3" s="24" t="s">
        <v>876</v>
      </c>
      <c r="G3" s="24" t="s">
        <v>800</v>
      </c>
      <c r="H3" s="34">
        <v>0</v>
      </c>
      <c r="I3" s="34">
        <v>0</v>
      </c>
      <c r="K3" t="e">
        <f>VLOOKUP(Таблица1479[[#This Row],[KKS]],'[2]DBID Digital'!$B:$E,4,0)</f>
        <v>#N/A</v>
      </c>
    </row>
    <row r="4" spans="1:11" x14ac:dyDescent="0.3">
      <c r="A4">
        <v>3</v>
      </c>
      <c r="B4" s="24" t="s">
        <v>1017</v>
      </c>
      <c r="C4" s="24"/>
      <c r="D4" s="24" t="s">
        <v>812</v>
      </c>
      <c r="E4" s="24" t="s">
        <v>443</v>
      </c>
      <c r="F4" s="24" t="s">
        <v>877</v>
      </c>
      <c r="G4" s="24" t="s">
        <v>800</v>
      </c>
      <c r="H4" s="34">
        <v>0</v>
      </c>
      <c r="I4" s="34">
        <v>0</v>
      </c>
      <c r="K4" t="e">
        <f>VLOOKUP(Таблица1479[[#This Row],[KKS]],'[2]DBID Digital'!$B:$E,4,0)</f>
        <v>#N/A</v>
      </c>
    </row>
    <row r="5" spans="1:11" x14ac:dyDescent="0.3">
      <c r="A5">
        <v>4</v>
      </c>
      <c r="B5" s="24" t="s">
        <v>1018</v>
      </c>
      <c r="C5" s="24"/>
      <c r="D5" s="24" t="s">
        <v>813</v>
      </c>
      <c r="E5" s="24" t="s">
        <v>443</v>
      </c>
      <c r="F5" s="24" t="s">
        <v>876</v>
      </c>
      <c r="G5" s="24" t="s">
        <v>800</v>
      </c>
      <c r="H5" s="34">
        <v>0</v>
      </c>
      <c r="I5" s="34">
        <v>0</v>
      </c>
      <c r="K5" t="e">
        <f>VLOOKUP(Таблица1479[[#This Row],[KKS]],'[2]DBID Digital'!$B:$E,4,0)</f>
        <v>#N/A</v>
      </c>
    </row>
    <row r="6" spans="1:11" x14ac:dyDescent="0.3">
      <c r="A6">
        <v>5</v>
      </c>
      <c r="B6" s="24" t="s">
        <v>1019</v>
      </c>
      <c r="C6" s="24"/>
      <c r="D6" t="s">
        <v>814</v>
      </c>
      <c r="E6" s="24" t="s">
        <v>443</v>
      </c>
      <c r="F6" s="24" t="s">
        <v>876</v>
      </c>
      <c r="G6" s="24" t="s">
        <v>800</v>
      </c>
      <c r="H6" s="34">
        <v>0</v>
      </c>
      <c r="I6" s="34">
        <v>0</v>
      </c>
      <c r="K6" t="e">
        <f>VLOOKUP(Таблица1479[[#This Row],[KKS]],'[2]DBID Digital'!$B:$E,4,0)</f>
        <v>#N/A</v>
      </c>
    </row>
    <row r="7" spans="1:11" x14ac:dyDescent="0.3">
      <c r="A7">
        <v>6</v>
      </c>
      <c r="B7" t="s">
        <v>954</v>
      </c>
      <c r="C7" s="24" t="s">
        <v>816</v>
      </c>
      <c r="D7" t="s">
        <v>817</v>
      </c>
      <c r="E7" t="s">
        <v>444</v>
      </c>
      <c r="F7" t="s">
        <v>877</v>
      </c>
      <c r="G7" s="24" t="s">
        <v>800</v>
      </c>
      <c r="H7" s="35">
        <v>1</v>
      </c>
      <c r="I7" s="35">
        <v>1</v>
      </c>
      <c r="K7" t="e">
        <f>VLOOKUP(Таблица1479[[#This Row],[KKS]],'[2]DBID Digital'!$B:$E,4,0)</f>
        <v>#N/A</v>
      </c>
    </row>
    <row r="8" spans="1:11" x14ac:dyDescent="0.3">
      <c r="A8">
        <v>7</v>
      </c>
      <c r="B8" t="s">
        <v>955</v>
      </c>
      <c r="C8" s="24" t="s">
        <v>816</v>
      </c>
      <c r="D8" t="s">
        <v>818</v>
      </c>
      <c r="E8" t="s">
        <v>443</v>
      </c>
      <c r="F8" s="24" t="s">
        <v>876</v>
      </c>
      <c r="G8" s="24" t="s">
        <v>800</v>
      </c>
      <c r="H8" s="35">
        <v>1</v>
      </c>
      <c r="I8" s="35">
        <v>1</v>
      </c>
      <c r="K8" t="e">
        <f>VLOOKUP(Таблица1479[[#This Row],[KKS]],'[2]DBID Digital'!$B:$E,4,0)</f>
        <v>#N/A</v>
      </c>
    </row>
    <row r="9" spans="1:11" x14ac:dyDescent="0.3">
      <c r="A9">
        <v>8</v>
      </c>
      <c r="B9" t="s">
        <v>956</v>
      </c>
      <c r="C9" s="24" t="s">
        <v>816</v>
      </c>
      <c r="D9" t="s">
        <v>819</v>
      </c>
      <c r="E9" t="s">
        <v>443</v>
      </c>
      <c r="F9" s="24" t="s">
        <v>876</v>
      </c>
      <c r="G9" s="24" t="s">
        <v>800</v>
      </c>
      <c r="H9" s="35">
        <v>1</v>
      </c>
      <c r="I9" s="35">
        <v>1</v>
      </c>
      <c r="K9" t="e">
        <f>VLOOKUP(Таблица1479[[#This Row],[KKS]],'[2]DBID Digital'!$B:$E,4,0)</f>
        <v>#N/A</v>
      </c>
    </row>
    <row r="10" spans="1:11" x14ac:dyDescent="0.3">
      <c r="A10">
        <v>9</v>
      </c>
      <c r="B10" t="s">
        <v>957</v>
      </c>
      <c r="C10" t="s">
        <v>801</v>
      </c>
      <c r="D10" t="s">
        <v>817</v>
      </c>
      <c r="E10" t="s">
        <v>444</v>
      </c>
      <c r="F10" t="s">
        <v>877</v>
      </c>
      <c r="G10" s="24" t="s">
        <v>800</v>
      </c>
      <c r="H10" s="35">
        <v>2</v>
      </c>
      <c r="I10" s="35">
        <v>2</v>
      </c>
      <c r="K10" t="e">
        <f>VLOOKUP(Таблица1479[[#This Row],[KKS]],'[2]DBID Digital'!$B:$E,4,0)</f>
        <v>#N/A</v>
      </c>
    </row>
    <row r="11" spans="1:11" x14ac:dyDescent="0.3">
      <c r="A11">
        <v>10</v>
      </c>
      <c r="B11" t="s">
        <v>958</v>
      </c>
      <c r="C11" t="s">
        <v>801</v>
      </c>
      <c r="D11" t="s">
        <v>818</v>
      </c>
      <c r="E11" t="s">
        <v>443</v>
      </c>
      <c r="F11" s="24" t="s">
        <v>876</v>
      </c>
      <c r="G11" s="24" t="s">
        <v>800</v>
      </c>
      <c r="H11" s="35">
        <v>2</v>
      </c>
      <c r="I11" s="35">
        <v>2</v>
      </c>
      <c r="K11" t="e">
        <f>VLOOKUP(Таблица1479[[#This Row],[KKS]],'[2]DBID Digital'!$B:$E,4,0)</f>
        <v>#N/A</v>
      </c>
    </row>
    <row r="12" spans="1:11" x14ac:dyDescent="0.3">
      <c r="A12">
        <v>11</v>
      </c>
      <c r="B12" t="s">
        <v>959</v>
      </c>
      <c r="C12" t="s">
        <v>801</v>
      </c>
      <c r="D12" t="s">
        <v>819</v>
      </c>
      <c r="E12" t="s">
        <v>443</v>
      </c>
      <c r="F12" s="24" t="s">
        <v>876</v>
      </c>
      <c r="G12" s="24" t="s">
        <v>800</v>
      </c>
      <c r="H12" s="35">
        <v>2</v>
      </c>
      <c r="I12" s="35">
        <v>2</v>
      </c>
      <c r="K12" t="e">
        <f>VLOOKUP(Таблица1479[[#This Row],[KKS]],'[2]DBID Digital'!$B:$E,4,0)</f>
        <v>#N/A</v>
      </c>
    </row>
    <row r="13" spans="1:11" x14ac:dyDescent="0.3">
      <c r="A13">
        <v>12</v>
      </c>
      <c r="B13" t="s">
        <v>960</v>
      </c>
      <c r="C13" t="s">
        <v>802</v>
      </c>
      <c r="D13" t="s">
        <v>817</v>
      </c>
      <c r="E13" t="s">
        <v>444</v>
      </c>
      <c r="F13" t="s">
        <v>877</v>
      </c>
      <c r="G13" s="24" t="s">
        <v>800</v>
      </c>
      <c r="H13" s="35">
        <v>2</v>
      </c>
      <c r="I13" s="35">
        <v>2</v>
      </c>
      <c r="K13" t="e">
        <f>VLOOKUP(Таблица1479[[#This Row],[KKS]],'[2]DBID Digital'!$B:$E,4,0)</f>
        <v>#N/A</v>
      </c>
    </row>
    <row r="14" spans="1:11" x14ac:dyDescent="0.3">
      <c r="A14">
        <v>13</v>
      </c>
      <c r="B14" t="s">
        <v>961</v>
      </c>
      <c r="C14" t="s">
        <v>802</v>
      </c>
      <c r="D14" t="s">
        <v>818</v>
      </c>
      <c r="E14" t="s">
        <v>443</v>
      </c>
      <c r="F14" s="24" t="s">
        <v>876</v>
      </c>
      <c r="G14" s="24" t="s">
        <v>800</v>
      </c>
      <c r="H14" s="35">
        <v>2</v>
      </c>
      <c r="I14" s="35">
        <v>2</v>
      </c>
      <c r="K14" t="e">
        <f>VLOOKUP(Таблица1479[[#This Row],[KKS]],'[2]DBID Digital'!$B:$E,4,0)</f>
        <v>#N/A</v>
      </c>
    </row>
    <row r="15" spans="1:11" x14ac:dyDescent="0.3">
      <c r="A15">
        <v>14</v>
      </c>
      <c r="B15" t="s">
        <v>962</v>
      </c>
      <c r="C15" t="s">
        <v>802</v>
      </c>
      <c r="D15" t="s">
        <v>819</v>
      </c>
      <c r="E15" t="s">
        <v>443</v>
      </c>
      <c r="F15" s="24" t="s">
        <v>876</v>
      </c>
      <c r="G15" s="24" t="s">
        <v>800</v>
      </c>
      <c r="H15" s="35">
        <v>2</v>
      </c>
      <c r="I15" s="35">
        <v>2</v>
      </c>
      <c r="K15" t="e">
        <f>VLOOKUP(Таблица1479[[#This Row],[KKS]],'[2]DBID Digital'!$B:$E,4,0)</f>
        <v>#N/A</v>
      </c>
    </row>
    <row r="16" spans="1:11" x14ac:dyDescent="0.3">
      <c r="A16">
        <v>15</v>
      </c>
      <c r="B16" t="s">
        <v>963</v>
      </c>
      <c r="C16" t="s">
        <v>804</v>
      </c>
      <c r="D16" t="s">
        <v>820</v>
      </c>
      <c r="E16" t="s">
        <v>444</v>
      </c>
      <c r="F16" t="s">
        <v>877</v>
      </c>
      <c r="G16" s="24" t="s">
        <v>800</v>
      </c>
      <c r="H16" s="35">
        <v>3</v>
      </c>
      <c r="I16" s="35">
        <v>3</v>
      </c>
      <c r="K16" t="e">
        <f>VLOOKUP(Таблица1479[[#This Row],[KKS]],'[2]DBID Digital'!$B:$E,4,0)</f>
        <v>#N/A</v>
      </c>
    </row>
    <row r="17" spans="1:11" x14ac:dyDescent="0.3">
      <c r="A17">
        <v>16</v>
      </c>
      <c r="B17" t="s">
        <v>964</v>
      </c>
      <c r="C17" t="s">
        <v>804</v>
      </c>
      <c r="D17" t="s">
        <v>821</v>
      </c>
      <c r="E17" t="s">
        <v>444</v>
      </c>
      <c r="F17" t="s">
        <v>877</v>
      </c>
      <c r="G17" s="24" t="s">
        <v>800</v>
      </c>
      <c r="H17" s="35">
        <v>3</v>
      </c>
      <c r="I17" s="35">
        <v>3</v>
      </c>
      <c r="K17" t="e">
        <f>VLOOKUP(Таблица1479[[#This Row],[KKS]],'[2]DBID Digital'!$B:$E,4,0)</f>
        <v>#N/A</v>
      </c>
    </row>
    <row r="18" spans="1:11" x14ac:dyDescent="0.3">
      <c r="A18">
        <v>17</v>
      </c>
      <c r="B18" t="s">
        <v>965</v>
      </c>
      <c r="C18" t="s">
        <v>804</v>
      </c>
      <c r="D18" t="s">
        <v>818</v>
      </c>
      <c r="E18" t="s">
        <v>443</v>
      </c>
      <c r="F18" s="24" t="s">
        <v>876</v>
      </c>
      <c r="G18" s="24" t="s">
        <v>800</v>
      </c>
      <c r="H18" s="35">
        <v>3</v>
      </c>
      <c r="I18" s="35">
        <v>3</v>
      </c>
      <c r="K18" t="e">
        <f>VLOOKUP(Таблица1479[[#This Row],[KKS]],'[2]DBID Digital'!$B:$E,4,0)</f>
        <v>#N/A</v>
      </c>
    </row>
    <row r="19" spans="1:11" x14ac:dyDescent="0.3">
      <c r="A19">
        <v>18</v>
      </c>
      <c r="B19" t="s">
        <v>966</v>
      </c>
      <c r="C19" t="s">
        <v>804</v>
      </c>
      <c r="D19" t="s">
        <v>822</v>
      </c>
      <c r="E19" t="s">
        <v>443</v>
      </c>
      <c r="F19" s="24" t="s">
        <v>876</v>
      </c>
      <c r="G19" s="24" t="s">
        <v>800</v>
      </c>
      <c r="H19" s="35">
        <v>3</v>
      </c>
      <c r="I19" s="35">
        <v>3</v>
      </c>
      <c r="K19" t="e">
        <f>VLOOKUP(Таблица1479[[#This Row],[KKS]],'[2]DBID Digital'!$B:$E,4,0)</f>
        <v>#N/A</v>
      </c>
    </row>
    <row r="20" spans="1:11" x14ac:dyDescent="0.3">
      <c r="A20">
        <v>19</v>
      </c>
      <c r="B20" t="s">
        <v>967</v>
      </c>
      <c r="C20" t="s">
        <v>804</v>
      </c>
      <c r="D20" t="s">
        <v>823</v>
      </c>
      <c r="E20" t="s">
        <v>443</v>
      </c>
      <c r="F20" s="24" t="s">
        <v>876</v>
      </c>
      <c r="G20" s="24" t="s">
        <v>800</v>
      </c>
      <c r="H20" s="35">
        <v>3</v>
      </c>
      <c r="I20" s="35">
        <v>3</v>
      </c>
      <c r="K20" t="e">
        <f>VLOOKUP(Таблица1479[[#This Row],[KKS]],'[2]DBID Digital'!$B:$E,4,0)</f>
        <v>#N/A</v>
      </c>
    </row>
    <row r="21" spans="1:11" x14ac:dyDescent="0.3">
      <c r="A21">
        <v>20</v>
      </c>
      <c r="B21" t="s">
        <v>968</v>
      </c>
      <c r="C21" t="s">
        <v>805</v>
      </c>
      <c r="D21" t="s">
        <v>820</v>
      </c>
      <c r="E21" t="s">
        <v>444</v>
      </c>
      <c r="F21" t="s">
        <v>877</v>
      </c>
      <c r="G21" s="24" t="s">
        <v>800</v>
      </c>
      <c r="H21" s="35">
        <v>4</v>
      </c>
      <c r="I21" s="35">
        <v>3</v>
      </c>
      <c r="K21" t="e">
        <f>VLOOKUP(Таблица1479[[#This Row],[KKS]],'[2]DBID Digital'!$B:$E,4,0)</f>
        <v>#N/A</v>
      </c>
    </row>
    <row r="22" spans="1:11" x14ac:dyDescent="0.3">
      <c r="A22">
        <v>21</v>
      </c>
      <c r="B22" t="s">
        <v>969</v>
      </c>
      <c r="C22" t="s">
        <v>805</v>
      </c>
      <c r="D22" t="s">
        <v>821</v>
      </c>
      <c r="E22" t="s">
        <v>444</v>
      </c>
      <c r="F22" t="s">
        <v>877</v>
      </c>
      <c r="G22" s="24" t="s">
        <v>800</v>
      </c>
      <c r="H22" s="35">
        <v>4</v>
      </c>
      <c r="I22" s="35">
        <v>3</v>
      </c>
      <c r="K22" t="e">
        <f>VLOOKUP(Таблица1479[[#This Row],[KKS]],'[2]DBID Digital'!$B:$E,4,0)</f>
        <v>#N/A</v>
      </c>
    </row>
    <row r="23" spans="1:11" x14ac:dyDescent="0.3">
      <c r="A23">
        <v>22</v>
      </c>
      <c r="B23" t="s">
        <v>970</v>
      </c>
      <c r="C23" t="s">
        <v>805</v>
      </c>
      <c r="D23" t="s">
        <v>818</v>
      </c>
      <c r="E23" t="s">
        <v>443</v>
      </c>
      <c r="F23" s="24" t="s">
        <v>876</v>
      </c>
      <c r="G23" s="24" t="s">
        <v>800</v>
      </c>
      <c r="H23" s="35">
        <v>4</v>
      </c>
      <c r="I23" s="35">
        <v>3</v>
      </c>
      <c r="K23" t="e">
        <f>VLOOKUP(Таблица1479[[#This Row],[KKS]],'[2]DBID Digital'!$B:$E,4,0)</f>
        <v>#N/A</v>
      </c>
    </row>
    <row r="24" spans="1:11" x14ac:dyDescent="0.3">
      <c r="A24">
        <v>23</v>
      </c>
      <c r="B24" t="s">
        <v>971</v>
      </c>
      <c r="C24" t="s">
        <v>805</v>
      </c>
      <c r="D24" t="s">
        <v>822</v>
      </c>
      <c r="E24" t="s">
        <v>443</v>
      </c>
      <c r="F24" s="24" t="s">
        <v>876</v>
      </c>
      <c r="G24" s="24" t="s">
        <v>800</v>
      </c>
      <c r="H24" s="35">
        <v>4</v>
      </c>
      <c r="I24" s="35">
        <v>3</v>
      </c>
      <c r="K24" t="e">
        <f>VLOOKUP(Таблица1479[[#This Row],[KKS]],'[2]DBID Digital'!$B:$E,4,0)</f>
        <v>#N/A</v>
      </c>
    </row>
    <row r="25" spans="1:11" x14ac:dyDescent="0.3">
      <c r="A25">
        <v>24</v>
      </c>
      <c r="B25" t="s">
        <v>972</v>
      </c>
      <c r="C25" t="s">
        <v>805</v>
      </c>
      <c r="D25" t="s">
        <v>823</v>
      </c>
      <c r="E25" t="s">
        <v>443</v>
      </c>
      <c r="F25" s="24" t="s">
        <v>876</v>
      </c>
      <c r="G25" s="24" t="s">
        <v>800</v>
      </c>
      <c r="H25" s="35">
        <v>4</v>
      </c>
      <c r="I25" s="35">
        <v>3</v>
      </c>
      <c r="K25" t="e">
        <f>VLOOKUP(Таблица1479[[#This Row],[KKS]],'[2]DBID Digital'!$B:$E,4,0)</f>
        <v>#N/A</v>
      </c>
    </row>
    <row r="26" spans="1:11" x14ac:dyDescent="0.3">
      <c r="A26">
        <v>25</v>
      </c>
      <c r="B26" t="s">
        <v>973</v>
      </c>
      <c r="C26" t="s">
        <v>806</v>
      </c>
      <c r="D26" t="s">
        <v>820</v>
      </c>
      <c r="E26" t="s">
        <v>444</v>
      </c>
      <c r="F26" t="s">
        <v>877</v>
      </c>
      <c r="G26" s="24" t="s">
        <v>800</v>
      </c>
      <c r="H26" s="35">
        <v>5</v>
      </c>
      <c r="I26" s="35">
        <v>3</v>
      </c>
      <c r="K26" t="e">
        <f>VLOOKUP(Таблица1479[[#This Row],[KKS]],'[2]DBID Digital'!$B:$E,4,0)</f>
        <v>#N/A</v>
      </c>
    </row>
    <row r="27" spans="1:11" x14ac:dyDescent="0.3">
      <c r="A27">
        <v>26</v>
      </c>
      <c r="B27" t="s">
        <v>974</v>
      </c>
      <c r="C27" t="s">
        <v>806</v>
      </c>
      <c r="D27" t="s">
        <v>821</v>
      </c>
      <c r="E27" t="s">
        <v>444</v>
      </c>
      <c r="F27" t="s">
        <v>877</v>
      </c>
      <c r="G27" s="24" t="s">
        <v>800</v>
      </c>
      <c r="H27" s="35">
        <v>5</v>
      </c>
      <c r="I27" s="35">
        <v>3</v>
      </c>
      <c r="K27" t="e">
        <f>VLOOKUP(Таблица1479[[#This Row],[KKS]],'[2]DBID Digital'!$B:$E,4,0)</f>
        <v>#N/A</v>
      </c>
    </row>
    <row r="28" spans="1:11" x14ac:dyDescent="0.3">
      <c r="A28">
        <v>27</v>
      </c>
      <c r="B28" t="s">
        <v>975</v>
      </c>
      <c r="C28" t="s">
        <v>806</v>
      </c>
      <c r="D28" t="s">
        <v>818</v>
      </c>
      <c r="E28" t="s">
        <v>443</v>
      </c>
      <c r="F28" s="24" t="s">
        <v>876</v>
      </c>
      <c r="G28" s="24" t="s">
        <v>800</v>
      </c>
      <c r="H28" s="35">
        <v>5</v>
      </c>
      <c r="I28" s="35">
        <v>3</v>
      </c>
      <c r="K28" t="e">
        <f>VLOOKUP(Таблица1479[[#This Row],[KKS]],'[2]DBID Digital'!$B:$E,4,0)</f>
        <v>#N/A</v>
      </c>
    </row>
    <row r="29" spans="1:11" x14ac:dyDescent="0.3">
      <c r="A29">
        <v>28</v>
      </c>
      <c r="B29" t="s">
        <v>976</v>
      </c>
      <c r="C29" t="s">
        <v>806</v>
      </c>
      <c r="D29" t="s">
        <v>822</v>
      </c>
      <c r="E29" t="s">
        <v>443</v>
      </c>
      <c r="F29" s="24" t="s">
        <v>876</v>
      </c>
      <c r="G29" s="24" t="s">
        <v>800</v>
      </c>
      <c r="H29" s="35">
        <v>5</v>
      </c>
      <c r="I29" s="35">
        <v>3</v>
      </c>
      <c r="K29" t="e">
        <f>VLOOKUP(Таблица1479[[#This Row],[KKS]],'[2]DBID Digital'!$B:$E,4,0)</f>
        <v>#N/A</v>
      </c>
    </row>
    <row r="30" spans="1:11" x14ac:dyDescent="0.3">
      <c r="A30">
        <v>29</v>
      </c>
      <c r="B30" t="s">
        <v>977</v>
      </c>
      <c r="C30" t="s">
        <v>806</v>
      </c>
      <c r="D30" t="s">
        <v>823</v>
      </c>
      <c r="E30" t="s">
        <v>443</v>
      </c>
      <c r="F30" s="24" t="s">
        <v>876</v>
      </c>
      <c r="G30" s="24" t="s">
        <v>800</v>
      </c>
      <c r="H30" s="35">
        <v>5</v>
      </c>
      <c r="I30" s="35">
        <v>3</v>
      </c>
      <c r="K30" t="e">
        <f>VLOOKUP(Таблица1479[[#This Row],[KKS]],'[2]DBID Digital'!$B:$E,4,0)</f>
        <v>#N/A</v>
      </c>
    </row>
    <row r="31" spans="1:11" x14ac:dyDescent="0.3">
      <c r="A31">
        <v>30</v>
      </c>
      <c r="B31" t="s">
        <v>978</v>
      </c>
      <c r="C31" t="s">
        <v>807</v>
      </c>
      <c r="D31" t="s">
        <v>820</v>
      </c>
      <c r="E31" t="s">
        <v>444</v>
      </c>
      <c r="F31" t="s">
        <v>877</v>
      </c>
      <c r="G31" s="24" t="s">
        <v>800</v>
      </c>
      <c r="H31" s="35">
        <v>6</v>
      </c>
      <c r="I31" s="35">
        <v>3</v>
      </c>
      <c r="K31" t="e">
        <f>VLOOKUP(Таблица1479[[#This Row],[KKS]],'[2]DBID Digital'!$B:$E,4,0)</f>
        <v>#N/A</v>
      </c>
    </row>
    <row r="32" spans="1:11" x14ac:dyDescent="0.3">
      <c r="A32">
        <v>31</v>
      </c>
      <c r="B32" t="s">
        <v>979</v>
      </c>
      <c r="C32" t="s">
        <v>807</v>
      </c>
      <c r="D32" t="s">
        <v>821</v>
      </c>
      <c r="E32" t="s">
        <v>444</v>
      </c>
      <c r="F32" t="s">
        <v>877</v>
      </c>
      <c r="G32" s="24" t="s">
        <v>800</v>
      </c>
      <c r="H32" s="35">
        <v>6</v>
      </c>
      <c r="I32" s="35">
        <v>3</v>
      </c>
      <c r="K32" t="e">
        <f>VLOOKUP(Таблица1479[[#This Row],[KKS]],'[2]DBID Digital'!$B:$E,4,0)</f>
        <v>#N/A</v>
      </c>
    </row>
    <row r="33" spans="1:11" x14ac:dyDescent="0.3">
      <c r="A33">
        <v>32</v>
      </c>
      <c r="B33" t="s">
        <v>980</v>
      </c>
      <c r="C33" t="s">
        <v>807</v>
      </c>
      <c r="D33" t="s">
        <v>818</v>
      </c>
      <c r="E33" t="s">
        <v>443</v>
      </c>
      <c r="F33" s="24" t="s">
        <v>876</v>
      </c>
      <c r="G33" s="24" t="s">
        <v>800</v>
      </c>
      <c r="H33" s="35">
        <v>6</v>
      </c>
      <c r="I33" s="35">
        <v>3</v>
      </c>
      <c r="K33" t="e">
        <f>VLOOKUP(Таблица1479[[#This Row],[KKS]],'[2]DBID Digital'!$B:$E,4,0)</f>
        <v>#N/A</v>
      </c>
    </row>
    <row r="34" spans="1:11" x14ac:dyDescent="0.3">
      <c r="A34">
        <v>33</v>
      </c>
      <c r="B34" t="s">
        <v>981</v>
      </c>
      <c r="C34" t="s">
        <v>807</v>
      </c>
      <c r="D34" t="s">
        <v>822</v>
      </c>
      <c r="E34" t="s">
        <v>443</v>
      </c>
      <c r="F34" s="24" t="s">
        <v>876</v>
      </c>
      <c r="G34" s="24" t="s">
        <v>800</v>
      </c>
      <c r="H34" s="35">
        <v>6</v>
      </c>
      <c r="I34" s="35">
        <v>3</v>
      </c>
      <c r="K34" t="e">
        <f>VLOOKUP(Таблица1479[[#This Row],[KKS]],'[2]DBID Digital'!$B:$E,4,0)</f>
        <v>#N/A</v>
      </c>
    </row>
    <row r="35" spans="1:11" x14ac:dyDescent="0.3">
      <c r="A35">
        <v>34</v>
      </c>
      <c r="B35" t="s">
        <v>982</v>
      </c>
      <c r="C35" t="s">
        <v>807</v>
      </c>
      <c r="D35" t="s">
        <v>823</v>
      </c>
      <c r="E35" t="s">
        <v>443</v>
      </c>
      <c r="F35" s="24" t="s">
        <v>876</v>
      </c>
      <c r="G35" s="24" t="s">
        <v>800</v>
      </c>
      <c r="H35" s="35">
        <v>6</v>
      </c>
      <c r="I35" s="35">
        <v>3</v>
      </c>
      <c r="K35" t="e">
        <f>VLOOKUP(Таблица1479[[#This Row],[KKS]],'[2]DBID Digital'!$B:$E,4,0)</f>
        <v>#N/A</v>
      </c>
    </row>
    <row r="36" spans="1:11" x14ac:dyDescent="0.3">
      <c r="A36">
        <v>35</v>
      </c>
      <c r="B36" t="s">
        <v>1000</v>
      </c>
      <c r="C36" t="s">
        <v>808</v>
      </c>
      <c r="D36" t="s">
        <v>826</v>
      </c>
      <c r="E36" t="s">
        <v>444</v>
      </c>
      <c r="F36" t="s">
        <v>877</v>
      </c>
      <c r="G36" s="24" t="s">
        <v>800</v>
      </c>
      <c r="H36" s="35">
        <v>7</v>
      </c>
      <c r="I36" s="35">
        <v>4</v>
      </c>
      <c r="K36" t="e">
        <f>VLOOKUP(Таблица1479[[#This Row],[KKS]],'[2]DBID Digital'!$B:$E,4,0)</f>
        <v>#N/A</v>
      </c>
    </row>
    <row r="37" spans="1:11" x14ac:dyDescent="0.3">
      <c r="A37">
        <v>36</v>
      </c>
      <c r="B37" t="s">
        <v>1001</v>
      </c>
      <c r="C37" t="s">
        <v>808</v>
      </c>
      <c r="D37" t="s">
        <v>827</v>
      </c>
      <c r="E37" t="s">
        <v>444</v>
      </c>
      <c r="F37" t="s">
        <v>877</v>
      </c>
      <c r="G37" s="24" t="s">
        <v>800</v>
      </c>
      <c r="H37" s="35">
        <v>7</v>
      </c>
      <c r="I37" s="35">
        <v>4</v>
      </c>
      <c r="K37" t="e">
        <f>VLOOKUP(Таблица1479[[#This Row],[KKS]],'[2]DBID Digital'!$B:$E,4,0)</f>
        <v>#N/A</v>
      </c>
    </row>
    <row r="38" spans="1:11" x14ac:dyDescent="0.3">
      <c r="A38">
        <v>37</v>
      </c>
      <c r="B38" t="s">
        <v>1002</v>
      </c>
      <c r="C38" t="s">
        <v>808</v>
      </c>
      <c r="D38" t="s">
        <v>828</v>
      </c>
      <c r="E38" t="s">
        <v>443</v>
      </c>
      <c r="F38" s="24" t="s">
        <v>876</v>
      </c>
      <c r="G38" s="24" t="s">
        <v>800</v>
      </c>
      <c r="H38" s="35">
        <v>7</v>
      </c>
      <c r="I38" s="35">
        <v>4</v>
      </c>
      <c r="K38" t="e">
        <f>VLOOKUP(Таблица1479[[#This Row],[KKS]],'[2]DBID Digital'!$B:$E,4,0)</f>
        <v>#N/A</v>
      </c>
    </row>
    <row r="39" spans="1:11" x14ac:dyDescent="0.3">
      <c r="A39">
        <v>38</v>
      </c>
      <c r="B39" t="s">
        <v>730</v>
      </c>
      <c r="C39" t="s">
        <v>808</v>
      </c>
      <c r="D39" t="s">
        <v>829</v>
      </c>
      <c r="E39" t="s">
        <v>443</v>
      </c>
      <c r="F39" s="24" t="s">
        <v>876</v>
      </c>
      <c r="G39" s="24" t="s">
        <v>800</v>
      </c>
      <c r="H39" s="35">
        <v>7</v>
      </c>
      <c r="I39" s="35">
        <v>4</v>
      </c>
      <c r="K39" t="e">
        <f>VLOOKUP(Таблица1479[[#This Row],[KKS]],'[2]DBID Digital'!$B:$E,4,0)</f>
        <v>#N/A</v>
      </c>
    </row>
    <row r="40" spans="1:11" x14ac:dyDescent="0.3">
      <c r="A40">
        <v>39</v>
      </c>
      <c r="B40" t="s">
        <v>731</v>
      </c>
      <c r="C40" t="s">
        <v>808</v>
      </c>
      <c r="D40" t="s">
        <v>830</v>
      </c>
      <c r="E40" t="s">
        <v>443</v>
      </c>
      <c r="F40" s="24" t="s">
        <v>876</v>
      </c>
      <c r="G40" s="24" t="s">
        <v>800</v>
      </c>
      <c r="H40" s="35">
        <v>7</v>
      </c>
      <c r="I40" s="35">
        <v>4</v>
      </c>
      <c r="K40" t="e">
        <f>VLOOKUP(Таблица1479[[#This Row],[KKS]],'[2]DBID Digital'!$B:$E,4,0)</f>
        <v>#N/A</v>
      </c>
    </row>
    <row r="41" spans="1:11" x14ac:dyDescent="0.3">
      <c r="A41">
        <v>40</v>
      </c>
      <c r="B41" t="s">
        <v>726</v>
      </c>
      <c r="C41" t="s">
        <v>808</v>
      </c>
      <c r="D41" t="s">
        <v>832</v>
      </c>
      <c r="E41" t="s">
        <v>443</v>
      </c>
      <c r="F41" s="24" t="s">
        <v>876</v>
      </c>
      <c r="G41" s="24" t="s">
        <v>800</v>
      </c>
      <c r="H41" s="35">
        <v>7</v>
      </c>
      <c r="I41" s="35">
        <v>4</v>
      </c>
      <c r="K41" t="e">
        <f>VLOOKUP(Таблица1479[[#This Row],[KKS]],'[2]DBID Digital'!$B:$E,4,0)</f>
        <v>#N/A</v>
      </c>
    </row>
    <row r="42" spans="1:11" x14ac:dyDescent="0.3">
      <c r="A42">
        <v>41</v>
      </c>
      <c r="B42" t="s">
        <v>727</v>
      </c>
      <c r="C42" t="s">
        <v>808</v>
      </c>
      <c r="D42" t="s">
        <v>831</v>
      </c>
      <c r="E42" t="s">
        <v>443</v>
      </c>
      <c r="F42" s="24" t="s">
        <v>876</v>
      </c>
      <c r="G42" s="24" t="s">
        <v>800</v>
      </c>
      <c r="H42" s="35">
        <v>7</v>
      </c>
      <c r="I42" s="35">
        <v>4</v>
      </c>
      <c r="K42" t="e">
        <f>VLOOKUP(Таблица1479[[#This Row],[KKS]],'[2]DBID Digital'!$B:$E,4,0)</f>
        <v>#N/A</v>
      </c>
    </row>
    <row r="43" spans="1:11" x14ac:dyDescent="0.3">
      <c r="A43">
        <v>42</v>
      </c>
      <c r="B43" t="s">
        <v>728</v>
      </c>
      <c r="C43" t="s">
        <v>808</v>
      </c>
      <c r="D43" t="s">
        <v>833</v>
      </c>
      <c r="E43" t="s">
        <v>443</v>
      </c>
      <c r="F43" s="24" t="s">
        <v>876</v>
      </c>
      <c r="G43" s="24" t="s">
        <v>800</v>
      </c>
      <c r="H43" s="35">
        <v>7</v>
      </c>
      <c r="I43" s="35">
        <v>4</v>
      </c>
      <c r="K43" t="e">
        <f>VLOOKUP(Таблица1479[[#This Row],[KKS]],'[2]DBID Digital'!$B:$E,4,0)</f>
        <v>#N/A</v>
      </c>
    </row>
    <row r="44" spans="1:11" x14ac:dyDescent="0.3">
      <c r="A44">
        <v>43</v>
      </c>
      <c r="B44" t="s">
        <v>729</v>
      </c>
      <c r="C44" t="s">
        <v>808</v>
      </c>
      <c r="D44" t="s">
        <v>834</v>
      </c>
      <c r="E44" t="s">
        <v>443</v>
      </c>
      <c r="F44" s="24" t="s">
        <v>876</v>
      </c>
      <c r="G44" s="24" t="s">
        <v>800</v>
      </c>
      <c r="H44" s="35">
        <v>7</v>
      </c>
      <c r="I44" s="35">
        <v>4</v>
      </c>
      <c r="K44" t="e">
        <f>VLOOKUP(Таблица1479[[#This Row],[KKS]],'[2]DBID Digital'!$B:$E,4,0)</f>
        <v>#N/A</v>
      </c>
    </row>
    <row r="45" spans="1:11" x14ac:dyDescent="0.3">
      <c r="A45">
        <v>44</v>
      </c>
      <c r="B45" t="s">
        <v>1012</v>
      </c>
      <c r="C45" t="s">
        <v>808</v>
      </c>
      <c r="D45" t="s">
        <v>835</v>
      </c>
      <c r="E45" t="s">
        <v>443</v>
      </c>
      <c r="F45" s="24" t="s">
        <v>876</v>
      </c>
      <c r="G45" s="24" t="s">
        <v>800</v>
      </c>
      <c r="H45" s="35">
        <v>7</v>
      </c>
      <c r="I45" s="35">
        <v>4</v>
      </c>
      <c r="K45" t="e">
        <f>VLOOKUP(Таблица1479[[#This Row],[KKS]],'[2]DBID Digital'!$B:$E,4,0)</f>
        <v>#N/A</v>
      </c>
    </row>
    <row r="46" spans="1:11" x14ac:dyDescent="0.3">
      <c r="A46">
        <v>45</v>
      </c>
      <c r="B46" t="s">
        <v>1003</v>
      </c>
      <c r="C46" t="s">
        <v>808</v>
      </c>
      <c r="D46" t="s">
        <v>826</v>
      </c>
      <c r="E46" t="s">
        <v>444</v>
      </c>
      <c r="F46" t="s">
        <v>877</v>
      </c>
      <c r="G46" s="24" t="s">
        <v>800</v>
      </c>
      <c r="H46" s="35">
        <v>7</v>
      </c>
      <c r="I46" s="35">
        <v>4</v>
      </c>
      <c r="K46" t="e">
        <f>VLOOKUP(Таблица1479[[#This Row],[KKS]],'[2]DBID Digital'!$B:$E,4,0)</f>
        <v>#N/A</v>
      </c>
    </row>
    <row r="47" spans="1:11" x14ac:dyDescent="0.3">
      <c r="A47">
        <v>46</v>
      </c>
      <c r="B47" t="s">
        <v>1004</v>
      </c>
      <c r="C47" t="s">
        <v>808</v>
      </c>
      <c r="D47" t="s">
        <v>827</v>
      </c>
      <c r="E47" t="s">
        <v>444</v>
      </c>
      <c r="F47" t="s">
        <v>877</v>
      </c>
      <c r="G47" s="24" t="s">
        <v>800</v>
      </c>
      <c r="H47" s="35">
        <v>7</v>
      </c>
      <c r="I47" s="35">
        <v>4</v>
      </c>
      <c r="K47" t="e">
        <f>VLOOKUP(Таблица1479[[#This Row],[KKS]],'[2]DBID Digital'!$B:$E,4,0)</f>
        <v>#N/A</v>
      </c>
    </row>
    <row r="48" spans="1:11" x14ac:dyDescent="0.3">
      <c r="A48">
        <v>47</v>
      </c>
      <c r="B48" t="s">
        <v>1005</v>
      </c>
      <c r="C48" t="s">
        <v>808</v>
      </c>
      <c r="D48" t="s">
        <v>828</v>
      </c>
      <c r="E48" t="s">
        <v>443</v>
      </c>
      <c r="F48" s="24" t="s">
        <v>876</v>
      </c>
      <c r="G48" s="24" t="s">
        <v>800</v>
      </c>
      <c r="H48" s="35">
        <v>7</v>
      </c>
      <c r="I48" s="35">
        <v>4</v>
      </c>
      <c r="K48" t="e">
        <f>VLOOKUP(Таблица1479[[#This Row],[KKS]],'[2]DBID Digital'!$B:$E,4,0)</f>
        <v>#N/A</v>
      </c>
    </row>
    <row r="49" spans="1:11" x14ac:dyDescent="0.3">
      <c r="A49">
        <v>48</v>
      </c>
      <c r="B49" t="s">
        <v>1006</v>
      </c>
      <c r="C49" t="s">
        <v>808</v>
      </c>
      <c r="D49" t="s">
        <v>829</v>
      </c>
      <c r="E49" t="s">
        <v>443</v>
      </c>
      <c r="F49" s="24" t="s">
        <v>876</v>
      </c>
      <c r="G49" s="24" t="s">
        <v>800</v>
      </c>
      <c r="H49" s="35">
        <v>7</v>
      </c>
      <c r="I49" s="35">
        <v>4</v>
      </c>
      <c r="K49" t="e">
        <f>VLOOKUP(Таблица1479[[#This Row],[KKS]],'[2]DBID Digital'!$B:$E,4,0)</f>
        <v>#N/A</v>
      </c>
    </row>
    <row r="50" spans="1:11" x14ac:dyDescent="0.3">
      <c r="A50">
        <v>49</v>
      </c>
      <c r="B50" t="s">
        <v>1007</v>
      </c>
      <c r="C50" t="s">
        <v>808</v>
      </c>
      <c r="D50" t="s">
        <v>830</v>
      </c>
      <c r="E50" t="s">
        <v>443</v>
      </c>
      <c r="F50" s="24" t="s">
        <v>876</v>
      </c>
      <c r="G50" s="24" t="s">
        <v>800</v>
      </c>
      <c r="H50" s="35">
        <v>7</v>
      </c>
      <c r="I50" s="35">
        <v>4</v>
      </c>
      <c r="K50" t="e">
        <f>VLOOKUP(Таблица1479[[#This Row],[KKS]],'[2]DBID Digital'!$B:$E,4,0)</f>
        <v>#N/A</v>
      </c>
    </row>
    <row r="51" spans="1:11" x14ac:dyDescent="0.3">
      <c r="A51">
        <v>50</v>
      </c>
      <c r="B51" t="s">
        <v>1008</v>
      </c>
      <c r="C51" t="s">
        <v>808</v>
      </c>
      <c r="D51" t="s">
        <v>832</v>
      </c>
      <c r="E51" t="s">
        <v>443</v>
      </c>
      <c r="F51" s="24" t="s">
        <v>876</v>
      </c>
      <c r="G51" s="24" t="s">
        <v>800</v>
      </c>
      <c r="H51" s="35">
        <v>7</v>
      </c>
      <c r="I51" s="35">
        <v>4</v>
      </c>
      <c r="K51" t="e">
        <f>VLOOKUP(Таблица1479[[#This Row],[KKS]],'[2]DBID Digital'!$B:$E,4,0)</f>
        <v>#N/A</v>
      </c>
    </row>
    <row r="52" spans="1:11" x14ac:dyDescent="0.3">
      <c r="A52">
        <v>51</v>
      </c>
      <c r="B52" t="s">
        <v>1009</v>
      </c>
      <c r="C52" t="s">
        <v>808</v>
      </c>
      <c r="D52" t="s">
        <v>831</v>
      </c>
      <c r="E52" t="s">
        <v>443</v>
      </c>
      <c r="F52" s="24" t="s">
        <v>876</v>
      </c>
      <c r="G52" s="24" t="s">
        <v>800</v>
      </c>
      <c r="H52" s="35">
        <v>7</v>
      </c>
      <c r="I52" s="35">
        <v>4</v>
      </c>
      <c r="K52" t="e">
        <f>VLOOKUP(Таблица1479[[#This Row],[KKS]],'[2]DBID Digital'!$B:$E,4,0)</f>
        <v>#N/A</v>
      </c>
    </row>
    <row r="53" spans="1:11" x14ac:dyDescent="0.3">
      <c r="A53">
        <v>52</v>
      </c>
      <c r="B53" t="s">
        <v>1010</v>
      </c>
      <c r="C53" t="s">
        <v>808</v>
      </c>
      <c r="D53" t="s">
        <v>833</v>
      </c>
      <c r="E53" t="s">
        <v>443</v>
      </c>
      <c r="F53" s="24" t="s">
        <v>876</v>
      </c>
      <c r="G53" s="24" t="s">
        <v>800</v>
      </c>
      <c r="H53" s="35">
        <v>7</v>
      </c>
      <c r="I53" s="35">
        <v>4</v>
      </c>
      <c r="K53" t="e">
        <f>VLOOKUP(Таблица1479[[#This Row],[KKS]],'[2]DBID Digital'!$B:$E,4,0)</f>
        <v>#N/A</v>
      </c>
    </row>
    <row r="54" spans="1:11" x14ac:dyDescent="0.3">
      <c r="A54">
        <v>53</v>
      </c>
      <c r="B54" t="s">
        <v>1011</v>
      </c>
      <c r="C54" t="s">
        <v>808</v>
      </c>
      <c r="D54" t="s">
        <v>834</v>
      </c>
      <c r="E54" t="s">
        <v>443</v>
      </c>
      <c r="F54" s="24" t="s">
        <v>876</v>
      </c>
      <c r="G54" s="24" t="s">
        <v>800</v>
      </c>
      <c r="H54" s="35">
        <v>7</v>
      </c>
      <c r="I54" s="35">
        <v>4</v>
      </c>
      <c r="K54" t="e">
        <f>VLOOKUP(Таблица1479[[#This Row],[KKS]],'[2]DBID Digital'!$B:$E,4,0)</f>
        <v>#N/A</v>
      </c>
    </row>
    <row r="55" spans="1:11" x14ac:dyDescent="0.3">
      <c r="A55">
        <v>54</v>
      </c>
      <c r="B55" t="s">
        <v>1013</v>
      </c>
      <c r="C55" t="s">
        <v>808</v>
      </c>
      <c r="D55" t="s">
        <v>835</v>
      </c>
      <c r="E55" t="s">
        <v>443</v>
      </c>
      <c r="F55" s="24" t="s">
        <v>876</v>
      </c>
      <c r="G55" s="24" t="s">
        <v>800</v>
      </c>
      <c r="H55" s="35">
        <v>7</v>
      </c>
      <c r="I55" s="35">
        <v>4</v>
      </c>
      <c r="K55" t="e">
        <f>VLOOKUP(Таблица1479[[#This Row],[KKS]],'[2]DBID Digital'!$B:$E,4,0)</f>
        <v>#N/A</v>
      </c>
    </row>
    <row r="56" spans="1:11" x14ac:dyDescent="0.3">
      <c r="A56">
        <v>55</v>
      </c>
      <c r="B56" t="s">
        <v>989</v>
      </c>
      <c r="C56" t="s">
        <v>809</v>
      </c>
      <c r="D56" t="s">
        <v>836</v>
      </c>
      <c r="E56" t="s">
        <v>444</v>
      </c>
      <c r="F56" t="s">
        <v>877</v>
      </c>
      <c r="G56" s="24" t="s">
        <v>800</v>
      </c>
      <c r="H56" s="35">
        <v>8</v>
      </c>
      <c r="I56" s="35">
        <v>5</v>
      </c>
      <c r="K56" t="e">
        <f>VLOOKUP(Таблица1479[[#This Row],[KKS]],'[2]DBID Digital'!$B:$E,4,0)</f>
        <v>#N/A</v>
      </c>
    </row>
    <row r="57" spans="1:11" x14ac:dyDescent="0.3">
      <c r="A57">
        <v>56</v>
      </c>
      <c r="B57" t="s">
        <v>990</v>
      </c>
      <c r="C57" t="s">
        <v>992</v>
      </c>
      <c r="D57" t="s">
        <v>837</v>
      </c>
      <c r="E57" t="s">
        <v>444</v>
      </c>
      <c r="F57" t="s">
        <v>877</v>
      </c>
      <c r="G57" s="24" t="s">
        <v>800</v>
      </c>
      <c r="H57" s="35">
        <v>8</v>
      </c>
      <c r="I57" s="35">
        <v>5</v>
      </c>
      <c r="K57" t="e">
        <f>VLOOKUP(Таблица1479[[#This Row],[KKS]],'[2]DBID Digital'!$B:$E,4,0)</f>
        <v>#N/A</v>
      </c>
    </row>
    <row r="58" spans="1:11" x14ac:dyDescent="0.3">
      <c r="A58">
        <v>57</v>
      </c>
      <c r="B58" t="s">
        <v>991</v>
      </c>
      <c r="C58" t="s">
        <v>993</v>
      </c>
      <c r="D58" t="s">
        <v>838</v>
      </c>
      <c r="E58" t="s">
        <v>443</v>
      </c>
      <c r="F58" s="24" t="s">
        <v>876</v>
      </c>
      <c r="G58" s="24" t="s">
        <v>800</v>
      </c>
      <c r="H58" s="35">
        <v>8</v>
      </c>
      <c r="I58" s="35">
        <v>5</v>
      </c>
      <c r="K58" t="e">
        <f>VLOOKUP(Таблица1479[[#This Row],[KKS]],'[2]DBID Digital'!$B:$E,4,0)</f>
        <v>#N/A</v>
      </c>
    </row>
    <row r="59" spans="1:11" x14ac:dyDescent="0.3">
      <c r="A59">
        <v>58</v>
      </c>
      <c r="B59" t="s">
        <v>737</v>
      </c>
      <c r="C59" t="s">
        <v>994</v>
      </c>
      <c r="D59" t="s">
        <v>839</v>
      </c>
      <c r="E59" t="s">
        <v>443</v>
      </c>
      <c r="F59" s="24" t="s">
        <v>876</v>
      </c>
      <c r="G59" s="24" t="s">
        <v>800</v>
      </c>
      <c r="H59" s="35">
        <v>8</v>
      </c>
      <c r="I59" s="35">
        <v>5</v>
      </c>
      <c r="K59" t="e">
        <f>VLOOKUP(Таблица1479[[#This Row],[KKS]],'[2]DBID Digital'!$B:$E,4,0)</f>
        <v>#N/A</v>
      </c>
    </row>
    <row r="60" spans="1:11" x14ac:dyDescent="0.3">
      <c r="A60">
        <v>59</v>
      </c>
      <c r="B60" t="s">
        <v>733</v>
      </c>
      <c r="C60" t="s">
        <v>995</v>
      </c>
      <c r="D60" t="s">
        <v>840</v>
      </c>
      <c r="E60" t="s">
        <v>443</v>
      </c>
      <c r="F60" s="24" t="s">
        <v>876</v>
      </c>
      <c r="G60" s="24" t="s">
        <v>800</v>
      </c>
      <c r="H60" s="35">
        <v>8</v>
      </c>
      <c r="I60" s="35">
        <v>5</v>
      </c>
      <c r="K60" t="e">
        <f>VLOOKUP(Таблица1479[[#This Row],[KKS]],'[2]DBID Digital'!$B:$E,4,0)</f>
        <v>#N/A</v>
      </c>
    </row>
    <row r="61" spans="1:11" x14ac:dyDescent="0.3">
      <c r="A61">
        <v>60</v>
      </c>
      <c r="B61" t="s">
        <v>732</v>
      </c>
      <c r="C61" t="s">
        <v>996</v>
      </c>
      <c r="D61" t="s">
        <v>841</v>
      </c>
      <c r="E61" t="s">
        <v>443</v>
      </c>
      <c r="F61" s="24" t="s">
        <v>876</v>
      </c>
      <c r="G61" s="24" t="s">
        <v>800</v>
      </c>
      <c r="H61" s="35">
        <v>8</v>
      </c>
      <c r="I61" s="35">
        <v>5</v>
      </c>
      <c r="K61" t="e">
        <f>VLOOKUP(Таблица1479[[#This Row],[KKS]],'[2]DBID Digital'!$B:$E,4,0)</f>
        <v>#N/A</v>
      </c>
    </row>
    <row r="62" spans="1:11" x14ac:dyDescent="0.3">
      <c r="A62">
        <v>61</v>
      </c>
      <c r="B62" t="s">
        <v>736</v>
      </c>
      <c r="C62" t="s">
        <v>997</v>
      </c>
      <c r="D62" t="s">
        <v>842</v>
      </c>
      <c r="E62" t="s">
        <v>443</v>
      </c>
      <c r="F62" s="24" t="s">
        <v>876</v>
      </c>
      <c r="G62" s="24" t="s">
        <v>800</v>
      </c>
      <c r="H62" s="35">
        <v>8</v>
      </c>
      <c r="I62" s="35">
        <v>5</v>
      </c>
      <c r="K62" t="e">
        <f>VLOOKUP(Таблица1479[[#This Row],[KKS]],'[2]DBID Digital'!$B:$E,4,0)</f>
        <v>#N/A</v>
      </c>
    </row>
    <row r="63" spans="1:11" x14ac:dyDescent="0.3">
      <c r="A63">
        <v>62</v>
      </c>
      <c r="B63" t="s">
        <v>735</v>
      </c>
      <c r="C63" t="s">
        <v>998</v>
      </c>
      <c r="D63" t="s">
        <v>843</v>
      </c>
      <c r="E63" t="s">
        <v>443</v>
      </c>
      <c r="F63" s="24" t="s">
        <v>876</v>
      </c>
      <c r="G63" s="24" t="s">
        <v>800</v>
      </c>
      <c r="H63" s="35">
        <v>8</v>
      </c>
      <c r="I63" s="35">
        <v>5</v>
      </c>
      <c r="K63" t="e">
        <f>VLOOKUP(Таблица1479[[#This Row],[KKS]],'[2]DBID Digital'!$B:$E,4,0)</f>
        <v>#N/A</v>
      </c>
    </row>
    <row r="64" spans="1:11" x14ac:dyDescent="0.3">
      <c r="A64">
        <v>63</v>
      </c>
      <c r="B64" t="s">
        <v>734</v>
      </c>
      <c r="C64" t="s">
        <v>999</v>
      </c>
      <c r="D64" t="s">
        <v>844</v>
      </c>
      <c r="E64" t="s">
        <v>443</v>
      </c>
      <c r="F64" s="24" t="s">
        <v>876</v>
      </c>
      <c r="G64" s="24" t="s">
        <v>800</v>
      </c>
      <c r="H64" s="35">
        <v>8</v>
      </c>
      <c r="I64" s="35">
        <v>5</v>
      </c>
      <c r="K64" t="e">
        <f>VLOOKUP(Таблица1479[[#This Row],[KKS]],'[2]DBID Digital'!$B:$E,4,0)</f>
        <v>#N/A</v>
      </c>
    </row>
    <row r="71" spans="3:6" ht="15" thickBot="1" x14ac:dyDescent="0.35">
      <c r="C71" s="46" t="s">
        <v>1014</v>
      </c>
      <c r="D71" s="46" t="s">
        <v>825</v>
      </c>
      <c r="E71" s="46" t="s">
        <v>441</v>
      </c>
      <c r="F71" s="46" t="s">
        <v>824</v>
      </c>
    </row>
    <row r="72" spans="3:6" x14ac:dyDescent="0.3">
      <c r="C72" s="47" t="s">
        <v>983</v>
      </c>
      <c r="D72" s="48" t="s">
        <v>817</v>
      </c>
      <c r="E72" s="48" t="s">
        <v>444</v>
      </c>
      <c r="F72" s="49">
        <v>1</v>
      </c>
    </row>
    <row r="73" spans="3:6" x14ac:dyDescent="0.3">
      <c r="C73" s="50" t="s">
        <v>815</v>
      </c>
      <c r="D73" s="14" t="s">
        <v>818</v>
      </c>
      <c r="E73" s="14" t="s">
        <v>443</v>
      </c>
      <c r="F73" s="51">
        <v>1</v>
      </c>
    </row>
    <row r="74" spans="3:6" ht="15" thickBot="1" x14ac:dyDescent="0.35">
      <c r="C74" s="52" t="s">
        <v>984</v>
      </c>
      <c r="D74" s="53" t="s">
        <v>819</v>
      </c>
      <c r="E74" s="53" t="s">
        <v>443</v>
      </c>
      <c r="F74" s="54">
        <v>1</v>
      </c>
    </row>
    <row r="75" spans="3:6" x14ac:dyDescent="0.3">
      <c r="C75" s="47" t="s">
        <v>983</v>
      </c>
      <c r="D75" s="48" t="s">
        <v>817</v>
      </c>
      <c r="E75" s="48" t="s">
        <v>444</v>
      </c>
      <c r="F75" s="49">
        <v>2</v>
      </c>
    </row>
    <row r="76" spans="3:6" x14ac:dyDescent="0.3">
      <c r="C76" s="50" t="s">
        <v>815</v>
      </c>
      <c r="D76" s="14" t="s">
        <v>818</v>
      </c>
      <c r="E76" s="14" t="s">
        <v>443</v>
      </c>
      <c r="F76" s="51">
        <v>2</v>
      </c>
    </row>
    <row r="77" spans="3:6" ht="15" thickBot="1" x14ac:dyDescent="0.35">
      <c r="C77" s="52" t="s">
        <v>984</v>
      </c>
      <c r="D77" s="53" t="s">
        <v>819</v>
      </c>
      <c r="E77" s="53" t="s">
        <v>443</v>
      </c>
      <c r="F77" s="54">
        <v>2</v>
      </c>
    </row>
    <row r="78" spans="3:6" x14ac:dyDescent="0.3">
      <c r="C78" s="47" t="s">
        <v>985</v>
      </c>
      <c r="D78" s="48" t="s">
        <v>820</v>
      </c>
      <c r="E78" s="48" t="s">
        <v>444</v>
      </c>
      <c r="F78" s="49">
        <v>3</v>
      </c>
    </row>
    <row r="79" spans="3:6" x14ac:dyDescent="0.3">
      <c r="C79" s="50" t="s">
        <v>983</v>
      </c>
      <c r="D79" s="14" t="s">
        <v>821</v>
      </c>
      <c r="E79" s="14" t="s">
        <v>444</v>
      </c>
      <c r="F79" s="51">
        <v>3</v>
      </c>
    </row>
    <row r="80" spans="3:6" x14ac:dyDescent="0.3">
      <c r="C80" s="50" t="s">
        <v>815</v>
      </c>
      <c r="D80" s="14" t="s">
        <v>818</v>
      </c>
      <c r="E80" s="14" t="s">
        <v>443</v>
      </c>
      <c r="F80" s="51">
        <v>3</v>
      </c>
    </row>
    <row r="81" spans="3:6" x14ac:dyDescent="0.3">
      <c r="C81" s="50" t="s">
        <v>986</v>
      </c>
      <c r="D81" s="14" t="s">
        <v>822</v>
      </c>
      <c r="E81" s="14" t="s">
        <v>443</v>
      </c>
      <c r="F81" s="51">
        <v>3</v>
      </c>
    </row>
    <row r="82" spans="3:6" ht="15" thickBot="1" x14ac:dyDescent="0.35">
      <c r="C82" s="52" t="s">
        <v>987</v>
      </c>
      <c r="D82" s="53" t="s">
        <v>823</v>
      </c>
      <c r="E82" s="53" t="s">
        <v>443</v>
      </c>
      <c r="F82" s="54">
        <v>3</v>
      </c>
    </row>
    <row r="83" spans="3:6" x14ac:dyDescent="0.3">
      <c r="C83" s="47" t="s">
        <v>985</v>
      </c>
      <c r="D83" s="48" t="s">
        <v>826</v>
      </c>
      <c r="E83" s="48" t="s">
        <v>444</v>
      </c>
      <c r="F83" s="49">
        <v>4</v>
      </c>
    </row>
    <row r="84" spans="3:6" x14ac:dyDescent="0.3">
      <c r="C84" s="50" t="s">
        <v>983</v>
      </c>
      <c r="D84" s="14" t="s">
        <v>827</v>
      </c>
      <c r="E84" s="14" t="s">
        <v>444</v>
      </c>
      <c r="F84" s="51">
        <v>4</v>
      </c>
    </row>
    <row r="85" spans="3:6" x14ac:dyDescent="0.3">
      <c r="C85" s="50" t="s">
        <v>815</v>
      </c>
      <c r="D85" s="14" t="s">
        <v>828</v>
      </c>
      <c r="E85" s="14" t="s">
        <v>443</v>
      </c>
      <c r="F85" s="51">
        <v>4</v>
      </c>
    </row>
    <row r="86" spans="3:6" x14ac:dyDescent="0.3">
      <c r="C86" s="50" t="s">
        <v>988</v>
      </c>
      <c r="D86" s="14" t="s">
        <v>829</v>
      </c>
      <c r="E86" s="14" t="s">
        <v>443</v>
      </c>
      <c r="F86" s="51">
        <v>4</v>
      </c>
    </row>
    <row r="87" spans="3:6" ht="15" thickBot="1" x14ac:dyDescent="0.35">
      <c r="C87" s="52" t="s">
        <v>984</v>
      </c>
      <c r="D87" s="53" t="s">
        <v>830</v>
      </c>
      <c r="E87" s="53" t="s">
        <v>443</v>
      </c>
      <c r="F87" s="54">
        <v>4</v>
      </c>
    </row>
    <row r="88" spans="3:6" x14ac:dyDescent="0.3">
      <c r="C88" s="47" t="s">
        <v>988</v>
      </c>
      <c r="D88" s="48" t="s">
        <v>832</v>
      </c>
      <c r="E88" s="48" t="s">
        <v>443</v>
      </c>
      <c r="F88" s="49">
        <v>4</v>
      </c>
    </row>
    <row r="89" spans="3:6" x14ac:dyDescent="0.3">
      <c r="C89" s="50" t="s">
        <v>984</v>
      </c>
      <c r="D89" s="14" t="s">
        <v>831</v>
      </c>
      <c r="E89" s="14" t="s">
        <v>443</v>
      </c>
      <c r="F89" s="51">
        <v>4</v>
      </c>
    </row>
    <row r="90" spans="3:6" x14ac:dyDescent="0.3">
      <c r="C90" s="50" t="s">
        <v>988</v>
      </c>
      <c r="D90" s="14" t="s">
        <v>833</v>
      </c>
      <c r="E90" s="14" t="s">
        <v>443</v>
      </c>
      <c r="F90" s="51">
        <v>4</v>
      </c>
    </row>
    <row r="91" spans="3:6" x14ac:dyDescent="0.3">
      <c r="C91" s="50" t="s">
        <v>984</v>
      </c>
      <c r="D91" s="14" t="s">
        <v>834</v>
      </c>
      <c r="E91" s="14" t="s">
        <v>443</v>
      </c>
      <c r="F91" s="51">
        <v>4</v>
      </c>
    </row>
    <row r="92" spans="3:6" x14ac:dyDescent="0.3">
      <c r="C92" s="50" t="s">
        <v>984</v>
      </c>
      <c r="D92" s="14" t="s">
        <v>835</v>
      </c>
      <c r="E92" s="14" t="s">
        <v>443</v>
      </c>
      <c r="F92" s="51">
        <v>4</v>
      </c>
    </row>
    <row r="93" spans="3:6" x14ac:dyDescent="0.3">
      <c r="C93" s="50" t="s">
        <v>985</v>
      </c>
      <c r="D93" s="14" t="s">
        <v>826</v>
      </c>
      <c r="E93" s="14" t="s">
        <v>444</v>
      </c>
      <c r="F93" s="51">
        <v>4</v>
      </c>
    </row>
    <row r="94" spans="3:6" x14ac:dyDescent="0.3">
      <c r="C94" s="50" t="s">
        <v>983</v>
      </c>
      <c r="D94" s="14" t="s">
        <v>827</v>
      </c>
      <c r="E94" s="14" t="s">
        <v>444</v>
      </c>
      <c r="F94" s="51">
        <v>4</v>
      </c>
    </row>
    <row r="95" spans="3:6" x14ac:dyDescent="0.3">
      <c r="C95" s="50" t="s">
        <v>815</v>
      </c>
      <c r="D95" s="14" t="s">
        <v>828</v>
      </c>
      <c r="E95" s="14" t="s">
        <v>443</v>
      </c>
      <c r="F95" s="51">
        <v>4</v>
      </c>
    </row>
    <row r="96" spans="3:6" x14ac:dyDescent="0.3">
      <c r="C96" s="50" t="s">
        <v>988</v>
      </c>
      <c r="D96" s="14" t="s">
        <v>829</v>
      </c>
      <c r="E96" s="14" t="s">
        <v>443</v>
      </c>
      <c r="F96" s="51">
        <v>4</v>
      </c>
    </row>
    <row r="97" spans="3:6" x14ac:dyDescent="0.3">
      <c r="C97" s="50" t="s">
        <v>984</v>
      </c>
      <c r="D97" s="14" t="s">
        <v>830</v>
      </c>
      <c r="E97" s="14" t="s">
        <v>443</v>
      </c>
      <c r="F97" s="51">
        <v>4</v>
      </c>
    </row>
    <row r="98" spans="3:6" x14ac:dyDescent="0.3">
      <c r="C98" s="50" t="s">
        <v>988</v>
      </c>
      <c r="D98" s="14" t="s">
        <v>832</v>
      </c>
      <c r="E98" s="14" t="s">
        <v>443</v>
      </c>
      <c r="F98" s="51">
        <v>4</v>
      </c>
    </row>
    <row r="99" spans="3:6" x14ac:dyDescent="0.3">
      <c r="C99" s="50" t="s">
        <v>984</v>
      </c>
      <c r="D99" s="14" t="s">
        <v>831</v>
      </c>
      <c r="E99" s="14" t="s">
        <v>443</v>
      </c>
      <c r="F99" s="51">
        <v>4</v>
      </c>
    </row>
    <row r="100" spans="3:6" x14ac:dyDescent="0.3">
      <c r="C100" s="50" t="s">
        <v>988</v>
      </c>
      <c r="D100" s="14" t="s">
        <v>833</v>
      </c>
      <c r="E100" s="14" t="s">
        <v>443</v>
      </c>
      <c r="F100" s="51">
        <v>4</v>
      </c>
    </row>
    <row r="101" spans="3:6" x14ac:dyDescent="0.3">
      <c r="C101" s="50" t="s">
        <v>984</v>
      </c>
      <c r="D101" s="14" t="s">
        <v>834</v>
      </c>
      <c r="E101" s="14" t="s">
        <v>443</v>
      </c>
      <c r="F101" s="51">
        <v>4</v>
      </c>
    </row>
    <row r="102" spans="3:6" ht="15" thickBot="1" x14ac:dyDescent="0.35">
      <c r="C102" s="52" t="s">
        <v>984</v>
      </c>
      <c r="D102" s="53" t="s">
        <v>835</v>
      </c>
      <c r="E102" s="53" t="s">
        <v>443</v>
      </c>
      <c r="F102" s="54">
        <v>4</v>
      </c>
    </row>
    <row r="103" spans="3:6" x14ac:dyDescent="0.3">
      <c r="C103" s="47" t="s">
        <v>985</v>
      </c>
      <c r="D103" s="48" t="s">
        <v>836</v>
      </c>
      <c r="E103" s="48" t="s">
        <v>444</v>
      </c>
      <c r="F103" s="49">
        <v>5</v>
      </c>
    </row>
    <row r="104" spans="3:6" x14ac:dyDescent="0.3">
      <c r="C104" s="50" t="s">
        <v>983</v>
      </c>
      <c r="D104" s="14" t="s">
        <v>837</v>
      </c>
      <c r="E104" s="14" t="s">
        <v>444</v>
      </c>
      <c r="F104" s="51">
        <v>5</v>
      </c>
    </row>
    <row r="105" spans="3:6" x14ac:dyDescent="0.3">
      <c r="C105" s="50" t="s">
        <v>815</v>
      </c>
      <c r="D105" s="14" t="s">
        <v>838</v>
      </c>
      <c r="E105" s="14" t="s">
        <v>443</v>
      </c>
      <c r="F105" s="51">
        <v>5</v>
      </c>
    </row>
    <row r="106" spans="3:6" x14ac:dyDescent="0.3">
      <c r="C106" s="50" t="s">
        <v>984</v>
      </c>
      <c r="D106" s="14" t="s">
        <v>839</v>
      </c>
      <c r="E106" s="14" t="s">
        <v>443</v>
      </c>
      <c r="F106" s="51">
        <v>5</v>
      </c>
    </row>
    <row r="107" spans="3:6" x14ac:dyDescent="0.3">
      <c r="C107" s="50" t="s">
        <v>984</v>
      </c>
      <c r="D107" s="14" t="s">
        <v>840</v>
      </c>
      <c r="E107" s="14" t="s">
        <v>443</v>
      </c>
      <c r="F107" s="51">
        <v>5</v>
      </c>
    </row>
    <row r="108" spans="3:6" x14ac:dyDescent="0.3">
      <c r="C108" s="50" t="s">
        <v>984</v>
      </c>
      <c r="D108" s="14" t="s">
        <v>841</v>
      </c>
      <c r="E108" s="14" t="s">
        <v>443</v>
      </c>
      <c r="F108" s="51">
        <v>5</v>
      </c>
    </row>
    <row r="109" spans="3:6" x14ac:dyDescent="0.3">
      <c r="C109" s="50" t="s">
        <v>984</v>
      </c>
      <c r="D109" s="14" t="s">
        <v>842</v>
      </c>
      <c r="E109" s="14" t="s">
        <v>443</v>
      </c>
      <c r="F109" s="51">
        <v>5</v>
      </c>
    </row>
    <row r="110" spans="3:6" x14ac:dyDescent="0.3">
      <c r="C110" s="50" t="s">
        <v>984</v>
      </c>
      <c r="D110" s="14" t="s">
        <v>843</v>
      </c>
      <c r="E110" s="14" t="s">
        <v>443</v>
      </c>
      <c r="F110" s="51">
        <v>5</v>
      </c>
    </row>
    <row r="111" spans="3:6" ht="15" thickBot="1" x14ac:dyDescent="0.35">
      <c r="C111" s="52" t="s">
        <v>984</v>
      </c>
      <c r="D111" s="53" t="s">
        <v>844</v>
      </c>
      <c r="E111" s="53" t="s">
        <v>443</v>
      </c>
      <c r="F111" s="54">
        <v>5</v>
      </c>
    </row>
  </sheetData>
  <phoneticPr fontId="14" type="noConversion"/>
  <conditionalFormatting sqref="B1:B1048576">
    <cfRule type="duplicateValues" dxfId="38" priority="2"/>
  </conditionalFormatting>
  <conditionalFormatting sqref="K2:K64">
    <cfRule type="containsErrors" dxfId="37" priority="1">
      <formula>ISERROR(K2)</formula>
    </cfRule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8">
    <tabColor rgb="FF0070C0"/>
  </sheetPr>
  <dimension ref="A2:W457"/>
  <sheetViews>
    <sheetView zoomScale="70" zoomScaleNormal="70" workbookViewId="0">
      <pane ySplit="2" topLeftCell="A3" activePane="bottomLeft" state="frozen"/>
      <selection pane="bottomLeft" activeCell="J25" sqref="J25"/>
    </sheetView>
  </sheetViews>
  <sheetFormatPr defaultRowHeight="14.4" x14ac:dyDescent="0.3"/>
  <cols>
    <col min="1" max="1" width="21.44140625" style="113" customWidth="1"/>
    <col min="2" max="2" width="8.5546875" style="113" hidden="1" customWidth="1"/>
    <col min="3" max="3" width="57.33203125" style="43" customWidth="1"/>
    <col min="4" max="4" width="10.88671875" customWidth="1"/>
    <col min="5" max="6" width="15.77734375" customWidth="1"/>
    <col min="7" max="7" width="38.5546875" style="19" customWidth="1"/>
    <col min="8" max="8" width="18" style="19" customWidth="1"/>
    <col min="9" max="9" width="13.77734375" style="19" customWidth="1"/>
    <col min="10" max="10" width="13.77734375" style="9" customWidth="1"/>
    <col min="11" max="11" width="13.77734375" style="28" customWidth="1"/>
    <col min="12" max="13" width="13.77734375" style="240" customWidth="1"/>
    <col min="14" max="14" width="13.77734375" style="28" customWidth="1"/>
    <col min="15" max="15" width="13.77734375" style="27" customWidth="1"/>
  </cols>
  <sheetData>
    <row r="2" spans="1:15" ht="42" customHeight="1" x14ac:dyDescent="0.3">
      <c r="A2" s="124" t="s">
        <v>4152</v>
      </c>
      <c r="B2" s="124" t="s">
        <v>4205</v>
      </c>
      <c r="C2" s="41" t="s">
        <v>508</v>
      </c>
      <c r="D2" s="44" t="s">
        <v>3009</v>
      </c>
      <c r="E2" s="44" t="s">
        <v>2985</v>
      </c>
      <c r="F2" s="44" t="s">
        <v>2988</v>
      </c>
      <c r="G2" s="97" t="s">
        <v>2989</v>
      </c>
      <c r="H2" s="97" t="s">
        <v>4319</v>
      </c>
      <c r="I2" s="97" t="s">
        <v>3254</v>
      </c>
      <c r="J2" s="159" t="s">
        <v>4574</v>
      </c>
      <c r="K2" s="165" t="s">
        <v>4575</v>
      </c>
      <c r="L2" s="241" t="s">
        <v>4664</v>
      </c>
      <c r="M2" s="241" t="s">
        <v>4665</v>
      </c>
      <c r="N2" s="244" t="s">
        <v>4663</v>
      </c>
      <c r="O2" s="44" t="s">
        <v>4458</v>
      </c>
    </row>
    <row r="3" spans="1:15" ht="15" customHeight="1" x14ac:dyDescent="0.3">
      <c r="A3" s="217" t="s">
        <v>4162</v>
      </c>
      <c r="B3" s="192" t="s">
        <v>4161</v>
      </c>
      <c r="C3" s="218" t="s">
        <v>5</v>
      </c>
      <c r="D3" s="45" t="s">
        <v>948</v>
      </c>
      <c r="E3" s="45" t="s">
        <v>2986</v>
      </c>
      <c r="F3" s="45">
        <v>540</v>
      </c>
      <c r="G3" s="98" t="s">
        <v>2990</v>
      </c>
      <c r="H3" s="98" t="s">
        <v>4468</v>
      </c>
      <c r="I3" s="98" t="s">
        <v>4462</v>
      </c>
      <c r="J3" s="160" t="s">
        <v>4616</v>
      </c>
      <c r="K3" s="166">
        <v>4</v>
      </c>
      <c r="L3" s="239" t="s">
        <v>4692</v>
      </c>
      <c r="M3" s="239" t="s">
        <v>4669</v>
      </c>
      <c r="N3" s="200">
        <v>15</v>
      </c>
      <c r="O3" s="45" t="s">
        <v>4604</v>
      </c>
    </row>
    <row r="4" spans="1:15" ht="15" customHeight="1" x14ac:dyDescent="0.3">
      <c r="A4" s="217" t="s">
        <v>4164</v>
      </c>
      <c r="B4" s="192" t="s">
        <v>4161</v>
      </c>
      <c r="C4" s="218" t="s">
        <v>6</v>
      </c>
      <c r="D4" s="45" t="s">
        <v>948</v>
      </c>
      <c r="E4" s="45" t="s">
        <v>2986</v>
      </c>
      <c r="F4" s="45">
        <v>540</v>
      </c>
      <c r="G4" s="98" t="s">
        <v>2990</v>
      </c>
      <c r="H4" s="98" t="s">
        <v>4468</v>
      </c>
      <c r="I4" s="98" t="s">
        <v>4462</v>
      </c>
      <c r="J4" s="160" t="s">
        <v>4616</v>
      </c>
      <c r="K4" s="166">
        <v>5</v>
      </c>
      <c r="L4" s="239" t="s">
        <v>4692</v>
      </c>
      <c r="M4" s="239" t="s">
        <v>4669</v>
      </c>
      <c r="N4" s="200">
        <v>15</v>
      </c>
      <c r="O4" s="45" t="s">
        <v>4604</v>
      </c>
    </row>
    <row r="5" spans="1:15" ht="15" customHeight="1" x14ac:dyDescent="0.3">
      <c r="A5" s="217" t="s">
        <v>4163</v>
      </c>
      <c r="B5" s="192" t="s">
        <v>4471</v>
      </c>
      <c r="C5" s="218" t="s">
        <v>13</v>
      </c>
      <c r="D5" s="45" t="s">
        <v>948</v>
      </c>
      <c r="E5" s="45" t="s">
        <v>2986</v>
      </c>
      <c r="F5" s="45">
        <v>540</v>
      </c>
      <c r="G5" s="98" t="s">
        <v>2991</v>
      </c>
      <c r="H5" s="98" t="s">
        <v>4472</v>
      </c>
      <c r="I5" s="98" t="s">
        <v>4462</v>
      </c>
      <c r="J5" s="160" t="s">
        <v>4617</v>
      </c>
      <c r="K5" s="166">
        <v>1</v>
      </c>
      <c r="L5" s="239" t="s">
        <v>4695</v>
      </c>
      <c r="M5" s="239" t="s">
        <v>4669</v>
      </c>
      <c r="N5" s="200">
        <v>15</v>
      </c>
      <c r="O5" s="45" t="s">
        <v>4604</v>
      </c>
    </row>
    <row r="6" spans="1:15" ht="15" customHeight="1" x14ac:dyDescent="0.3">
      <c r="A6" s="217" t="s">
        <v>4169</v>
      </c>
      <c r="B6" s="192" t="s">
        <v>4471</v>
      </c>
      <c r="C6" s="218" t="s">
        <v>14</v>
      </c>
      <c r="D6" s="45" t="s">
        <v>948</v>
      </c>
      <c r="E6" s="45" t="s">
        <v>2986</v>
      </c>
      <c r="F6" s="45">
        <v>540</v>
      </c>
      <c r="G6" s="98" t="s">
        <v>2991</v>
      </c>
      <c r="H6" s="98" t="s">
        <v>4472</v>
      </c>
      <c r="I6" s="98" t="s">
        <v>4462</v>
      </c>
      <c r="J6" s="160" t="s">
        <v>4617</v>
      </c>
      <c r="K6" s="166">
        <v>2</v>
      </c>
      <c r="L6" s="239" t="s">
        <v>4695</v>
      </c>
      <c r="M6" s="239" t="s">
        <v>4669</v>
      </c>
      <c r="N6" s="200">
        <v>15</v>
      </c>
      <c r="O6" s="45" t="s">
        <v>4604</v>
      </c>
    </row>
    <row r="7" spans="1:15" ht="15" customHeight="1" x14ac:dyDescent="0.3">
      <c r="A7" s="217" t="s">
        <v>4053</v>
      </c>
      <c r="B7" s="192" t="s">
        <v>4161</v>
      </c>
      <c r="C7" s="218" t="s">
        <v>2</v>
      </c>
      <c r="D7" s="45" t="s">
        <v>948</v>
      </c>
      <c r="E7" s="45" t="s">
        <v>2986</v>
      </c>
      <c r="F7" s="45">
        <v>540</v>
      </c>
      <c r="G7" s="45" t="s">
        <v>2992</v>
      </c>
      <c r="H7" s="98" t="s">
        <v>4468</v>
      </c>
      <c r="I7" s="98" t="s">
        <v>4462</v>
      </c>
      <c r="J7" s="160" t="s">
        <v>4616</v>
      </c>
      <c r="K7" s="166">
        <v>6</v>
      </c>
      <c r="L7" s="239" t="s">
        <v>4692</v>
      </c>
      <c r="M7" s="239" t="s">
        <v>4669</v>
      </c>
      <c r="N7" s="200">
        <v>15</v>
      </c>
      <c r="O7" s="45" t="s">
        <v>4604</v>
      </c>
    </row>
    <row r="8" spans="1:15" ht="15" customHeight="1" x14ac:dyDescent="0.3">
      <c r="A8" s="217" t="s">
        <v>4361</v>
      </c>
      <c r="B8" s="192" t="s">
        <v>4471</v>
      </c>
      <c r="C8" s="218" t="s">
        <v>3</v>
      </c>
      <c r="D8" s="45" t="s">
        <v>948</v>
      </c>
      <c r="E8" s="45" t="s">
        <v>2986</v>
      </c>
      <c r="F8" s="45">
        <v>540</v>
      </c>
      <c r="G8" s="45" t="s">
        <v>2993</v>
      </c>
      <c r="H8" s="98" t="s">
        <v>4472</v>
      </c>
      <c r="I8" s="98" t="s">
        <v>4462</v>
      </c>
      <c r="J8" s="160" t="s">
        <v>4617</v>
      </c>
      <c r="K8" s="166">
        <v>3</v>
      </c>
      <c r="L8" s="239" t="s">
        <v>4695</v>
      </c>
      <c r="M8" s="239" t="s">
        <v>4669</v>
      </c>
      <c r="N8" s="200">
        <v>15</v>
      </c>
      <c r="O8" s="45" t="s">
        <v>4604</v>
      </c>
    </row>
    <row r="9" spans="1:15" ht="15" customHeight="1" x14ac:dyDescent="0.3">
      <c r="A9" s="217" t="s">
        <v>4165</v>
      </c>
      <c r="B9" s="192" t="s">
        <v>4161</v>
      </c>
      <c r="C9" s="218" t="s">
        <v>4</v>
      </c>
      <c r="D9" s="45" t="s">
        <v>948</v>
      </c>
      <c r="E9" s="45" t="s">
        <v>2986</v>
      </c>
      <c r="F9" s="45">
        <v>505</v>
      </c>
      <c r="G9" s="98" t="s">
        <v>2994</v>
      </c>
      <c r="H9" s="98" t="s">
        <v>4468</v>
      </c>
      <c r="I9" s="98" t="s">
        <v>4462</v>
      </c>
      <c r="J9" s="160" t="s">
        <v>4616</v>
      </c>
      <c r="K9" s="166">
        <v>1</v>
      </c>
      <c r="L9" s="239" t="s">
        <v>4692</v>
      </c>
      <c r="M9" s="239" t="s">
        <v>4669</v>
      </c>
      <c r="N9" s="200">
        <v>15</v>
      </c>
      <c r="O9" s="45" t="s">
        <v>4604</v>
      </c>
    </row>
    <row r="10" spans="1:15" ht="15" customHeight="1" x14ac:dyDescent="0.3">
      <c r="A10" s="217" t="s">
        <v>4166</v>
      </c>
      <c r="B10" s="192" t="s">
        <v>4471</v>
      </c>
      <c r="C10" s="218" t="s">
        <v>12</v>
      </c>
      <c r="D10" s="45" t="s">
        <v>948</v>
      </c>
      <c r="E10" s="45" t="s">
        <v>2986</v>
      </c>
      <c r="F10" s="45">
        <v>505</v>
      </c>
      <c r="G10" s="98" t="s">
        <v>2995</v>
      </c>
      <c r="H10" s="98" t="s">
        <v>4472</v>
      </c>
      <c r="I10" s="98" t="s">
        <v>4462</v>
      </c>
      <c r="J10" s="160" t="s">
        <v>4617</v>
      </c>
      <c r="K10" s="166">
        <v>4</v>
      </c>
      <c r="L10" s="239" t="s">
        <v>4695</v>
      </c>
      <c r="M10" s="239" t="s">
        <v>4669</v>
      </c>
      <c r="N10" s="200">
        <v>15</v>
      </c>
      <c r="O10" s="45" t="s">
        <v>4604</v>
      </c>
    </row>
    <row r="11" spans="1:15" ht="15" customHeight="1" x14ac:dyDescent="0.3">
      <c r="A11" s="217" t="s">
        <v>4170</v>
      </c>
      <c r="B11" s="192" t="s">
        <v>4161</v>
      </c>
      <c r="C11" s="218" t="s">
        <v>4206</v>
      </c>
      <c r="D11" s="45" t="s">
        <v>948</v>
      </c>
      <c r="E11" s="45" t="s">
        <v>2986</v>
      </c>
      <c r="F11" s="45">
        <v>500</v>
      </c>
      <c r="G11" s="98" t="s">
        <v>2996</v>
      </c>
      <c r="H11" s="98" t="s">
        <v>4468</v>
      </c>
      <c r="I11" s="98" t="s">
        <v>4462</v>
      </c>
      <c r="J11" s="160" t="s">
        <v>4616</v>
      </c>
      <c r="K11" s="166">
        <v>2</v>
      </c>
      <c r="L11" s="239" t="s">
        <v>4692</v>
      </c>
      <c r="M11" s="239" t="s">
        <v>4669</v>
      </c>
      <c r="N11" s="200">
        <v>15</v>
      </c>
      <c r="O11" s="45" t="s">
        <v>4604</v>
      </c>
    </row>
    <row r="12" spans="1:15" ht="15" customHeight="1" x14ac:dyDescent="0.3">
      <c r="A12" s="217" t="s">
        <v>4167</v>
      </c>
      <c r="B12" s="192" t="s">
        <v>4471</v>
      </c>
      <c r="C12" s="218" t="s">
        <v>4218</v>
      </c>
      <c r="D12" s="45" t="s">
        <v>948</v>
      </c>
      <c r="E12" s="45" t="s">
        <v>2986</v>
      </c>
      <c r="F12" s="45">
        <v>500</v>
      </c>
      <c r="G12" s="98" t="s">
        <v>2997</v>
      </c>
      <c r="H12" s="98" t="s">
        <v>4472</v>
      </c>
      <c r="I12" s="98" t="s">
        <v>4462</v>
      </c>
      <c r="J12" s="160" t="s">
        <v>4617</v>
      </c>
      <c r="K12" s="166">
        <v>5</v>
      </c>
      <c r="L12" s="239" t="s">
        <v>4695</v>
      </c>
      <c r="M12" s="239" t="s">
        <v>4669</v>
      </c>
      <c r="N12" s="200">
        <v>15</v>
      </c>
      <c r="O12" s="45" t="s">
        <v>4604</v>
      </c>
    </row>
    <row r="13" spans="1:15" ht="15" customHeight="1" x14ac:dyDescent="0.3">
      <c r="A13" s="217" t="s">
        <v>4171</v>
      </c>
      <c r="B13" s="192" t="s">
        <v>4161</v>
      </c>
      <c r="C13" s="218" t="s">
        <v>893</v>
      </c>
      <c r="D13" s="45" t="s">
        <v>948</v>
      </c>
      <c r="E13" s="45" t="s">
        <v>2986</v>
      </c>
      <c r="F13" s="45">
        <v>500</v>
      </c>
      <c r="G13" s="98" t="s">
        <v>2996</v>
      </c>
      <c r="H13" s="98" t="s">
        <v>4468</v>
      </c>
      <c r="I13" s="98" t="s">
        <v>4462</v>
      </c>
      <c r="J13" s="160" t="s">
        <v>4616</v>
      </c>
      <c r="K13" s="166">
        <v>3</v>
      </c>
      <c r="L13" s="239" t="s">
        <v>4692</v>
      </c>
      <c r="M13" s="239" t="s">
        <v>4669</v>
      </c>
      <c r="N13" s="200">
        <v>15</v>
      </c>
      <c r="O13" s="45" t="s">
        <v>4604</v>
      </c>
    </row>
    <row r="14" spans="1:15" ht="15" customHeight="1" x14ac:dyDescent="0.3">
      <c r="A14" s="217" t="s">
        <v>4168</v>
      </c>
      <c r="B14" s="192" t="s">
        <v>4471</v>
      </c>
      <c r="C14" s="218" t="s">
        <v>894</v>
      </c>
      <c r="D14" s="45" t="s">
        <v>948</v>
      </c>
      <c r="E14" s="45" t="s">
        <v>2986</v>
      </c>
      <c r="F14" s="45">
        <v>500</v>
      </c>
      <c r="G14" s="98" t="s">
        <v>2997</v>
      </c>
      <c r="H14" s="98" t="s">
        <v>4472</v>
      </c>
      <c r="I14" s="98" t="s">
        <v>4462</v>
      </c>
      <c r="J14" s="160" t="s">
        <v>4617</v>
      </c>
      <c r="K14" s="166">
        <v>6</v>
      </c>
      <c r="L14" s="239" t="s">
        <v>4695</v>
      </c>
      <c r="M14" s="239" t="s">
        <v>4669</v>
      </c>
      <c r="N14" s="200">
        <v>15</v>
      </c>
      <c r="O14" s="45" t="s">
        <v>4604</v>
      </c>
    </row>
    <row r="15" spans="1:15" ht="15" customHeight="1" x14ac:dyDescent="0.3">
      <c r="A15" s="100" t="s">
        <v>4423</v>
      </c>
      <c r="B15" s="192" t="s">
        <v>4346</v>
      </c>
      <c r="C15" s="218" t="s">
        <v>232</v>
      </c>
      <c r="D15" s="45" t="s">
        <v>948</v>
      </c>
      <c r="E15" s="45" t="s">
        <v>2986</v>
      </c>
      <c r="F15" s="45">
        <v>540</v>
      </c>
      <c r="G15" s="45" t="s">
        <v>2998</v>
      </c>
      <c r="H15" s="148" t="s">
        <v>4346</v>
      </c>
      <c r="I15" s="98" t="s">
        <v>4486</v>
      </c>
      <c r="J15" s="160" t="s">
        <v>4616</v>
      </c>
      <c r="K15" s="166">
        <v>1</v>
      </c>
      <c r="L15" s="239" t="s">
        <v>4780</v>
      </c>
      <c r="M15" s="239" t="s">
        <v>4464</v>
      </c>
      <c r="N15" s="200">
        <v>2</v>
      </c>
      <c r="O15" s="45" t="s">
        <v>4604</v>
      </c>
    </row>
    <row r="16" spans="1:15" ht="15" customHeight="1" x14ac:dyDescent="0.3">
      <c r="A16" s="100" t="s">
        <v>4425</v>
      </c>
      <c r="B16" s="192" t="s">
        <v>4346</v>
      </c>
      <c r="C16" s="218" t="s">
        <v>233</v>
      </c>
      <c r="D16" s="45" t="s">
        <v>948</v>
      </c>
      <c r="E16" s="45" t="s">
        <v>2986</v>
      </c>
      <c r="F16" s="45">
        <v>540</v>
      </c>
      <c r="G16" s="45" t="s">
        <v>2998</v>
      </c>
      <c r="H16" s="148" t="s">
        <v>4346</v>
      </c>
      <c r="I16" s="98" t="s">
        <v>4486</v>
      </c>
      <c r="J16" s="160" t="s">
        <v>4616</v>
      </c>
      <c r="K16" s="166">
        <v>2</v>
      </c>
      <c r="L16" s="239" t="s">
        <v>4782</v>
      </c>
      <c r="M16" s="239" t="s">
        <v>4464</v>
      </c>
      <c r="N16" s="200">
        <v>2</v>
      </c>
      <c r="O16" s="45" t="s">
        <v>4604</v>
      </c>
    </row>
    <row r="17" spans="1:15" ht="15" customHeight="1" x14ac:dyDescent="0.3">
      <c r="A17" s="100" t="s">
        <v>4424</v>
      </c>
      <c r="B17" s="192" t="s">
        <v>4346</v>
      </c>
      <c r="C17" s="218" t="s">
        <v>232</v>
      </c>
      <c r="D17" s="45" t="s">
        <v>948</v>
      </c>
      <c r="E17" s="45" t="s">
        <v>2986</v>
      </c>
      <c r="F17" s="45">
        <v>540</v>
      </c>
      <c r="G17" s="45" t="s">
        <v>2998</v>
      </c>
      <c r="H17" s="148" t="s">
        <v>4346</v>
      </c>
      <c r="I17" s="98" t="s">
        <v>4486</v>
      </c>
      <c r="J17" s="160" t="s">
        <v>4617</v>
      </c>
      <c r="K17" s="166">
        <v>1</v>
      </c>
      <c r="L17" s="239" t="s">
        <v>4781</v>
      </c>
      <c r="M17" s="239" t="s">
        <v>4464</v>
      </c>
      <c r="N17" s="200">
        <v>2</v>
      </c>
      <c r="O17" s="45" t="s">
        <v>4604</v>
      </c>
    </row>
    <row r="18" spans="1:15" ht="15" customHeight="1" x14ac:dyDescent="0.3">
      <c r="A18" s="100" t="s">
        <v>4426</v>
      </c>
      <c r="B18" s="192" t="s">
        <v>4346</v>
      </c>
      <c r="C18" s="218" t="s">
        <v>233</v>
      </c>
      <c r="D18" s="45" t="s">
        <v>948</v>
      </c>
      <c r="E18" s="45" t="s">
        <v>2986</v>
      </c>
      <c r="F18" s="45">
        <v>540</v>
      </c>
      <c r="G18" s="45" t="s">
        <v>2998</v>
      </c>
      <c r="H18" s="148" t="s">
        <v>4346</v>
      </c>
      <c r="I18" s="98" t="s">
        <v>4486</v>
      </c>
      <c r="J18" s="160" t="s">
        <v>4617</v>
      </c>
      <c r="K18" s="166">
        <v>2</v>
      </c>
      <c r="L18" s="239" t="s">
        <v>4783</v>
      </c>
      <c r="M18" s="239" t="s">
        <v>4464</v>
      </c>
      <c r="N18" s="200">
        <v>2</v>
      </c>
      <c r="O18" s="45" t="s">
        <v>4604</v>
      </c>
    </row>
    <row r="19" spans="1:15" ht="15" customHeight="1" x14ac:dyDescent="0.3">
      <c r="A19" s="155" t="s">
        <v>3973</v>
      </c>
      <c r="B19" s="120" t="s">
        <v>4153</v>
      </c>
      <c r="C19" s="218" t="s">
        <v>20</v>
      </c>
      <c r="D19" s="45" t="s">
        <v>948</v>
      </c>
      <c r="E19" s="45" t="s">
        <v>2986</v>
      </c>
      <c r="F19" s="45">
        <v>535</v>
      </c>
      <c r="G19" s="45" t="s">
        <v>2999</v>
      </c>
      <c r="H19" s="98" t="s">
        <v>4461</v>
      </c>
      <c r="I19" s="98" t="s">
        <v>4462</v>
      </c>
      <c r="J19" s="160" t="s">
        <v>4585</v>
      </c>
      <c r="K19" s="166">
        <v>1</v>
      </c>
      <c r="L19" s="239" t="s">
        <v>4667</v>
      </c>
      <c r="M19" s="239" t="s">
        <v>4661</v>
      </c>
      <c r="N19" s="200">
        <v>22</v>
      </c>
      <c r="O19" s="45" t="s">
        <v>4604</v>
      </c>
    </row>
    <row r="20" spans="1:15" ht="15" customHeight="1" x14ac:dyDescent="0.3">
      <c r="A20" s="155" t="s">
        <v>3974</v>
      </c>
      <c r="B20" s="120" t="s">
        <v>4158</v>
      </c>
      <c r="C20" s="218" t="s">
        <v>24</v>
      </c>
      <c r="D20" s="45" t="s">
        <v>948</v>
      </c>
      <c r="E20" s="45" t="s">
        <v>2986</v>
      </c>
      <c r="F20" s="45">
        <v>535</v>
      </c>
      <c r="G20" s="45" t="s">
        <v>3001</v>
      </c>
      <c r="H20" s="98" t="s">
        <v>4465</v>
      </c>
      <c r="I20" s="98" t="s">
        <v>4462</v>
      </c>
      <c r="J20" s="160" t="s">
        <v>4586</v>
      </c>
      <c r="K20" s="166">
        <v>1</v>
      </c>
      <c r="L20" s="239" t="s">
        <v>4677</v>
      </c>
      <c r="M20" s="239" t="s">
        <v>4661</v>
      </c>
      <c r="N20" s="200">
        <v>22</v>
      </c>
      <c r="O20" s="45" t="s">
        <v>4604</v>
      </c>
    </row>
    <row r="21" spans="1:15" ht="15" customHeight="1" x14ac:dyDescent="0.3">
      <c r="A21" s="155" t="s">
        <v>3977</v>
      </c>
      <c r="B21" s="120" t="s">
        <v>4158</v>
      </c>
      <c r="C21" s="218" t="s">
        <v>888</v>
      </c>
      <c r="D21" s="45" t="s">
        <v>948</v>
      </c>
      <c r="E21" s="45" t="s">
        <v>2986</v>
      </c>
      <c r="F21" s="45">
        <v>510</v>
      </c>
      <c r="G21" s="45" t="s">
        <v>3003</v>
      </c>
      <c r="H21" s="98" t="s">
        <v>4465</v>
      </c>
      <c r="I21" s="98" t="s">
        <v>4462</v>
      </c>
      <c r="J21" s="160" t="s">
        <v>4585</v>
      </c>
      <c r="K21" s="166">
        <v>6</v>
      </c>
      <c r="L21" s="239" t="s">
        <v>4677</v>
      </c>
      <c r="M21" s="239" t="s">
        <v>4661</v>
      </c>
      <c r="N21" s="200">
        <v>22</v>
      </c>
      <c r="O21" s="45" t="s">
        <v>4604</v>
      </c>
    </row>
    <row r="22" spans="1:15" ht="15" customHeight="1" x14ac:dyDescent="0.3">
      <c r="A22" s="155" t="s">
        <v>3978</v>
      </c>
      <c r="B22" s="120" t="s">
        <v>4153</v>
      </c>
      <c r="C22" s="218" t="s">
        <v>890</v>
      </c>
      <c r="D22" s="45" t="s">
        <v>948</v>
      </c>
      <c r="E22" s="45" t="s">
        <v>2986</v>
      </c>
      <c r="F22" s="45">
        <v>510</v>
      </c>
      <c r="G22" s="45" t="s">
        <v>3006</v>
      </c>
      <c r="H22" s="98" t="s">
        <v>4461</v>
      </c>
      <c r="I22" s="98" t="s">
        <v>4462</v>
      </c>
      <c r="J22" s="160" t="s">
        <v>4586</v>
      </c>
      <c r="K22" s="166">
        <v>6</v>
      </c>
      <c r="L22" s="239" t="s">
        <v>4667</v>
      </c>
      <c r="M22" s="239" t="s">
        <v>4661</v>
      </c>
      <c r="N22" s="200">
        <v>22</v>
      </c>
      <c r="O22" s="45" t="s">
        <v>4604</v>
      </c>
    </row>
    <row r="23" spans="1:15" ht="15" customHeight="1" x14ac:dyDescent="0.3">
      <c r="A23" s="155" t="s">
        <v>3979</v>
      </c>
      <c r="B23" s="120" t="s">
        <v>4158</v>
      </c>
      <c r="C23" s="218" t="s">
        <v>21</v>
      </c>
      <c r="D23" s="45" t="s">
        <v>948</v>
      </c>
      <c r="E23" s="45" t="s">
        <v>2986</v>
      </c>
      <c r="F23" s="45">
        <v>545</v>
      </c>
      <c r="G23" s="45" t="s">
        <v>3000</v>
      </c>
      <c r="H23" s="98" t="s">
        <v>4465</v>
      </c>
      <c r="I23" s="98" t="s">
        <v>4462</v>
      </c>
      <c r="J23" s="160" t="s">
        <v>4585</v>
      </c>
      <c r="K23" s="166">
        <v>7</v>
      </c>
      <c r="L23" s="239" t="s">
        <v>4677</v>
      </c>
      <c r="M23" s="239" t="s">
        <v>4661</v>
      </c>
      <c r="N23" s="200">
        <v>22</v>
      </c>
      <c r="O23" s="45" t="s">
        <v>4604</v>
      </c>
    </row>
    <row r="24" spans="1:15" ht="15" customHeight="1" x14ac:dyDescent="0.3">
      <c r="A24" s="155" t="s">
        <v>3981</v>
      </c>
      <c r="B24" s="120" t="s">
        <v>4153</v>
      </c>
      <c r="C24" s="218" t="s">
        <v>25</v>
      </c>
      <c r="D24" s="45" t="s">
        <v>948</v>
      </c>
      <c r="E24" s="45" t="s">
        <v>2986</v>
      </c>
      <c r="F24" s="45">
        <v>545</v>
      </c>
      <c r="G24" s="45" t="s">
        <v>3002</v>
      </c>
      <c r="H24" s="98" t="s">
        <v>4461</v>
      </c>
      <c r="I24" s="98" t="s">
        <v>4462</v>
      </c>
      <c r="J24" s="160" t="s">
        <v>4586</v>
      </c>
      <c r="K24" s="166">
        <v>7</v>
      </c>
      <c r="L24" s="239" t="s">
        <v>4667</v>
      </c>
      <c r="M24" s="239" t="s">
        <v>4661</v>
      </c>
      <c r="N24" s="200">
        <v>22</v>
      </c>
      <c r="O24" s="45" t="s">
        <v>4604</v>
      </c>
    </row>
    <row r="25" spans="1:15" ht="15" customHeight="1" x14ac:dyDescent="0.3">
      <c r="A25" s="155" t="s">
        <v>3980</v>
      </c>
      <c r="B25" s="120" t="s">
        <v>4153</v>
      </c>
      <c r="C25" s="218" t="s">
        <v>889</v>
      </c>
      <c r="D25" s="45" t="s">
        <v>948</v>
      </c>
      <c r="E25" s="45" t="s">
        <v>2986</v>
      </c>
      <c r="F25" s="45">
        <v>530</v>
      </c>
      <c r="G25" s="45" t="s">
        <v>3005</v>
      </c>
      <c r="H25" s="98" t="s">
        <v>4461</v>
      </c>
      <c r="I25" s="98" t="s">
        <v>4462</v>
      </c>
      <c r="J25" s="160" t="s">
        <v>4585</v>
      </c>
      <c r="K25" s="166">
        <v>8</v>
      </c>
      <c r="L25" s="239" t="s">
        <v>4667</v>
      </c>
      <c r="M25" s="239" t="s">
        <v>4661</v>
      </c>
      <c r="N25" s="200">
        <v>22</v>
      </c>
      <c r="O25" s="45" t="s">
        <v>4604</v>
      </c>
    </row>
    <row r="26" spans="1:15" ht="15" customHeight="1" x14ac:dyDescent="0.3">
      <c r="A26" s="155" t="s">
        <v>3982</v>
      </c>
      <c r="B26" s="120" t="s">
        <v>4158</v>
      </c>
      <c r="C26" s="218" t="s">
        <v>891</v>
      </c>
      <c r="D26" s="45" t="s">
        <v>948</v>
      </c>
      <c r="E26" s="45" t="s">
        <v>2986</v>
      </c>
      <c r="F26" s="45">
        <v>530</v>
      </c>
      <c r="G26" s="45" t="s">
        <v>3008</v>
      </c>
      <c r="H26" s="98" t="s">
        <v>4465</v>
      </c>
      <c r="I26" s="98" t="s">
        <v>4462</v>
      </c>
      <c r="J26" s="160" t="s">
        <v>4586</v>
      </c>
      <c r="K26" s="166">
        <v>8</v>
      </c>
      <c r="L26" s="239" t="s">
        <v>4677</v>
      </c>
      <c r="M26" s="239" t="s">
        <v>4661</v>
      </c>
      <c r="N26" s="200">
        <v>22</v>
      </c>
      <c r="O26" s="45" t="s">
        <v>4604</v>
      </c>
    </row>
    <row r="27" spans="1:15" ht="15" customHeight="1" x14ac:dyDescent="0.3">
      <c r="A27" s="155" t="s">
        <v>3975</v>
      </c>
      <c r="B27" s="120" t="s">
        <v>4158</v>
      </c>
      <c r="C27" s="218" t="s">
        <v>4207</v>
      </c>
      <c r="D27" s="45" t="s">
        <v>948</v>
      </c>
      <c r="E27" s="45" t="s">
        <v>2986</v>
      </c>
      <c r="F27" s="45">
        <v>535</v>
      </c>
      <c r="G27" s="45" t="s">
        <v>2999</v>
      </c>
      <c r="H27" s="98" t="s">
        <v>4465</v>
      </c>
      <c r="I27" s="98" t="s">
        <v>4462</v>
      </c>
      <c r="J27" s="160" t="s">
        <v>4585</v>
      </c>
      <c r="K27" s="166">
        <v>2</v>
      </c>
      <c r="L27" s="239" t="s">
        <v>4677</v>
      </c>
      <c r="M27" s="239" t="s">
        <v>4661</v>
      </c>
      <c r="N27" s="200">
        <v>22</v>
      </c>
      <c r="O27" s="45" t="s">
        <v>4604</v>
      </c>
    </row>
    <row r="28" spans="1:15" ht="15" customHeight="1" x14ac:dyDescent="0.3">
      <c r="A28" s="155" t="s">
        <v>3987</v>
      </c>
      <c r="B28" s="120" t="s">
        <v>4153</v>
      </c>
      <c r="C28" s="218" t="s">
        <v>4209</v>
      </c>
      <c r="D28" s="45" t="s">
        <v>948</v>
      </c>
      <c r="E28" s="45" t="s">
        <v>2986</v>
      </c>
      <c r="F28" s="45">
        <v>535</v>
      </c>
      <c r="G28" s="45" t="s">
        <v>3001</v>
      </c>
      <c r="H28" s="98" t="s">
        <v>4461</v>
      </c>
      <c r="I28" s="98" t="s">
        <v>4462</v>
      </c>
      <c r="J28" s="160" t="s">
        <v>4586</v>
      </c>
      <c r="K28" s="166">
        <v>2</v>
      </c>
      <c r="L28" s="239" t="s">
        <v>4667</v>
      </c>
      <c r="M28" s="239" t="s">
        <v>4661</v>
      </c>
      <c r="N28" s="200">
        <v>22</v>
      </c>
      <c r="O28" s="45" t="s">
        <v>4604</v>
      </c>
    </row>
    <row r="29" spans="1:15" ht="15" customHeight="1" x14ac:dyDescent="0.3">
      <c r="A29" s="155" t="s">
        <v>3983</v>
      </c>
      <c r="B29" s="120" t="s">
        <v>4158</v>
      </c>
      <c r="C29" s="219" t="s">
        <v>22</v>
      </c>
      <c r="D29" s="45" t="s">
        <v>948</v>
      </c>
      <c r="E29" s="45" t="s">
        <v>2986</v>
      </c>
      <c r="F29" s="45">
        <v>535</v>
      </c>
      <c r="G29" s="45" t="s">
        <v>3003</v>
      </c>
      <c r="H29" s="98" t="s">
        <v>4465</v>
      </c>
      <c r="I29" s="98" t="s">
        <v>4462</v>
      </c>
      <c r="J29" s="160" t="s">
        <v>4585</v>
      </c>
      <c r="K29" s="166">
        <v>3</v>
      </c>
      <c r="L29" s="239" t="s">
        <v>4677</v>
      </c>
      <c r="M29" s="239" t="s">
        <v>4661</v>
      </c>
      <c r="N29" s="200">
        <v>22</v>
      </c>
      <c r="O29" s="45" t="s">
        <v>4604</v>
      </c>
    </row>
    <row r="30" spans="1:15" ht="15" customHeight="1" x14ac:dyDescent="0.3">
      <c r="A30" s="220" t="s">
        <v>3985</v>
      </c>
      <c r="B30" s="120" t="s">
        <v>4153</v>
      </c>
      <c r="C30" s="219" t="s">
        <v>26</v>
      </c>
      <c r="D30" s="45" t="s">
        <v>948</v>
      </c>
      <c r="E30" s="45" t="s">
        <v>2986</v>
      </c>
      <c r="F30" s="45">
        <v>535</v>
      </c>
      <c r="G30" s="45" t="s">
        <v>3006</v>
      </c>
      <c r="H30" s="98" t="s">
        <v>4461</v>
      </c>
      <c r="I30" s="98" t="s">
        <v>4462</v>
      </c>
      <c r="J30" s="160" t="s">
        <v>4586</v>
      </c>
      <c r="K30" s="166">
        <v>3</v>
      </c>
      <c r="L30" s="239" t="s">
        <v>4667</v>
      </c>
      <c r="M30" s="239" t="s">
        <v>4661</v>
      </c>
      <c r="N30" s="200">
        <v>22</v>
      </c>
      <c r="O30" s="45" t="s">
        <v>4604</v>
      </c>
    </row>
    <row r="31" spans="1:15" ht="15" customHeight="1" x14ac:dyDescent="0.3">
      <c r="A31" s="220" t="s">
        <v>3988</v>
      </c>
      <c r="B31" s="120" t="s">
        <v>4153</v>
      </c>
      <c r="C31" s="218" t="s">
        <v>4208</v>
      </c>
      <c r="D31" s="45" t="s">
        <v>948</v>
      </c>
      <c r="E31" s="45" t="s">
        <v>2986</v>
      </c>
      <c r="F31" s="45">
        <v>545</v>
      </c>
      <c r="G31" s="45" t="s">
        <v>3000</v>
      </c>
      <c r="H31" s="98" t="s">
        <v>4461</v>
      </c>
      <c r="I31" s="98" t="s">
        <v>4462</v>
      </c>
      <c r="J31" s="160" t="s">
        <v>4585</v>
      </c>
      <c r="K31" s="166">
        <v>4</v>
      </c>
      <c r="L31" s="239" t="s">
        <v>4667</v>
      </c>
      <c r="M31" s="239" t="s">
        <v>4661</v>
      </c>
      <c r="N31" s="200">
        <v>22</v>
      </c>
      <c r="O31" s="45" t="s">
        <v>4604</v>
      </c>
    </row>
    <row r="32" spans="1:15" ht="15" customHeight="1" x14ac:dyDescent="0.3">
      <c r="A32" s="220" t="s">
        <v>3976</v>
      </c>
      <c r="B32" s="120" t="s">
        <v>4158</v>
      </c>
      <c r="C32" s="218" t="s">
        <v>4219</v>
      </c>
      <c r="D32" s="45" t="s">
        <v>948</v>
      </c>
      <c r="E32" s="45" t="s">
        <v>2986</v>
      </c>
      <c r="F32" s="45">
        <v>545</v>
      </c>
      <c r="G32" s="45" t="s">
        <v>3002</v>
      </c>
      <c r="H32" s="98" t="s">
        <v>4465</v>
      </c>
      <c r="I32" s="98" t="s">
        <v>4462</v>
      </c>
      <c r="J32" s="160" t="s">
        <v>4586</v>
      </c>
      <c r="K32" s="166">
        <v>4</v>
      </c>
      <c r="L32" s="239" t="s">
        <v>4677</v>
      </c>
      <c r="M32" s="239" t="s">
        <v>4661</v>
      </c>
      <c r="N32" s="200">
        <v>22</v>
      </c>
      <c r="O32" s="45" t="s">
        <v>4604</v>
      </c>
    </row>
    <row r="33" spans="1:15" ht="15" customHeight="1" x14ac:dyDescent="0.3">
      <c r="A33" s="220" t="s">
        <v>3984</v>
      </c>
      <c r="B33" s="120" t="s">
        <v>4153</v>
      </c>
      <c r="C33" s="219" t="s">
        <v>23</v>
      </c>
      <c r="D33" s="45" t="s">
        <v>948</v>
      </c>
      <c r="E33" s="45" t="s">
        <v>2986</v>
      </c>
      <c r="F33" s="45">
        <v>530</v>
      </c>
      <c r="G33" s="45" t="s">
        <v>3005</v>
      </c>
      <c r="H33" s="98" t="s">
        <v>4461</v>
      </c>
      <c r="I33" s="98" t="s">
        <v>4462</v>
      </c>
      <c r="J33" s="160" t="s">
        <v>4585</v>
      </c>
      <c r="K33" s="166">
        <v>5</v>
      </c>
      <c r="L33" s="239" t="s">
        <v>4667</v>
      </c>
      <c r="M33" s="239" t="s">
        <v>4661</v>
      </c>
      <c r="N33" s="200">
        <v>22</v>
      </c>
      <c r="O33" s="45" t="s">
        <v>4604</v>
      </c>
    </row>
    <row r="34" spans="1:15" ht="15" customHeight="1" x14ac:dyDescent="0.3">
      <c r="A34" s="220" t="s">
        <v>3986</v>
      </c>
      <c r="B34" s="120" t="s">
        <v>4158</v>
      </c>
      <c r="C34" s="219" t="s">
        <v>27</v>
      </c>
      <c r="D34" s="45" t="s">
        <v>948</v>
      </c>
      <c r="E34" s="45" t="s">
        <v>2986</v>
      </c>
      <c r="F34" s="45">
        <v>530</v>
      </c>
      <c r="G34" s="45" t="s">
        <v>3008</v>
      </c>
      <c r="H34" s="98" t="s">
        <v>4465</v>
      </c>
      <c r="I34" s="98" t="s">
        <v>4462</v>
      </c>
      <c r="J34" s="160" t="s">
        <v>4586</v>
      </c>
      <c r="K34" s="166">
        <v>5</v>
      </c>
      <c r="L34" s="239" t="s">
        <v>4677</v>
      </c>
      <c r="M34" s="239" t="s">
        <v>4661</v>
      </c>
      <c r="N34" s="200">
        <v>22</v>
      </c>
      <c r="O34" s="45" t="s">
        <v>4604</v>
      </c>
    </row>
    <row r="35" spans="1:15" ht="15" customHeight="1" x14ac:dyDescent="0.3">
      <c r="A35" s="155" t="s">
        <v>4031</v>
      </c>
      <c r="B35" s="192" t="s">
        <v>4161</v>
      </c>
      <c r="C35" s="218" t="s">
        <v>7</v>
      </c>
      <c r="D35" s="45" t="s">
        <v>948</v>
      </c>
      <c r="E35" s="45" t="s">
        <v>2986</v>
      </c>
      <c r="F35" s="45">
        <v>500</v>
      </c>
      <c r="G35" s="45" t="s">
        <v>3010</v>
      </c>
      <c r="H35" s="98" t="s">
        <v>4468</v>
      </c>
      <c r="I35" s="98" t="s">
        <v>4470</v>
      </c>
      <c r="J35" s="160" t="s">
        <v>4613</v>
      </c>
      <c r="K35" s="166">
        <v>6</v>
      </c>
      <c r="L35" s="239" t="s">
        <v>4691</v>
      </c>
      <c r="M35" s="239" t="s">
        <v>4661</v>
      </c>
      <c r="N35" s="200">
        <v>22</v>
      </c>
      <c r="O35" s="45" t="s">
        <v>4604</v>
      </c>
    </row>
    <row r="36" spans="1:15" ht="15" customHeight="1" x14ac:dyDescent="0.3">
      <c r="A36" s="155" t="s">
        <v>4032</v>
      </c>
      <c r="B36" s="192" t="s">
        <v>4471</v>
      </c>
      <c r="C36" s="218" t="s">
        <v>15</v>
      </c>
      <c r="D36" s="45" t="s">
        <v>948</v>
      </c>
      <c r="E36" s="45" t="s">
        <v>2986</v>
      </c>
      <c r="F36" s="45">
        <v>500</v>
      </c>
      <c r="G36" s="45" t="s">
        <v>3011</v>
      </c>
      <c r="H36" s="98" t="s">
        <v>4472</v>
      </c>
      <c r="I36" s="98" t="s">
        <v>4470</v>
      </c>
      <c r="J36" s="160" t="s">
        <v>4613</v>
      </c>
      <c r="K36" s="166">
        <v>7</v>
      </c>
      <c r="L36" s="239" t="s">
        <v>4694</v>
      </c>
      <c r="M36" s="239" t="s">
        <v>4661</v>
      </c>
      <c r="N36" s="200">
        <v>22</v>
      </c>
      <c r="O36" s="45" t="s">
        <v>4604</v>
      </c>
    </row>
    <row r="37" spans="1:15" ht="15" customHeight="1" x14ac:dyDescent="0.3">
      <c r="A37" s="220" t="s">
        <v>3989</v>
      </c>
      <c r="B37" s="192" t="s">
        <v>4161</v>
      </c>
      <c r="C37" s="218" t="s">
        <v>8</v>
      </c>
      <c r="D37" s="45" t="s">
        <v>948</v>
      </c>
      <c r="E37" s="45" t="s">
        <v>2986</v>
      </c>
      <c r="F37" s="45">
        <v>500</v>
      </c>
      <c r="G37" s="45" t="s">
        <v>2994</v>
      </c>
      <c r="H37" s="98" t="s">
        <v>4468</v>
      </c>
      <c r="I37" s="98" t="s">
        <v>4463</v>
      </c>
      <c r="J37" s="160" t="s">
        <v>4611</v>
      </c>
      <c r="K37" s="166">
        <v>1</v>
      </c>
      <c r="L37" s="239" t="s">
        <v>4689</v>
      </c>
      <c r="M37" s="239" t="s">
        <v>4690</v>
      </c>
      <c r="N37" s="200">
        <v>8</v>
      </c>
      <c r="O37" s="45" t="s">
        <v>4602</v>
      </c>
    </row>
    <row r="38" spans="1:15" ht="15" customHeight="1" x14ac:dyDescent="0.3">
      <c r="A38" s="220" t="s">
        <v>3993</v>
      </c>
      <c r="B38" s="192" t="s">
        <v>4471</v>
      </c>
      <c r="C38" s="218" t="s">
        <v>16</v>
      </c>
      <c r="D38" s="45" t="s">
        <v>948</v>
      </c>
      <c r="E38" s="45" t="s">
        <v>2986</v>
      </c>
      <c r="F38" s="45">
        <v>500</v>
      </c>
      <c r="G38" s="45" t="s">
        <v>2995</v>
      </c>
      <c r="H38" s="98" t="s">
        <v>4472</v>
      </c>
      <c r="I38" s="98" t="s">
        <v>4463</v>
      </c>
      <c r="J38" s="160" t="s">
        <v>4611</v>
      </c>
      <c r="K38" s="166">
        <v>5</v>
      </c>
      <c r="L38" s="239" t="s">
        <v>4693</v>
      </c>
      <c r="M38" s="239" t="s">
        <v>4690</v>
      </c>
      <c r="N38" s="200">
        <v>8</v>
      </c>
      <c r="O38" s="45" t="s">
        <v>4602</v>
      </c>
    </row>
    <row r="39" spans="1:15" ht="15" customHeight="1" x14ac:dyDescent="0.3">
      <c r="A39" s="220" t="s">
        <v>3990</v>
      </c>
      <c r="B39" s="192" t="s">
        <v>4161</v>
      </c>
      <c r="C39" s="218" t="s">
        <v>9</v>
      </c>
      <c r="D39" s="45" t="s">
        <v>948</v>
      </c>
      <c r="E39" s="45" t="s">
        <v>2986</v>
      </c>
      <c r="F39" s="45">
        <v>500</v>
      </c>
      <c r="G39" s="45" t="s">
        <v>2994</v>
      </c>
      <c r="H39" s="98" t="s">
        <v>4468</v>
      </c>
      <c r="I39" s="98" t="s">
        <v>4463</v>
      </c>
      <c r="J39" s="160" t="s">
        <v>4611</v>
      </c>
      <c r="K39" s="166">
        <v>2</v>
      </c>
      <c r="L39" s="239" t="s">
        <v>4689</v>
      </c>
      <c r="M39" s="239" t="s">
        <v>4690</v>
      </c>
      <c r="N39" s="200">
        <v>8</v>
      </c>
      <c r="O39" s="45" t="s">
        <v>4602</v>
      </c>
    </row>
    <row r="40" spans="1:15" ht="15" customHeight="1" x14ac:dyDescent="0.3">
      <c r="A40" s="220" t="s">
        <v>3994</v>
      </c>
      <c r="B40" s="192" t="s">
        <v>4471</v>
      </c>
      <c r="C40" s="218" t="s">
        <v>17</v>
      </c>
      <c r="D40" s="45" t="s">
        <v>948</v>
      </c>
      <c r="E40" s="45" t="s">
        <v>2986</v>
      </c>
      <c r="F40" s="45">
        <v>500</v>
      </c>
      <c r="G40" s="45" t="s">
        <v>2995</v>
      </c>
      <c r="H40" s="98" t="s">
        <v>4472</v>
      </c>
      <c r="I40" s="98" t="s">
        <v>4463</v>
      </c>
      <c r="J40" s="160" t="s">
        <v>4611</v>
      </c>
      <c r="K40" s="166">
        <v>6</v>
      </c>
      <c r="L40" s="239" t="s">
        <v>4693</v>
      </c>
      <c r="M40" s="239" t="s">
        <v>4690</v>
      </c>
      <c r="N40" s="200">
        <v>8</v>
      </c>
      <c r="O40" s="45" t="s">
        <v>4602</v>
      </c>
    </row>
    <row r="41" spans="1:15" ht="15" customHeight="1" x14ac:dyDescent="0.3">
      <c r="A41" s="220" t="s">
        <v>3991</v>
      </c>
      <c r="B41" s="192" t="s">
        <v>4161</v>
      </c>
      <c r="C41" s="218" t="s">
        <v>10</v>
      </c>
      <c r="D41" s="45" t="s">
        <v>948</v>
      </c>
      <c r="E41" s="45" t="s">
        <v>2986</v>
      </c>
      <c r="F41" s="45">
        <v>500</v>
      </c>
      <c r="G41" s="45" t="s">
        <v>2996</v>
      </c>
      <c r="H41" s="98" t="s">
        <v>4468</v>
      </c>
      <c r="I41" s="98" t="s">
        <v>4463</v>
      </c>
      <c r="J41" s="160" t="s">
        <v>4611</v>
      </c>
      <c r="K41" s="166">
        <v>3</v>
      </c>
      <c r="L41" s="239" t="s">
        <v>4689</v>
      </c>
      <c r="M41" s="239" t="s">
        <v>4690</v>
      </c>
      <c r="N41" s="200">
        <v>8</v>
      </c>
      <c r="O41" s="45" t="s">
        <v>4602</v>
      </c>
    </row>
    <row r="42" spans="1:15" ht="15" customHeight="1" x14ac:dyDescent="0.3">
      <c r="A42" s="220" t="s">
        <v>3995</v>
      </c>
      <c r="B42" s="192" t="s">
        <v>4471</v>
      </c>
      <c r="C42" s="218" t="s">
        <v>18</v>
      </c>
      <c r="D42" s="45" t="s">
        <v>948</v>
      </c>
      <c r="E42" s="45" t="s">
        <v>2986</v>
      </c>
      <c r="F42" s="45">
        <v>500</v>
      </c>
      <c r="G42" s="45" t="s">
        <v>2997</v>
      </c>
      <c r="H42" s="98" t="s">
        <v>4472</v>
      </c>
      <c r="I42" s="98" t="s">
        <v>4463</v>
      </c>
      <c r="J42" s="160" t="s">
        <v>4611</v>
      </c>
      <c r="K42" s="166">
        <v>7</v>
      </c>
      <c r="L42" s="239" t="s">
        <v>4693</v>
      </c>
      <c r="M42" s="239" t="s">
        <v>4690</v>
      </c>
      <c r="N42" s="200">
        <v>8</v>
      </c>
      <c r="O42" s="45" t="s">
        <v>4602</v>
      </c>
    </row>
    <row r="43" spans="1:15" ht="15" customHeight="1" x14ac:dyDescent="0.3">
      <c r="A43" s="155" t="s">
        <v>3992</v>
      </c>
      <c r="B43" s="192" t="s">
        <v>4161</v>
      </c>
      <c r="C43" s="218" t="s">
        <v>11</v>
      </c>
      <c r="D43" s="45" t="s">
        <v>948</v>
      </c>
      <c r="E43" s="45" t="s">
        <v>2986</v>
      </c>
      <c r="F43" s="45">
        <v>500</v>
      </c>
      <c r="G43" s="45" t="s">
        <v>2996</v>
      </c>
      <c r="H43" s="98" t="s">
        <v>4468</v>
      </c>
      <c r="I43" s="98" t="s">
        <v>4463</v>
      </c>
      <c r="J43" s="160" t="s">
        <v>4611</v>
      </c>
      <c r="K43" s="166">
        <v>4</v>
      </c>
      <c r="L43" s="239" t="s">
        <v>4689</v>
      </c>
      <c r="M43" s="239" t="s">
        <v>4690</v>
      </c>
      <c r="N43" s="200">
        <v>8</v>
      </c>
      <c r="O43" s="45" t="s">
        <v>4602</v>
      </c>
    </row>
    <row r="44" spans="1:15" ht="15" customHeight="1" x14ac:dyDescent="0.3">
      <c r="A44" s="155" t="s">
        <v>3996</v>
      </c>
      <c r="B44" s="192" t="s">
        <v>4471</v>
      </c>
      <c r="C44" s="218" t="s">
        <v>19</v>
      </c>
      <c r="D44" s="45" t="s">
        <v>948</v>
      </c>
      <c r="E44" s="45" t="s">
        <v>2986</v>
      </c>
      <c r="F44" s="45">
        <v>500</v>
      </c>
      <c r="G44" s="45" t="s">
        <v>2997</v>
      </c>
      <c r="H44" s="98" t="s">
        <v>4472</v>
      </c>
      <c r="I44" s="98" t="s">
        <v>4463</v>
      </c>
      <c r="J44" s="160" t="s">
        <v>4611</v>
      </c>
      <c r="K44" s="166">
        <v>8</v>
      </c>
      <c r="L44" s="239" t="s">
        <v>4693</v>
      </c>
      <c r="M44" s="239" t="s">
        <v>4690</v>
      </c>
      <c r="N44" s="200">
        <v>8</v>
      </c>
      <c r="O44" s="45" t="s">
        <v>4602</v>
      </c>
    </row>
    <row r="45" spans="1:15" ht="15" customHeight="1" x14ac:dyDescent="0.3">
      <c r="A45" s="155" t="s">
        <v>3997</v>
      </c>
      <c r="B45" s="120" t="s">
        <v>4155</v>
      </c>
      <c r="C45" s="219" t="s">
        <v>892</v>
      </c>
      <c r="D45" s="45" t="s">
        <v>948</v>
      </c>
      <c r="E45" s="45" t="s">
        <v>2986</v>
      </c>
      <c r="F45" s="45">
        <v>345</v>
      </c>
      <c r="G45" s="45" t="s">
        <v>3012</v>
      </c>
      <c r="H45" s="98" t="s">
        <v>4466</v>
      </c>
      <c r="I45" s="98" t="s">
        <v>4463</v>
      </c>
      <c r="J45" s="160" t="s">
        <v>4607</v>
      </c>
      <c r="K45" s="166">
        <v>1</v>
      </c>
      <c r="L45" s="239" t="s">
        <v>4686</v>
      </c>
      <c r="M45" s="239" t="s">
        <v>4669</v>
      </c>
      <c r="N45" s="200">
        <v>16</v>
      </c>
      <c r="O45" s="45" t="s">
        <v>4602</v>
      </c>
    </row>
    <row r="46" spans="1:15" ht="15" customHeight="1" x14ac:dyDescent="0.3">
      <c r="A46" s="155" t="s">
        <v>3998</v>
      </c>
      <c r="B46" s="120" t="s">
        <v>4155</v>
      </c>
      <c r="C46" s="219" t="s">
        <v>895</v>
      </c>
      <c r="D46" s="45" t="s">
        <v>948</v>
      </c>
      <c r="E46" s="45" t="s">
        <v>2986</v>
      </c>
      <c r="F46" s="45">
        <v>345</v>
      </c>
      <c r="G46" s="45" t="s">
        <v>3012</v>
      </c>
      <c r="H46" s="98" t="s">
        <v>4466</v>
      </c>
      <c r="I46" s="98" t="s">
        <v>4463</v>
      </c>
      <c r="J46" s="160" t="s">
        <v>4607</v>
      </c>
      <c r="K46" s="166">
        <v>2</v>
      </c>
      <c r="L46" s="239" t="s">
        <v>4686</v>
      </c>
      <c r="M46" s="239" t="s">
        <v>4669</v>
      </c>
      <c r="N46" s="200">
        <v>16</v>
      </c>
      <c r="O46" s="45" t="s">
        <v>4602</v>
      </c>
    </row>
    <row r="47" spans="1:15" ht="15" customHeight="1" x14ac:dyDescent="0.3">
      <c r="A47" s="155" t="s">
        <v>3999</v>
      </c>
      <c r="B47" s="120" t="s">
        <v>4155</v>
      </c>
      <c r="C47" s="219" t="s">
        <v>896</v>
      </c>
      <c r="D47" s="45" t="s">
        <v>948</v>
      </c>
      <c r="E47" s="45" t="s">
        <v>2986</v>
      </c>
      <c r="F47" s="45">
        <v>345</v>
      </c>
      <c r="G47" s="45" t="s">
        <v>3012</v>
      </c>
      <c r="H47" s="98" t="s">
        <v>4466</v>
      </c>
      <c r="I47" s="98" t="s">
        <v>4463</v>
      </c>
      <c r="J47" s="160" t="s">
        <v>4607</v>
      </c>
      <c r="K47" s="166">
        <v>3</v>
      </c>
      <c r="L47" s="239" t="s">
        <v>4686</v>
      </c>
      <c r="M47" s="239" t="s">
        <v>4669</v>
      </c>
      <c r="N47" s="200">
        <v>16</v>
      </c>
      <c r="O47" s="45" t="s">
        <v>4602</v>
      </c>
    </row>
    <row r="48" spans="1:15" ht="15" customHeight="1" x14ac:dyDescent="0.3">
      <c r="A48" s="155" t="s">
        <v>4000</v>
      </c>
      <c r="B48" s="120" t="s">
        <v>4155</v>
      </c>
      <c r="C48" s="219" t="s">
        <v>897</v>
      </c>
      <c r="D48" s="45" t="s">
        <v>948</v>
      </c>
      <c r="E48" s="45" t="s">
        <v>2986</v>
      </c>
      <c r="F48" s="45">
        <v>345</v>
      </c>
      <c r="G48" s="45" t="s">
        <v>3012</v>
      </c>
      <c r="H48" s="98" t="s">
        <v>4466</v>
      </c>
      <c r="I48" s="98" t="s">
        <v>4463</v>
      </c>
      <c r="J48" s="160" t="s">
        <v>4607</v>
      </c>
      <c r="K48" s="166">
        <v>4</v>
      </c>
      <c r="L48" s="239" t="s">
        <v>4686</v>
      </c>
      <c r="M48" s="239" t="s">
        <v>4669</v>
      </c>
      <c r="N48" s="200">
        <v>16</v>
      </c>
      <c r="O48" s="45" t="s">
        <v>4602</v>
      </c>
    </row>
    <row r="49" spans="1:15" ht="15" customHeight="1" x14ac:dyDescent="0.3">
      <c r="A49" s="155" t="s">
        <v>4001</v>
      </c>
      <c r="B49" s="120" t="s">
        <v>4155</v>
      </c>
      <c r="C49" s="219" t="s">
        <v>898</v>
      </c>
      <c r="D49" s="45" t="s">
        <v>948</v>
      </c>
      <c r="E49" s="45" t="s">
        <v>2986</v>
      </c>
      <c r="F49" s="45">
        <v>345</v>
      </c>
      <c r="G49" s="45" t="s">
        <v>3012</v>
      </c>
      <c r="H49" s="98" t="s">
        <v>4466</v>
      </c>
      <c r="I49" s="98" t="s">
        <v>4463</v>
      </c>
      <c r="J49" s="160" t="s">
        <v>4607</v>
      </c>
      <c r="K49" s="166">
        <v>5</v>
      </c>
      <c r="L49" s="239" t="s">
        <v>4686</v>
      </c>
      <c r="M49" s="239" t="s">
        <v>4669</v>
      </c>
      <c r="N49" s="200">
        <v>16</v>
      </c>
      <c r="O49" s="45" t="s">
        <v>4602</v>
      </c>
    </row>
    <row r="50" spans="1:15" ht="15" customHeight="1" x14ac:dyDescent="0.3">
      <c r="A50" s="155" t="s">
        <v>4002</v>
      </c>
      <c r="B50" s="120" t="s">
        <v>4155</v>
      </c>
      <c r="C50" s="219" t="s">
        <v>899</v>
      </c>
      <c r="D50" s="45" t="s">
        <v>948</v>
      </c>
      <c r="E50" s="45" t="s">
        <v>2986</v>
      </c>
      <c r="F50" s="45">
        <v>345</v>
      </c>
      <c r="G50" s="45" t="s">
        <v>3012</v>
      </c>
      <c r="H50" s="98" t="s">
        <v>4466</v>
      </c>
      <c r="I50" s="98" t="s">
        <v>4463</v>
      </c>
      <c r="J50" s="160" t="s">
        <v>4607</v>
      </c>
      <c r="K50" s="166">
        <v>6</v>
      </c>
      <c r="L50" s="239" t="s">
        <v>4686</v>
      </c>
      <c r="M50" s="239" t="s">
        <v>4669</v>
      </c>
      <c r="N50" s="200">
        <v>16</v>
      </c>
      <c r="O50" s="45" t="s">
        <v>4602</v>
      </c>
    </row>
    <row r="51" spans="1:15" ht="15" customHeight="1" x14ac:dyDescent="0.3">
      <c r="A51" s="155" t="s">
        <v>4003</v>
      </c>
      <c r="B51" s="120" t="s">
        <v>4155</v>
      </c>
      <c r="C51" s="219" t="s">
        <v>900</v>
      </c>
      <c r="D51" s="45" t="s">
        <v>948</v>
      </c>
      <c r="E51" s="45" t="s">
        <v>2986</v>
      </c>
      <c r="F51" s="45">
        <v>345</v>
      </c>
      <c r="G51" s="45" t="s">
        <v>3012</v>
      </c>
      <c r="H51" s="98" t="s">
        <v>4466</v>
      </c>
      <c r="I51" s="98" t="s">
        <v>4463</v>
      </c>
      <c r="J51" s="160" t="s">
        <v>4607</v>
      </c>
      <c r="K51" s="166">
        <v>7</v>
      </c>
      <c r="L51" s="239" t="s">
        <v>4686</v>
      </c>
      <c r="M51" s="239" t="s">
        <v>4669</v>
      </c>
      <c r="N51" s="200">
        <v>16</v>
      </c>
      <c r="O51" s="45" t="s">
        <v>4602</v>
      </c>
    </row>
    <row r="52" spans="1:15" ht="15" customHeight="1" x14ac:dyDescent="0.3">
      <c r="A52" s="155" t="s">
        <v>4004</v>
      </c>
      <c r="B52" s="120" t="s">
        <v>4155</v>
      </c>
      <c r="C52" s="219" t="s">
        <v>901</v>
      </c>
      <c r="D52" s="45" t="s">
        <v>948</v>
      </c>
      <c r="E52" s="45" t="s">
        <v>2986</v>
      </c>
      <c r="F52" s="45">
        <v>345</v>
      </c>
      <c r="G52" s="45" t="s">
        <v>3012</v>
      </c>
      <c r="H52" s="98" t="s">
        <v>4466</v>
      </c>
      <c r="I52" s="98" t="s">
        <v>4463</v>
      </c>
      <c r="J52" s="160" t="s">
        <v>4607</v>
      </c>
      <c r="K52" s="166">
        <v>8</v>
      </c>
      <c r="L52" s="239" t="s">
        <v>4686</v>
      </c>
      <c r="M52" s="239" t="s">
        <v>4669</v>
      </c>
      <c r="N52" s="200">
        <v>16</v>
      </c>
      <c r="O52" s="45" t="s">
        <v>4602</v>
      </c>
    </row>
    <row r="53" spans="1:15" ht="15" customHeight="1" x14ac:dyDescent="0.3">
      <c r="A53" s="155" t="s">
        <v>4005</v>
      </c>
      <c r="B53" s="120" t="s">
        <v>4155</v>
      </c>
      <c r="C53" s="219" t="s">
        <v>902</v>
      </c>
      <c r="D53" s="45" t="s">
        <v>948</v>
      </c>
      <c r="E53" s="45" t="s">
        <v>2986</v>
      </c>
      <c r="F53" s="45">
        <v>345</v>
      </c>
      <c r="G53" s="45" t="s">
        <v>3012</v>
      </c>
      <c r="H53" s="98" t="s">
        <v>4466</v>
      </c>
      <c r="I53" s="98" t="s">
        <v>4463</v>
      </c>
      <c r="J53" s="160" t="s">
        <v>4608</v>
      </c>
      <c r="K53" s="166">
        <v>1</v>
      </c>
      <c r="L53" s="239" t="s">
        <v>4687</v>
      </c>
      <c r="M53" s="239" t="s">
        <v>4669</v>
      </c>
      <c r="N53" s="200">
        <v>16</v>
      </c>
      <c r="O53" s="45" t="s">
        <v>4602</v>
      </c>
    </row>
    <row r="54" spans="1:15" ht="15" customHeight="1" x14ac:dyDescent="0.3">
      <c r="A54" s="155" t="s">
        <v>4006</v>
      </c>
      <c r="B54" s="120" t="s">
        <v>4155</v>
      </c>
      <c r="C54" s="219" t="s">
        <v>903</v>
      </c>
      <c r="D54" s="45" t="s">
        <v>948</v>
      </c>
      <c r="E54" s="45" t="s">
        <v>2986</v>
      </c>
      <c r="F54" s="45">
        <v>345</v>
      </c>
      <c r="G54" s="45" t="s">
        <v>3012</v>
      </c>
      <c r="H54" s="98" t="s">
        <v>4466</v>
      </c>
      <c r="I54" s="98" t="s">
        <v>4463</v>
      </c>
      <c r="J54" s="160" t="s">
        <v>4608</v>
      </c>
      <c r="K54" s="166">
        <v>2</v>
      </c>
      <c r="L54" s="239" t="s">
        <v>4687</v>
      </c>
      <c r="M54" s="239" t="s">
        <v>4669</v>
      </c>
      <c r="N54" s="200">
        <v>16</v>
      </c>
      <c r="O54" s="45" t="s">
        <v>4602</v>
      </c>
    </row>
    <row r="55" spans="1:15" ht="15" customHeight="1" x14ac:dyDescent="0.3">
      <c r="A55" s="155" t="s">
        <v>4007</v>
      </c>
      <c r="B55" s="120" t="s">
        <v>4155</v>
      </c>
      <c r="C55" s="219" t="s">
        <v>904</v>
      </c>
      <c r="D55" s="45" t="s">
        <v>948</v>
      </c>
      <c r="E55" s="45" t="s">
        <v>2986</v>
      </c>
      <c r="F55" s="45">
        <v>345</v>
      </c>
      <c r="G55" s="45" t="s">
        <v>3012</v>
      </c>
      <c r="H55" s="98" t="s">
        <v>4466</v>
      </c>
      <c r="I55" s="98" t="s">
        <v>4463</v>
      </c>
      <c r="J55" s="160" t="s">
        <v>4608</v>
      </c>
      <c r="K55" s="166">
        <v>3</v>
      </c>
      <c r="L55" s="239" t="s">
        <v>4687</v>
      </c>
      <c r="M55" s="239" t="s">
        <v>4669</v>
      </c>
      <c r="N55" s="200">
        <v>16</v>
      </c>
      <c r="O55" s="45" t="s">
        <v>4602</v>
      </c>
    </row>
    <row r="56" spans="1:15" ht="15" customHeight="1" x14ac:dyDescent="0.3">
      <c r="A56" s="155" t="s">
        <v>4008</v>
      </c>
      <c r="B56" s="120" t="s">
        <v>4155</v>
      </c>
      <c r="C56" s="219" t="s">
        <v>905</v>
      </c>
      <c r="D56" s="45" t="s">
        <v>948</v>
      </c>
      <c r="E56" s="45" t="s">
        <v>2986</v>
      </c>
      <c r="F56" s="45">
        <v>345</v>
      </c>
      <c r="G56" s="45" t="s">
        <v>3012</v>
      </c>
      <c r="H56" s="98" t="s">
        <v>4466</v>
      </c>
      <c r="I56" s="98" t="s">
        <v>4463</v>
      </c>
      <c r="J56" s="160" t="s">
        <v>4608</v>
      </c>
      <c r="K56" s="166">
        <v>4</v>
      </c>
      <c r="L56" s="239" t="s">
        <v>4687</v>
      </c>
      <c r="M56" s="239" t="s">
        <v>4669</v>
      </c>
      <c r="N56" s="200">
        <v>16</v>
      </c>
      <c r="O56" s="45" t="s">
        <v>4602</v>
      </c>
    </row>
    <row r="57" spans="1:15" ht="15" customHeight="1" x14ac:dyDescent="0.3">
      <c r="A57" s="155" t="s">
        <v>4009</v>
      </c>
      <c r="B57" s="120" t="s">
        <v>4155</v>
      </c>
      <c r="C57" s="219" t="s">
        <v>906</v>
      </c>
      <c r="D57" s="45" t="s">
        <v>948</v>
      </c>
      <c r="E57" s="45" t="s">
        <v>2986</v>
      </c>
      <c r="F57" s="45">
        <v>345</v>
      </c>
      <c r="G57" s="45" t="s">
        <v>3012</v>
      </c>
      <c r="H57" s="98" t="s">
        <v>4466</v>
      </c>
      <c r="I57" s="98" t="s">
        <v>4463</v>
      </c>
      <c r="J57" s="160" t="s">
        <v>4608</v>
      </c>
      <c r="K57" s="166">
        <v>5</v>
      </c>
      <c r="L57" s="239" t="s">
        <v>4687</v>
      </c>
      <c r="M57" s="239" t="s">
        <v>4669</v>
      </c>
      <c r="N57" s="200">
        <v>16</v>
      </c>
      <c r="O57" s="45" t="s">
        <v>4602</v>
      </c>
    </row>
    <row r="58" spans="1:15" ht="15" customHeight="1" x14ac:dyDescent="0.3">
      <c r="A58" s="155" t="s">
        <v>4010</v>
      </c>
      <c r="B58" s="120" t="s">
        <v>4155</v>
      </c>
      <c r="C58" s="219" t="s">
        <v>907</v>
      </c>
      <c r="D58" s="45" t="s">
        <v>948</v>
      </c>
      <c r="E58" s="45" t="s">
        <v>2986</v>
      </c>
      <c r="F58" s="45">
        <v>345</v>
      </c>
      <c r="G58" s="45" t="s">
        <v>3012</v>
      </c>
      <c r="H58" s="98" t="s">
        <v>4466</v>
      </c>
      <c r="I58" s="98" t="s">
        <v>4463</v>
      </c>
      <c r="J58" s="160" t="s">
        <v>4608</v>
      </c>
      <c r="K58" s="166">
        <v>6</v>
      </c>
      <c r="L58" s="239" t="s">
        <v>4687</v>
      </c>
      <c r="M58" s="239" t="s">
        <v>4669</v>
      </c>
      <c r="N58" s="200">
        <v>16</v>
      </c>
      <c r="O58" s="45" t="s">
        <v>4602</v>
      </c>
    </row>
    <row r="59" spans="1:15" ht="15" customHeight="1" x14ac:dyDescent="0.3">
      <c r="A59" s="155" t="s">
        <v>4011</v>
      </c>
      <c r="B59" s="120" t="s">
        <v>4155</v>
      </c>
      <c r="C59" s="219" t="s">
        <v>908</v>
      </c>
      <c r="D59" s="45" t="s">
        <v>948</v>
      </c>
      <c r="E59" s="45" t="s">
        <v>2986</v>
      </c>
      <c r="F59" s="45">
        <v>345</v>
      </c>
      <c r="G59" s="45" t="s">
        <v>3012</v>
      </c>
      <c r="H59" s="98" t="s">
        <v>4466</v>
      </c>
      <c r="I59" s="98" t="s">
        <v>4463</v>
      </c>
      <c r="J59" s="160" t="s">
        <v>4608</v>
      </c>
      <c r="K59" s="166">
        <v>7</v>
      </c>
      <c r="L59" s="239" t="s">
        <v>4687</v>
      </c>
      <c r="M59" s="239" t="s">
        <v>4669</v>
      </c>
      <c r="N59" s="200">
        <v>16</v>
      </c>
      <c r="O59" s="45" t="s">
        <v>4602</v>
      </c>
    </row>
    <row r="60" spans="1:15" ht="15" customHeight="1" x14ac:dyDescent="0.3">
      <c r="A60" s="155" t="s">
        <v>4012</v>
      </c>
      <c r="B60" s="120" t="s">
        <v>4155</v>
      </c>
      <c r="C60" s="219" t="s">
        <v>909</v>
      </c>
      <c r="D60" s="45" t="s">
        <v>948</v>
      </c>
      <c r="E60" s="45" t="s">
        <v>2986</v>
      </c>
      <c r="F60" s="45">
        <v>345</v>
      </c>
      <c r="G60" s="45" t="s">
        <v>3012</v>
      </c>
      <c r="H60" s="98" t="s">
        <v>4466</v>
      </c>
      <c r="I60" s="98" t="s">
        <v>4463</v>
      </c>
      <c r="J60" s="160" t="s">
        <v>4608</v>
      </c>
      <c r="K60" s="166">
        <v>8</v>
      </c>
      <c r="L60" s="239" t="s">
        <v>4687</v>
      </c>
      <c r="M60" s="239" t="s">
        <v>4669</v>
      </c>
      <c r="N60" s="200">
        <v>16</v>
      </c>
      <c r="O60" s="45" t="s">
        <v>4602</v>
      </c>
    </row>
    <row r="61" spans="1:15" ht="15" customHeight="1" x14ac:dyDescent="0.3">
      <c r="A61" s="155" t="s">
        <v>4013</v>
      </c>
      <c r="B61" s="120" t="s">
        <v>4155</v>
      </c>
      <c r="C61" s="219" t="s">
        <v>910</v>
      </c>
      <c r="D61" s="45" t="s">
        <v>948</v>
      </c>
      <c r="E61" s="45" t="s">
        <v>2986</v>
      </c>
      <c r="F61" s="45">
        <v>345</v>
      </c>
      <c r="G61" s="45" t="s">
        <v>3012</v>
      </c>
      <c r="H61" s="98" t="s">
        <v>4466</v>
      </c>
      <c r="I61" s="98" t="s">
        <v>4463</v>
      </c>
      <c r="J61" s="160" t="s">
        <v>4609</v>
      </c>
      <c r="K61" s="166">
        <v>1</v>
      </c>
      <c r="L61" s="239" t="s">
        <v>4688</v>
      </c>
      <c r="M61" s="239" t="s">
        <v>4661</v>
      </c>
      <c r="N61" s="200">
        <v>22</v>
      </c>
      <c r="O61" s="45" t="s">
        <v>4602</v>
      </c>
    </row>
    <row r="62" spans="1:15" ht="15" customHeight="1" x14ac:dyDescent="0.3">
      <c r="A62" s="155" t="s">
        <v>4014</v>
      </c>
      <c r="B62" s="120" t="s">
        <v>4155</v>
      </c>
      <c r="C62" s="219" t="s">
        <v>911</v>
      </c>
      <c r="D62" s="45" t="s">
        <v>948</v>
      </c>
      <c r="E62" s="45" t="s">
        <v>2986</v>
      </c>
      <c r="F62" s="45">
        <v>345</v>
      </c>
      <c r="G62" s="45" t="s">
        <v>3012</v>
      </c>
      <c r="H62" s="98" t="s">
        <v>4466</v>
      </c>
      <c r="I62" s="98" t="s">
        <v>4463</v>
      </c>
      <c r="J62" s="160" t="s">
        <v>4609</v>
      </c>
      <c r="K62" s="166">
        <v>2</v>
      </c>
      <c r="L62" s="239" t="s">
        <v>4688</v>
      </c>
      <c r="M62" s="239" t="s">
        <v>4661</v>
      </c>
      <c r="N62" s="200">
        <v>22</v>
      </c>
      <c r="O62" s="45" t="s">
        <v>4602</v>
      </c>
    </row>
    <row r="63" spans="1:15" ht="15" customHeight="1" x14ac:dyDescent="0.3">
      <c r="A63" s="155" t="s">
        <v>4015</v>
      </c>
      <c r="B63" s="120" t="s">
        <v>4155</v>
      </c>
      <c r="C63" s="219" t="s">
        <v>912</v>
      </c>
      <c r="D63" s="45" t="s">
        <v>948</v>
      </c>
      <c r="E63" s="45" t="s">
        <v>2986</v>
      </c>
      <c r="F63" s="45">
        <v>345</v>
      </c>
      <c r="G63" s="45" t="s">
        <v>3012</v>
      </c>
      <c r="H63" s="98" t="s">
        <v>4466</v>
      </c>
      <c r="I63" s="98" t="s">
        <v>4463</v>
      </c>
      <c r="J63" s="160" t="s">
        <v>4609</v>
      </c>
      <c r="K63" s="166">
        <v>3</v>
      </c>
      <c r="L63" s="239" t="s">
        <v>4688</v>
      </c>
      <c r="M63" s="239" t="s">
        <v>4661</v>
      </c>
      <c r="N63" s="200">
        <v>22</v>
      </c>
      <c r="O63" s="45" t="s">
        <v>4602</v>
      </c>
    </row>
    <row r="64" spans="1:15" ht="15" customHeight="1" x14ac:dyDescent="0.3">
      <c r="A64" s="155" t="s">
        <v>4016</v>
      </c>
      <c r="B64" s="120" t="s">
        <v>4155</v>
      </c>
      <c r="C64" s="219" t="s">
        <v>913</v>
      </c>
      <c r="D64" s="45" t="s">
        <v>948</v>
      </c>
      <c r="E64" s="45" t="s">
        <v>2986</v>
      </c>
      <c r="F64" s="45">
        <v>345</v>
      </c>
      <c r="G64" s="45" t="s">
        <v>3012</v>
      </c>
      <c r="H64" s="98" t="s">
        <v>4466</v>
      </c>
      <c r="I64" s="98" t="s">
        <v>4463</v>
      </c>
      <c r="J64" s="160" t="s">
        <v>4609</v>
      </c>
      <c r="K64" s="166">
        <v>4</v>
      </c>
      <c r="L64" s="239" t="s">
        <v>4688</v>
      </c>
      <c r="M64" s="239" t="s">
        <v>4661</v>
      </c>
      <c r="N64" s="200">
        <v>22</v>
      </c>
      <c r="O64" s="45" t="s">
        <v>4602</v>
      </c>
    </row>
    <row r="65" spans="1:15" ht="15" customHeight="1" x14ac:dyDescent="0.3">
      <c r="A65" s="155" t="s">
        <v>4017</v>
      </c>
      <c r="B65" s="120" t="s">
        <v>4155</v>
      </c>
      <c r="C65" s="219" t="s">
        <v>914</v>
      </c>
      <c r="D65" s="45" t="s">
        <v>948</v>
      </c>
      <c r="E65" s="45" t="s">
        <v>2986</v>
      </c>
      <c r="F65" s="45">
        <v>345</v>
      </c>
      <c r="G65" s="45" t="s">
        <v>3012</v>
      </c>
      <c r="H65" s="98" t="s">
        <v>4466</v>
      </c>
      <c r="I65" s="98" t="s">
        <v>4463</v>
      </c>
      <c r="J65" s="160" t="s">
        <v>4609</v>
      </c>
      <c r="K65" s="166">
        <v>5</v>
      </c>
      <c r="L65" s="239" t="s">
        <v>4688</v>
      </c>
      <c r="M65" s="239" t="s">
        <v>4661</v>
      </c>
      <c r="N65" s="200">
        <v>22</v>
      </c>
      <c r="O65" s="45" t="s">
        <v>4602</v>
      </c>
    </row>
    <row r="66" spans="1:15" ht="15" customHeight="1" x14ac:dyDescent="0.3">
      <c r="A66" s="155" t="s">
        <v>4018</v>
      </c>
      <c r="B66" s="120" t="s">
        <v>4155</v>
      </c>
      <c r="C66" s="219" t="s">
        <v>915</v>
      </c>
      <c r="D66" s="45" t="s">
        <v>948</v>
      </c>
      <c r="E66" s="45" t="s">
        <v>2986</v>
      </c>
      <c r="F66" s="45">
        <v>345</v>
      </c>
      <c r="G66" s="45" t="s">
        <v>3012</v>
      </c>
      <c r="H66" s="98" t="s">
        <v>4466</v>
      </c>
      <c r="I66" s="98" t="s">
        <v>4463</v>
      </c>
      <c r="J66" s="160" t="s">
        <v>4609</v>
      </c>
      <c r="K66" s="166">
        <v>6</v>
      </c>
      <c r="L66" s="239" t="s">
        <v>4688</v>
      </c>
      <c r="M66" s="239" t="s">
        <v>4661</v>
      </c>
      <c r="N66" s="200">
        <v>22</v>
      </c>
      <c r="O66" s="45" t="s">
        <v>4602</v>
      </c>
    </row>
    <row r="67" spans="1:15" ht="15" customHeight="1" x14ac:dyDescent="0.3">
      <c r="A67" s="155" t="s">
        <v>4019</v>
      </c>
      <c r="B67" s="120" t="s">
        <v>4155</v>
      </c>
      <c r="C67" s="219" t="s">
        <v>916</v>
      </c>
      <c r="D67" s="45" t="s">
        <v>948</v>
      </c>
      <c r="E67" s="45" t="s">
        <v>2986</v>
      </c>
      <c r="F67" s="45">
        <v>345</v>
      </c>
      <c r="G67" s="45" t="s">
        <v>3012</v>
      </c>
      <c r="H67" s="98" t="s">
        <v>4466</v>
      </c>
      <c r="I67" s="98" t="s">
        <v>4463</v>
      </c>
      <c r="J67" s="160" t="s">
        <v>4609</v>
      </c>
      <c r="K67" s="166">
        <v>7</v>
      </c>
      <c r="L67" s="239" t="s">
        <v>4688</v>
      </c>
      <c r="M67" s="239" t="s">
        <v>4661</v>
      </c>
      <c r="N67" s="200">
        <v>22</v>
      </c>
      <c r="O67" s="45" t="s">
        <v>4602</v>
      </c>
    </row>
    <row r="68" spans="1:15" ht="15" customHeight="1" x14ac:dyDescent="0.3">
      <c r="A68" s="155" t="s">
        <v>4020</v>
      </c>
      <c r="B68" s="120" t="s">
        <v>4155</v>
      </c>
      <c r="C68" s="219" t="s">
        <v>917</v>
      </c>
      <c r="D68" s="45" t="s">
        <v>948</v>
      </c>
      <c r="E68" s="45" t="s">
        <v>2986</v>
      </c>
      <c r="F68" s="45">
        <v>345</v>
      </c>
      <c r="G68" s="45" t="s">
        <v>3012</v>
      </c>
      <c r="H68" s="98" t="s">
        <v>4466</v>
      </c>
      <c r="I68" s="98" t="s">
        <v>4463</v>
      </c>
      <c r="J68" s="160" t="s">
        <v>4609</v>
      </c>
      <c r="K68" s="166">
        <v>8</v>
      </c>
      <c r="L68" s="239" t="s">
        <v>4688</v>
      </c>
      <c r="M68" s="239" t="s">
        <v>4661</v>
      </c>
      <c r="N68" s="200">
        <v>22</v>
      </c>
      <c r="O68" s="45" t="s">
        <v>4602</v>
      </c>
    </row>
    <row r="69" spans="1:15" ht="15" customHeight="1" x14ac:dyDescent="0.3">
      <c r="A69" s="155" t="s">
        <v>4033</v>
      </c>
      <c r="B69" s="120" t="s">
        <v>4154</v>
      </c>
      <c r="C69" s="218" t="s">
        <v>28</v>
      </c>
      <c r="D69" s="45" t="s">
        <v>948</v>
      </c>
      <c r="E69" s="45" t="s">
        <v>2986</v>
      </c>
      <c r="F69" s="45">
        <v>500</v>
      </c>
      <c r="G69" s="45" t="s">
        <v>3013</v>
      </c>
      <c r="H69" s="98" t="s">
        <v>4461</v>
      </c>
      <c r="I69" s="98" t="s">
        <v>4463</v>
      </c>
      <c r="J69" s="160" t="s">
        <v>4594</v>
      </c>
      <c r="K69" s="166">
        <v>8</v>
      </c>
      <c r="L69" s="239" t="s">
        <v>4673</v>
      </c>
      <c r="M69" s="239" t="s">
        <v>4661</v>
      </c>
      <c r="N69" s="200">
        <v>22</v>
      </c>
      <c r="O69" s="45" t="s">
        <v>4604</v>
      </c>
    </row>
    <row r="70" spans="1:15" ht="15" customHeight="1" x14ac:dyDescent="0.3">
      <c r="A70" s="155" t="s">
        <v>4035</v>
      </c>
      <c r="B70" s="120" t="s">
        <v>4159</v>
      </c>
      <c r="C70" s="218" t="s">
        <v>32</v>
      </c>
      <c r="D70" s="45" t="s">
        <v>948</v>
      </c>
      <c r="E70" s="45" t="s">
        <v>2986</v>
      </c>
      <c r="F70" s="45">
        <v>500</v>
      </c>
      <c r="G70" s="45" t="s">
        <v>3014</v>
      </c>
      <c r="H70" s="98" t="s">
        <v>4465</v>
      </c>
      <c r="I70" s="98" t="s">
        <v>4463</v>
      </c>
      <c r="J70" s="160" t="s">
        <v>4580</v>
      </c>
      <c r="K70" s="166">
        <v>1</v>
      </c>
      <c r="L70" s="239" t="s">
        <v>4682</v>
      </c>
      <c r="M70" s="239" t="s">
        <v>4661</v>
      </c>
      <c r="N70" s="200">
        <v>22</v>
      </c>
      <c r="O70" s="45" t="s">
        <v>4602</v>
      </c>
    </row>
    <row r="71" spans="1:15" ht="15" customHeight="1" x14ac:dyDescent="0.3">
      <c r="A71" s="155" t="s">
        <v>4037</v>
      </c>
      <c r="B71" s="120" t="s">
        <v>4154</v>
      </c>
      <c r="C71" s="218" t="s">
        <v>29</v>
      </c>
      <c r="D71" s="45" t="s">
        <v>948</v>
      </c>
      <c r="E71" s="45" t="s">
        <v>2986</v>
      </c>
      <c r="F71" s="45">
        <v>545</v>
      </c>
      <c r="G71" s="45" t="s">
        <v>3015</v>
      </c>
      <c r="H71" s="98" t="s">
        <v>4461</v>
      </c>
      <c r="I71" s="98" t="s">
        <v>4463</v>
      </c>
      <c r="J71" s="160" t="s">
        <v>4591</v>
      </c>
      <c r="K71" s="166">
        <v>1</v>
      </c>
      <c r="L71" s="239" t="s">
        <v>4673</v>
      </c>
      <c r="M71" s="239" t="s">
        <v>4661</v>
      </c>
      <c r="N71" s="200">
        <v>22</v>
      </c>
      <c r="O71" s="45" t="s">
        <v>4604</v>
      </c>
    </row>
    <row r="72" spans="1:15" ht="15" customHeight="1" x14ac:dyDescent="0.3">
      <c r="A72" s="155" t="s">
        <v>4038</v>
      </c>
      <c r="B72" s="120" t="s">
        <v>4154</v>
      </c>
      <c r="C72" s="218" t="s">
        <v>30</v>
      </c>
      <c r="D72" s="45" t="s">
        <v>948</v>
      </c>
      <c r="E72" s="45" t="s">
        <v>2986</v>
      </c>
      <c r="F72" s="45">
        <v>545</v>
      </c>
      <c r="G72" s="45" t="s">
        <v>3015</v>
      </c>
      <c r="H72" s="98" t="s">
        <v>4461</v>
      </c>
      <c r="I72" s="98" t="s">
        <v>4463</v>
      </c>
      <c r="J72" s="160" t="s">
        <v>4591</v>
      </c>
      <c r="K72" s="166">
        <v>2</v>
      </c>
      <c r="L72" s="239" t="s">
        <v>4673</v>
      </c>
      <c r="M72" s="239" t="s">
        <v>4661</v>
      </c>
      <c r="N72" s="200">
        <v>22</v>
      </c>
      <c r="O72" s="45" t="s">
        <v>4604</v>
      </c>
    </row>
    <row r="73" spans="1:15" ht="15" customHeight="1" x14ac:dyDescent="0.3">
      <c r="A73" s="155" t="s">
        <v>4039</v>
      </c>
      <c r="B73" s="120" t="s">
        <v>4154</v>
      </c>
      <c r="C73" s="218" t="s">
        <v>918</v>
      </c>
      <c r="D73" s="45" t="s">
        <v>948</v>
      </c>
      <c r="E73" s="45" t="s">
        <v>2986</v>
      </c>
      <c r="F73" s="45">
        <v>530</v>
      </c>
      <c r="G73" s="45" t="s">
        <v>3003</v>
      </c>
      <c r="H73" s="98" t="s">
        <v>4461</v>
      </c>
      <c r="I73" s="98" t="s">
        <v>4463</v>
      </c>
      <c r="J73" s="160" t="s">
        <v>4591</v>
      </c>
      <c r="K73" s="166">
        <v>3</v>
      </c>
      <c r="L73" s="239" t="s">
        <v>4673</v>
      </c>
      <c r="M73" s="239" t="s">
        <v>4661</v>
      </c>
      <c r="N73" s="200">
        <v>22</v>
      </c>
      <c r="O73" s="45" t="s">
        <v>4604</v>
      </c>
    </row>
    <row r="74" spans="1:15" ht="15" customHeight="1" x14ac:dyDescent="0.3">
      <c r="A74" s="155" t="s">
        <v>4040</v>
      </c>
      <c r="B74" s="120" t="s">
        <v>4154</v>
      </c>
      <c r="C74" s="218" t="s">
        <v>31</v>
      </c>
      <c r="D74" s="45" t="s">
        <v>948</v>
      </c>
      <c r="E74" s="45" t="s">
        <v>2986</v>
      </c>
      <c r="F74" s="45">
        <v>530</v>
      </c>
      <c r="G74" s="45" t="s">
        <v>3003</v>
      </c>
      <c r="H74" s="98" t="s">
        <v>4461</v>
      </c>
      <c r="I74" s="98" t="s">
        <v>4463</v>
      </c>
      <c r="J74" s="160" t="s">
        <v>4591</v>
      </c>
      <c r="K74" s="166">
        <v>4</v>
      </c>
      <c r="L74" s="239" t="s">
        <v>4673</v>
      </c>
      <c r="M74" s="239" t="s">
        <v>4661</v>
      </c>
      <c r="N74" s="200">
        <v>22</v>
      </c>
      <c r="O74" s="45" t="s">
        <v>4604</v>
      </c>
    </row>
    <row r="75" spans="1:15" ht="15" customHeight="1" x14ac:dyDescent="0.3">
      <c r="A75" s="155" t="s">
        <v>4041</v>
      </c>
      <c r="B75" s="120" t="s">
        <v>4159</v>
      </c>
      <c r="C75" s="218" t="s">
        <v>33</v>
      </c>
      <c r="D75" s="45" t="s">
        <v>948</v>
      </c>
      <c r="E75" s="45" t="s">
        <v>2986</v>
      </c>
      <c r="F75" s="45">
        <v>545</v>
      </c>
      <c r="G75" s="45" t="s">
        <v>3016</v>
      </c>
      <c r="H75" s="98" t="s">
        <v>4465</v>
      </c>
      <c r="I75" s="98" t="s">
        <v>4463</v>
      </c>
      <c r="J75" s="160" t="s">
        <v>4603</v>
      </c>
      <c r="K75" s="166">
        <v>1</v>
      </c>
      <c r="L75" s="239" t="s">
        <v>4682</v>
      </c>
      <c r="M75" s="239" t="s">
        <v>4661</v>
      </c>
      <c r="N75" s="200">
        <v>22</v>
      </c>
      <c r="O75" s="45" t="s">
        <v>4602</v>
      </c>
    </row>
    <row r="76" spans="1:15" ht="15" customHeight="1" x14ac:dyDescent="0.3">
      <c r="A76" s="155" t="s">
        <v>4042</v>
      </c>
      <c r="B76" s="120" t="s">
        <v>4159</v>
      </c>
      <c r="C76" s="218" t="s">
        <v>34</v>
      </c>
      <c r="D76" s="45" t="s">
        <v>948</v>
      </c>
      <c r="E76" s="45" t="s">
        <v>2986</v>
      </c>
      <c r="F76" s="45">
        <v>545</v>
      </c>
      <c r="G76" s="45" t="s">
        <v>3016</v>
      </c>
      <c r="H76" s="98" t="s">
        <v>4465</v>
      </c>
      <c r="I76" s="98" t="s">
        <v>4463</v>
      </c>
      <c r="J76" s="160" t="s">
        <v>4603</v>
      </c>
      <c r="K76" s="166">
        <v>2</v>
      </c>
      <c r="L76" s="239" t="s">
        <v>4682</v>
      </c>
      <c r="M76" s="239" t="s">
        <v>4661</v>
      </c>
      <c r="N76" s="200">
        <v>22</v>
      </c>
      <c r="O76" s="45" t="s">
        <v>4602</v>
      </c>
    </row>
    <row r="77" spans="1:15" ht="15" customHeight="1" x14ac:dyDescent="0.3">
      <c r="A77" s="155" t="s">
        <v>4043</v>
      </c>
      <c r="B77" s="120" t="s">
        <v>4159</v>
      </c>
      <c r="C77" s="218" t="s">
        <v>919</v>
      </c>
      <c r="D77" s="45" t="s">
        <v>948</v>
      </c>
      <c r="E77" s="45" t="s">
        <v>2986</v>
      </c>
      <c r="F77" s="45">
        <v>530</v>
      </c>
      <c r="G77" s="45" t="s">
        <v>3006</v>
      </c>
      <c r="H77" s="98" t="s">
        <v>4465</v>
      </c>
      <c r="I77" s="98" t="s">
        <v>4463</v>
      </c>
      <c r="J77" s="160" t="s">
        <v>4603</v>
      </c>
      <c r="K77" s="166">
        <v>3</v>
      </c>
      <c r="L77" s="239" t="s">
        <v>4682</v>
      </c>
      <c r="M77" s="239" t="s">
        <v>4661</v>
      </c>
      <c r="N77" s="200">
        <v>22</v>
      </c>
      <c r="O77" s="45" t="s">
        <v>4602</v>
      </c>
    </row>
    <row r="78" spans="1:15" ht="15" customHeight="1" x14ac:dyDescent="0.3">
      <c r="A78" s="155" t="s">
        <v>4044</v>
      </c>
      <c r="B78" s="120" t="s">
        <v>4159</v>
      </c>
      <c r="C78" s="218" t="s">
        <v>35</v>
      </c>
      <c r="D78" s="45" t="s">
        <v>948</v>
      </c>
      <c r="E78" s="45" t="s">
        <v>2986</v>
      </c>
      <c r="F78" s="45">
        <v>530</v>
      </c>
      <c r="G78" s="45" t="s">
        <v>3006</v>
      </c>
      <c r="H78" s="98" t="s">
        <v>4465</v>
      </c>
      <c r="I78" s="98" t="s">
        <v>4463</v>
      </c>
      <c r="J78" s="160" t="s">
        <v>4603</v>
      </c>
      <c r="K78" s="166">
        <v>4</v>
      </c>
      <c r="L78" s="239" t="s">
        <v>4682</v>
      </c>
      <c r="M78" s="239" t="s">
        <v>4661</v>
      </c>
      <c r="N78" s="200">
        <v>22</v>
      </c>
      <c r="O78" s="45" t="s">
        <v>4602</v>
      </c>
    </row>
    <row r="79" spans="1:15" ht="15" customHeight="1" x14ac:dyDescent="0.3">
      <c r="A79" s="155" t="s">
        <v>4034</v>
      </c>
      <c r="B79" s="221" t="s">
        <v>4154</v>
      </c>
      <c r="C79" s="218" t="s">
        <v>36</v>
      </c>
      <c r="D79" s="45" t="s">
        <v>948</v>
      </c>
      <c r="E79" s="45" t="s">
        <v>2986</v>
      </c>
      <c r="F79" s="45">
        <v>500</v>
      </c>
      <c r="G79" s="45" t="s">
        <v>3017</v>
      </c>
      <c r="H79" s="98" t="s">
        <v>4461</v>
      </c>
      <c r="I79" s="98" t="s">
        <v>4463</v>
      </c>
      <c r="J79" s="160" t="s">
        <v>4593</v>
      </c>
      <c r="K79" s="166">
        <v>8</v>
      </c>
      <c r="L79" s="239" t="s">
        <v>4673</v>
      </c>
      <c r="M79" s="239" t="s">
        <v>4661</v>
      </c>
      <c r="N79" s="200">
        <v>22</v>
      </c>
      <c r="O79" s="45" t="s">
        <v>4604</v>
      </c>
    </row>
    <row r="80" spans="1:15" ht="15" customHeight="1" x14ac:dyDescent="0.3">
      <c r="A80" s="155" t="s">
        <v>4036</v>
      </c>
      <c r="B80" s="120" t="s">
        <v>4159</v>
      </c>
      <c r="C80" s="218" t="s">
        <v>40</v>
      </c>
      <c r="D80" s="45" t="s">
        <v>948</v>
      </c>
      <c r="E80" s="45" t="s">
        <v>2986</v>
      </c>
      <c r="F80" s="45">
        <v>500</v>
      </c>
      <c r="G80" s="45" t="s">
        <v>3018</v>
      </c>
      <c r="H80" s="98" t="s">
        <v>4465</v>
      </c>
      <c r="I80" s="98" t="s">
        <v>4463</v>
      </c>
      <c r="J80" s="160" t="s">
        <v>4580</v>
      </c>
      <c r="K80" s="166">
        <v>2</v>
      </c>
      <c r="L80" s="239" t="s">
        <v>4682</v>
      </c>
      <c r="M80" s="239" t="s">
        <v>4661</v>
      </c>
      <c r="N80" s="200">
        <v>22</v>
      </c>
      <c r="O80" s="45" t="s">
        <v>4602</v>
      </c>
    </row>
    <row r="81" spans="1:15" ht="15" customHeight="1" x14ac:dyDescent="0.3">
      <c r="A81" s="155" t="s">
        <v>4045</v>
      </c>
      <c r="B81" s="120" t="s">
        <v>4154</v>
      </c>
      <c r="C81" s="218" t="s">
        <v>37</v>
      </c>
      <c r="D81" s="45" t="s">
        <v>948</v>
      </c>
      <c r="E81" s="45" t="s">
        <v>2986</v>
      </c>
      <c r="F81" s="45">
        <v>545</v>
      </c>
      <c r="G81" s="45" t="s">
        <v>3004</v>
      </c>
      <c r="H81" s="98" t="s">
        <v>4461</v>
      </c>
      <c r="I81" s="98" t="s">
        <v>4463</v>
      </c>
      <c r="J81" s="160" t="s">
        <v>4591</v>
      </c>
      <c r="K81" s="166">
        <v>5</v>
      </c>
      <c r="L81" s="239" t="s">
        <v>4673</v>
      </c>
      <c r="M81" s="239" t="s">
        <v>4661</v>
      </c>
      <c r="N81" s="200">
        <v>22</v>
      </c>
      <c r="O81" s="45" t="s">
        <v>4604</v>
      </c>
    </row>
    <row r="82" spans="1:15" ht="15" customHeight="1" x14ac:dyDescent="0.3">
      <c r="A82" s="155" t="s">
        <v>4046</v>
      </c>
      <c r="B82" s="120" t="s">
        <v>4154</v>
      </c>
      <c r="C82" s="218" t="s">
        <v>38</v>
      </c>
      <c r="D82" s="45" t="s">
        <v>948</v>
      </c>
      <c r="E82" s="45" t="s">
        <v>2986</v>
      </c>
      <c r="F82" s="45">
        <v>545</v>
      </c>
      <c r="G82" s="45" t="s">
        <v>3004</v>
      </c>
      <c r="H82" s="98" t="s">
        <v>4461</v>
      </c>
      <c r="I82" s="98" t="s">
        <v>4463</v>
      </c>
      <c r="J82" s="160" t="s">
        <v>4591</v>
      </c>
      <c r="K82" s="166">
        <v>6</v>
      </c>
      <c r="L82" s="239" t="s">
        <v>4673</v>
      </c>
      <c r="M82" s="239" t="s">
        <v>4661</v>
      </c>
      <c r="N82" s="200">
        <v>22</v>
      </c>
      <c r="O82" s="45" t="s">
        <v>4604</v>
      </c>
    </row>
    <row r="83" spans="1:15" ht="15" customHeight="1" x14ac:dyDescent="0.3">
      <c r="A83" s="155" t="s">
        <v>4047</v>
      </c>
      <c r="B83" s="120" t="s">
        <v>4154</v>
      </c>
      <c r="C83" s="218" t="s">
        <v>920</v>
      </c>
      <c r="D83" s="45" t="s">
        <v>948</v>
      </c>
      <c r="E83" s="45" t="s">
        <v>2986</v>
      </c>
      <c r="F83" s="45">
        <v>530</v>
      </c>
      <c r="G83" s="45" t="s">
        <v>3005</v>
      </c>
      <c r="H83" s="98" t="s">
        <v>4461</v>
      </c>
      <c r="I83" s="98" t="s">
        <v>4463</v>
      </c>
      <c r="J83" s="160" t="s">
        <v>4591</v>
      </c>
      <c r="K83" s="166">
        <v>7</v>
      </c>
      <c r="L83" s="239" t="s">
        <v>4673</v>
      </c>
      <c r="M83" s="239" t="s">
        <v>4661</v>
      </c>
      <c r="N83" s="200">
        <v>22</v>
      </c>
      <c r="O83" s="45" t="s">
        <v>4604</v>
      </c>
    </row>
    <row r="84" spans="1:15" ht="15" customHeight="1" x14ac:dyDescent="0.3">
      <c r="A84" s="155" t="s">
        <v>4048</v>
      </c>
      <c r="B84" s="120" t="s">
        <v>4154</v>
      </c>
      <c r="C84" s="218" t="s">
        <v>39</v>
      </c>
      <c r="D84" s="45" t="s">
        <v>948</v>
      </c>
      <c r="E84" s="45" t="s">
        <v>2986</v>
      </c>
      <c r="F84" s="45">
        <v>530</v>
      </c>
      <c r="G84" s="45" t="s">
        <v>3005</v>
      </c>
      <c r="H84" s="98" t="s">
        <v>4461</v>
      </c>
      <c r="I84" s="98" t="s">
        <v>4463</v>
      </c>
      <c r="J84" s="160" t="s">
        <v>4591</v>
      </c>
      <c r="K84" s="166">
        <v>8</v>
      </c>
      <c r="L84" s="239" t="s">
        <v>4673</v>
      </c>
      <c r="M84" s="239" t="s">
        <v>4661</v>
      </c>
      <c r="N84" s="200">
        <v>22</v>
      </c>
      <c r="O84" s="45" t="s">
        <v>4604</v>
      </c>
    </row>
    <row r="85" spans="1:15" ht="15" customHeight="1" x14ac:dyDescent="0.3">
      <c r="A85" s="155" t="s">
        <v>4049</v>
      </c>
      <c r="B85" s="120" t="s">
        <v>4159</v>
      </c>
      <c r="C85" s="218" t="s">
        <v>41</v>
      </c>
      <c r="D85" s="45" t="s">
        <v>948</v>
      </c>
      <c r="E85" s="45" t="s">
        <v>2986</v>
      </c>
      <c r="F85" s="45">
        <v>545</v>
      </c>
      <c r="G85" s="45" t="s">
        <v>3007</v>
      </c>
      <c r="H85" s="98" t="s">
        <v>4465</v>
      </c>
      <c r="I85" s="98" t="s">
        <v>4463</v>
      </c>
      <c r="J85" s="160" t="s">
        <v>4603</v>
      </c>
      <c r="K85" s="166">
        <v>5</v>
      </c>
      <c r="L85" s="239" t="s">
        <v>4682</v>
      </c>
      <c r="M85" s="239" t="s">
        <v>4661</v>
      </c>
      <c r="N85" s="200">
        <v>22</v>
      </c>
      <c r="O85" s="45" t="s">
        <v>4602</v>
      </c>
    </row>
    <row r="86" spans="1:15" ht="15" customHeight="1" x14ac:dyDescent="0.3">
      <c r="A86" s="155" t="s">
        <v>4050</v>
      </c>
      <c r="B86" s="120" t="s">
        <v>4159</v>
      </c>
      <c r="C86" s="218" t="s">
        <v>42</v>
      </c>
      <c r="D86" s="45" t="s">
        <v>948</v>
      </c>
      <c r="E86" s="45" t="s">
        <v>2986</v>
      </c>
      <c r="F86" s="45">
        <v>545</v>
      </c>
      <c r="G86" s="45" t="s">
        <v>3007</v>
      </c>
      <c r="H86" s="98" t="s">
        <v>4465</v>
      </c>
      <c r="I86" s="98" t="s">
        <v>4463</v>
      </c>
      <c r="J86" s="160" t="s">
        <v>4603</v>
      </c>
      <c r="K86" s="166">
        <v>6</v>
      </c>
      <c r="L86" s="239" t="s">
        <v>4682</v>
      </c>
      <c r="M86" s="239" t="s">
        <v>4661</v>
      </c>
      <c r="N86" s="200">
        <v>22</v>
      </c>
      <c r="O86" s="45" t="s">
        <v>4602</v>
      </c>
    </row>
    <row r="87" spans="1:15" ht="15" customHeight="1" x14ac:dyDescent="0.3">
      <c r="A87" s="155" t="s">
        <v>4051</v>
      </c>
      <c r="B87" s="120" t="s">
        <v>4159</v>
      </c>
      <c r="C87" s="218" t="s">
        <v>921</v>
      </c>
      <c r="D87" s="45" t="s">
        <v>948</v>
      </c>
      <c r="E87" s="45" t="s">
        <v>2986</v>
      </c>
      <c r="F87" s="45">
        <v>530</v>
      </c>
      <c r="G87" s="45" t="s">
        <v>3008</v>
      </c>
      <c r="H87" s="98" t="s">
        <v>4465</v>
      </c>
      <c r="I87" s="98" t="s">
        <v>4463</v>
      </c>
      <c r="J87" s="160" t="s">
        <v>4603</v>
      </c>
      <c r="K87" s="166">
        <v>7</v>
      </c>
      <c r="L87" s="239" t="s">
        <v>4682</v>
      </c>
      <c r="M87" s="239" t="s">
        <v>4661</v>
      </c>
      <c r="N87" s="200">
        <v>22</v>
      </c>
      <c r="O87" s="45" t="s">
        <v>4602</v>
      </c>
    </row>
    <row r="88" spans="1:15" ht="15" customHeight="1" x14ac:dyDescent="0.3">
      <c r="A88" s="220" t="s">
        <v>4052</v>
      </c>
      <c r="B88" s="120" t="s">
        <v>4159</v>
      </c>
      <c r="C88" s="218" t="s">
        <v>43</v>
      </c>
      <c r="D88" s="45" t="s">
        <v>948</v>
      </c>
      <c r="E88" s="45" t="s">
        <v>2986</v>
      </c>
      <c r="F88" s="45">
        <v>530</v>
      </c>
      <c r="G88" s="45" t="s">
        <v>3008</v>
      </c>
      <c r="H88" s="98" t="s">
        <v>4465</v>
      </c>
      <c r="I88" s="98" t="s">
        <v>4463</v>
      </c>
      <c r="J88" s="160" t="s">
        <v>4603</v>
      </c>
      <c r="K88" s="166">
        <v>8</v>
      </c>
      <c r="L88" s="239" t="s">
        <v>4682</v>
      </c>
      <c r="M88" s="239" t="s">
        <v>4661</v>
      </c>
      <c r="N88" s="200">
        <v>22</v>
      </c>
      <c r="O88" s="45" t="s">
        <v>4602</v>
      </c>
    </row>
    <row r="89" spans="1:15" ht="15" customHeight="1" x14ac:dyDescent="0.3">
      <c r="A89" s="220" t="s">
        <v>4021</v>
      </c>
      <c r="B89" s="192" t="s">
        <v>4471</v>
      </c>
      <c r="C89" s="218" t="s">
        <v>44</v>
      </c>
      <c r="D89" s="45" t="s">
        <v>948</v>
      </c>
      <c r="E89" s="45" t="s">
        <v>2986</v>
      </c>
      <c r="F89" s="45">
        <v>540</v>
      </c>
      <c r="G89" s="45" t="s">
        <v>3019</v>
      </c>
      <c r="H89" s="98" t="s">
        <v>4472</v>
      </c>
      <c r="I89" s="98" t="s">
        <v>4470</v>
      </c>
      <c r="J89" s="160" t="s">
        <v>4612</v>
      </c>
      <c r="K89" s="166">
        <v>1</v>
      </c>
      <c r="L89" s="239" t="s">
        <v>4694</v>
      </c>
      <c r="M89" s="239" t="s">
        <v>4661</v>
      </c>
      <c r="N89" s="200">
        <v>22</v>
      </c>
      <c r="O89" s="45" t="s">
        <v>4604</v>
      </c>
    </row>
    <row r="90" spans="1:15" ht="15" customHeight="1" x14ac:dyDescent="0.3">
      <c r="A90" s="220" t="s">
        <v>4022</v>
      </c>
      <c r="B90" s="192" t="s">
        <v>4471</v>
      </c>
      <c r="C90" s="218" t="s">
        <v>45</v>
      </c>
      <c r="D90" s="45" t="s">
        <v>948</v>
      </c>
      <c r="E90" s="45" t="s">
        <v>2986</v>
      </c>
      <c r="F90" s="45">
        <v>540</v>
      </c>
      <c r="G90" s="45" t="s">
        <v>3019</v>
      </c>
      <c r="H90" s="98" t="s">
        <v>4472</v>
      </c>
      <c r="I90" s="98" t="s">
        <v>4470</v>
      </c>
      <c r="J90" s="160" t="s">
        <v>4612</v>
      </c>
      <c r="K90" s="166">
        <v>2</v>
      </c>
      <c r="L90" s="239" t="s">
        <v>4694</v>
      </c>
      <c r="M90" s="239" t="s">
        <v>4661</v>
      </c>
      <c r="N90" s="200">
        <v>22</v>
      </c>
      <c r="O90" s="45" t="s">
        <v>4604</v>
      </c>
    </row>
    <row r="91" spans="1:15" s="3" customFormat="1" ht="15" customHeight="1" x14ac:dyDescent="0.3">
      <c r="A91" s="220" t="s">
        <v>4023</v>
      </c>
      <c r="B91" s="192" t="s">
        <v>4471</v>
      </c>
      <c r="C91" s="218" t="s">
        <v>46</v>
      </c>
      <c r="D91" s="45" t="s">
        <v>948</v>
      </c>
      <c r="E91" s="45" t="s">
        <v>2986</v>
      </c>
      <c r="F91" s="45">
        <v>540</v>
      </c>
      <c r="G91" s="45" t="s">
        <v>3019</v>
      </c>
      <c r="H91" s="98" t="s">
        <v>4472</v>
      </c>
      <c r="I91" s="98" t="s">
        <v>4470</v>
      </c>
      <c r="J91" s="160" t="s">
        <v>4612</v>
      </c>
      <c r="K91" s="166">
        <v>3</v>
      </c>
      <c r="L91" s="239" t="s">
        <v>4694</v>
      </c>
      <c r="M91" s="239" t="s">
        <v>4661</v>
      </c>
      <c r="N91" s="200">
        <v>22</v>
      </c>
      <c r="O91" s="45" t="s">
        <v>4604</v>
      </c>
    </row>
    <row r="92" spans="1:15" ht="15" customHeight="1" x14ac:dyDescent="0.3">
      <c r="A92" s="155" t="s">
        <v>4103</v>
      </c>
      <c r="B92" s="192" t="s">
        <v>4471</v>
      </c>
      <c r="C92" s="218" t="s">
        <v>47</v>
      </c>
      <c r="D92" s="45" t="s">
        <v>948</v>
      </c>
      <c r="E92" s="45" t="s">
        <v>2986</v>
      </c>
      <c r="F92" s="45">
        <v>540</v>
      </c>
      <c r="G92" s="45" t="s">
        <v>3019</v>
      </c>
      <c r="H92" s="98" t="s">
        <v>4472</v>
      </c>
      <c r="I92" s="98" t="s">
        <v>4470</v>
      </c>
      <c r="J92" s="160" t="s">
        <v>4613</v>
      </c>
      <c r="K92" s="166">
        <v>4</v>
      </c>
      <c r="L92" s="239" t="s">
        <v>4694</v>
      </c>
      <c r="M92" s="239" t="s">
        <v>4661</v>
      </c>
      <c r="N92" s="200">
        <v>22</v>
      </c>
      <c r="O92" s="45" t="s">
        <v>4604</v>
      </c>
    </row>
    <row r="93" spans="1:15" ht="15" customHeight="1" x14ac:dyDescent="0.3">
      <c r="A93" s="220" t="s">
        <v>4024</v>
      </c>
      <c r="B93" s="192" t="s">
        <v>4471</v>
      </c>
      <c r="C93" s="218" t="s">
        <v>48</v>
      </c>
      <c r="D93" s="45" t="s">
        <v>948</v>
      </c>
      <c r="E93" s="45" t="s">
        <v>2986</v>
      </c>
      <c r="F93" s="45">
        <v>540</v>
      </c>
      <c r="G93" s="45" t="s">
        <v>3019</v>
      </c>
      <c r="H93" s="98" t="s">
        <v>4472</v>
      </c>
      <c r="I93" s="98" t="s">
        <v>4470</v>
      </c>
      <c r="J93" s="160" t="s">
        <v>4612</v>
      </c>
      <c r="K93" s="166">
        <v>4</v>
      </c>
      <c r="L93" s="239" t="s">
        <v>4694</v>
      </c>
      <c r="M93" s="239" t="s">
        <v>4661</v>
      </c>
      <c r="N93" s="200">
        <v>22</v>
      </c>
      <c r="O93" s="45" t="s">
        <v>4604</v>
      </c>
    </row>
    <row r="94" spans="1:15" ht="15" customHeight="1" x14ac:dyDescent="0.3">
      <c r="A94" s="220" t="s">
        <v>4025</v>
      </c>
      <c r="B94" s="192" t="s">
        <v>4471</v>
      </c>
      <c r="C94" s="218" t="s">
        <v>49</v>
      </c>
      <c r="D94" s="45" t="s">
        <v>948</v>
      </c>
      <c r="E94" s="45" t="s">
        <v>2986</v>
      </c>
      <c r="F94" s="45">
        <v>540</v>
      </c>
      <c r="G94" s="45" t="s">
        <v>3019</v>
      </c>
      <c r="H94" s="98" t="s">
        <v>4472</v>
      </c>
      <c r="I94" s="98" t="s">
        <v>4470</v>
      </c>
      <c r="J94" s="160" t="s">
        <v>4612</v>
      </c>
      <c r="K94" s="166">
        <v>5</v>
      </c>
      <c r="L94" s="239" t="s">
        <v>4694</v>
      </c>
      <c r="M94" s="239" t="s">
        <v>4661</v>
      </c>
      <c r="N94" s="200">
        <v>22</v>
      </c>
      <c r="O94" s="45" t="s">
        <v>4604</v>
      </c>
    </row>
    <row r="95" spans="1:15" ht="15" customHeight="1" x14ac:dyDescent="0.3">
      <c r="A95" s="220" t="s">
        <v>4026</v>
      </c>
      <c r="B95" s="120" t="s">
        <v>4161</v>
      </c>
      <c r="C95" s="218" t="s">
        <v>50</v>
      </c>
      <c r="D95" s="45" t="s">
        <v>948</v>
      </c>
      <c r="E95" s="45" t="s">
        <v>2986</v>
      </c>
      <c r="F95" s="45">
        <v>540</v>
      </c>
      <c r="G95" s="45" t="s">
        <v>3019</v>
      </c>
      <c r="H95" s="98" t="s">
        <v>4468</v>
      </c>
      <c r="I95" s="98" t="s">
        <v>4470</v>
      </c>
      <c r="J95" s="160" t="s">
        <v>4612</v>
      </c>
      <c r="K95" s="166">
        <v>6</v>
      </c>
      <c r="L95" s="239" t="s">
        <v>4691</v>
      </c>
      <c r="M95" s="239" t="s">
        <v>4661</v>
      </c>
      <c r="N95" s="200">
        <v>22</v>
      </c>
      <c r="O95" s="45" t="s">
        <v>4604</v>
      </c>
    </row>
    <row r="96" spans="1:15" ht="15" customHeight="1" x14ac:dyDescent="0.3">
      <c r="A96" s="220" t="s">
        <v>4027</v>
      </c>
      <c r="B96" s="120" t="s">
        <v>4161</v>
      </c>
      <c r="C96" s="218" t="s">
        <v>51</v>
      </c>
      <c r="D96" s="45" t="s">
        <v>948</v>
      </c>
      <c r="E96" s="45" t="s">
        <v>2986</v>
      </c>
      <c r="F96" s="45">
        <v>540</v>
      </c>
      <c r="G96" s="45" t="s">
        <v>3019</v>
      </c>
      <c r="H96" s="98" t="s">
        <v>4468</v>
      </c>
      <c r="I96" s="98" t="s">
        <v>4470</v>
      </c>
      <c r="J96" s="160" t="s">
        <v>4612</v>
      </c>
      <c r="K96" s="166">
        <v>7</v>
      </c>
      <c r="L96" s="239" t="s">
        <v>4691</v>
      </c>
      <c r="M96" s="239" t="s">
        <v>4661</v>
      </c>
      <c r="N96" s="200">
        <v>22</v>
      </c>
      <c r="O96" s="45" t="s">
        <v>4604</v>
      </c>
    </row>
    <row r="97" spans="1:15" ht="15" customHeight="1" x14ac:dyDescent="0.3">
      <c r="A97" s="220" t="s">
        <v>4028</v>
      </c>
      <c r="B97" s="120" t="s">
        <v>4161</v>
      </c>
      <c r="C97" s="218" t="s">
        <v>52</v>
      </c>
      <c r="D97" s="45" t="s">
        <v>948</v>
      </c>
      <c r="E97" s="45" t="s">
        <v>2986</v>
      </c>
      <c r="F97" s="45">
        <v>540</v>
      </c>
      <c r="G97" s="45" t="s">
        <v>3019</v>
      </c>
      <c r="H97" s="98" t="s">
        <v>4468</v>
      </c>
      <c r="I97" s="98" t="s">
        <v>4470</v>
      </c>
      <c r="J97" s="160" t="s">
        <v>4613</v>
      </c>
      <c r="K97" s="166">
        <v>1</v>
      </c>
      <c r="L97" s="239" t="s">
        <v>4691</v>
      </c>
      <c r="M97" s="239" t="s">
        <v>4661</v>
      </c>
      <c r="N97" s="200">
        <v>22</v>
      </c>
      <c r="O97" s="45" t="s">
        <v>4604</v>
      </c>
    </row>
    <row r="98" spans="1:15" ht="15" customHeight="1" x14ac:dyDescent="0.3">
      <c r="A98" s="155" t="s">
        <v>4104</v>
      </c>
      <c r="B98" s="120" t="s">
        <v>4161</v>
      </c>
      <c r="C98" s="218" t="s">
        <v>53</v>
      </c>
      <c r="D98" s="45" t="s">
        <v>948</v>
      </c>
      <c r="E98" s="45" t="s">
        <v>2986</v>
      </c>
      <c r="F98" s="45">
        <v>540</v>
      </c>
      <c r="G98" s="45" t="s">
        <v>3019</v>
      </c>
      <c r="H98" s="98" t="s">
        <v>4468</v>
      </c>
      <c r="I98" s="98" t="s">
        <v>4470</v>
      </c>
      <c r="J98" s="160" t="s">
        <v>4613</v>
      </c>
      <c r="K98" s="166">
        <v>5</v>
      </c>
      <c r="L98" s="239" t="s">
        <v>4691</v>
      </c>
      <c r="M98" s="239" t="s">
        <v>4661</v>
      </c>
      <c r="N98" s="200">
        <v>22</v>
      </c>
      <c r="O98" s="45" t="s">
        <v>4604</v>
      </c>
    </row>
    <row r="99" spans="1:15" ht="15" customHeight="1" x14ac:dyDescent="0.3">
      <c r="A99" s="220" t="s">
        <v>4029</v>
      </c>
      <c r="B99" s="120" t="s">
        <v>4161</v>
      </c>
      <c r="C99" s="218" t="s">
        <v>54</v>
      </c>
      <c r="D99" s="45" t="s">
        <v>948</v>
      </c>
      <c r="E99" s="45" t="s">
        <v>2986</v>
      </c>
      <c r="F99" s="45">
        <v>540</v>
      </c>
      <c r="G99" s="45" t="s">
        <v>3019</v>
      </c>
      <c r="H99" s="98" t="s">
        <v>4468</v>
      </c>
      <c r="I99" s="98" t="s">
        <v>4470</v>
      </c>
      <c r="J99" s="160" t="s">
        <v>4613</v>
      </c>
      <c r="K99" s="166">
        <v>2</v>
      </c>
      <c r="L99" s="239" t="s">
        <v>4691</v>
      </c>
      <c r="M99" s="239" t="s">
        <v>4661</v>
      </c>
      <c r="N99" s="200">
        <v>22</v>
      </c>
      <c r="O99" s="45" t="s">
        <v>4604</v>
      </c>
    </row>
    <row r="100" spans="1:15" ht="15" customHeight="1" x14ac:dyDescent="0.3">
      <c r="A100" s="220" t="s">
        <v>4030</v>
      </c>
      <c r="B100" s="120" t="s">
        <v>4161</v>
      </c>
      <c r="C100" s="218" t="s">
        <v>55</v>
      </c>
      <c r="D100" s="45" t="s">
        <v>948</v>
      </c>
      <c r="E100" s="45" t="s">
        <v>2986</v>
      </c>
      <c r="F100" s="45">
        <v>540</v>
      </c>
      <c r="G100" s="45" t="s">
        <v>3019</v>
      </c>
      <c r="H100" s="98" t="s">
        <v>4468</v>
      </c>
      <c r="I100" s="98" t="s">
        <v>4470</v>
      </c>
      <c r="J100" s="160" t="s">
        <v>4613</v>
      </c>
      <c r="K100" s="166">
        <v>3</v>
      </c>
      <c r="L100" s="239" t="s">
        <v>4691</v>
      </c>
      <c r="M100" s="239" t="s">
        <v>4661</v>
      </c>
      <c r="N100" s="200">
        <v>22</v>
      </c>
      <c r="O100" s="45" t="s">
        <v>4604</v>
      </c>
    </row>
    <row r="101" spans="1:15" ht="15" customHeight="1" x14ac:dyDescent="0.3">
      <c r="A101" s="222" t="s">
        <v>4157</v>
      </c>
      <c r="B101" s="120" t="s">
        <v>4154</v>
      </c>
      <c r="C101" s="218" t="s">
        <v>56</v>
      </c>
      <c r="D101" s="45" t="s">
        <v>948</v>
      </c>
      <c r="E101" s="45" t="s">
        <v>2986</v>
      </c>
      <c r="F101" s="45">
        <v>530</v>
      </c>
      <c r="G101" s="45" t="s">
        <v>3020</v>
      </c>
      <c r="H101" s="98" t="s">
        <v>4461</v>
      </c>
      <c r="I101" s="98" t="s">
        <v>4463</v>
      </c>
      <c r="J101" s="160" t="s">
        <v>4592</v>
      </c>
      <c r="K101" s="166">
        <v>8</v>
      </c>
      <c r="L101" s="239" t="s">
        <v>4673</v>
      </c>
      <c r="M101" s="239" t="s">
        <v>4661</v>
      </c>
      <c r="N101" s="200">
        <v>22</v>
      </c>
      <c r="O101" s="45" t="s">
        <v>4604</v>
      </c>
    </row>
    <row r="102" spans="1:15" ht="15" customHeight="1" x14ac:dyDescent="0.3">
      <c r="A102" s="223" t="s">
        <v>4160</v>
      </c>
      <c r="B102" s="120" t="s">
        <v>4159</v>
      </c>
      <c r="C102" s="218" t="s">
        <v>110</v>
      </c>
      <c r="D102" s="45" t="s">
        <v>948</v>
      </c>
      <c r="E102" s="45" t="s">
        <v>2986</v>
      </c>
      <c r="F102" s="45">
        <v>530</v>
      </c>
      <c r="G102" s="45" t="s">
        <v>3021</v>
      </c>
      <c r="H102" s="98" t="s">
        <v>4465</v>
      </c>
      <c r="I102" s="98" t="s">
        <v>4463</v>
      </c>
      <c r="J102" s="160" t="s">
        <v>4580</v>
      </c>
      <c r="K102" s="166">
        <v>3</v>
      </c>
      <c r="L102" s="239" t="s">
        <v>4682</v>
      </c>
      <c r="M102" s="239" t="s">
        <v>4661</v>
      </c>
      <c r="N102" s="200">
        <v>22</v>
      </c>
      <c r="O102" s="45" t="s">
        <v>4602</v>
      </c>
    </row>
    <row r="103" spans="1:15" ht="15" customHeight="1" x14ac:dyDescent="0.3">
      <c r="A103" s="155" t="s">
        <v>3840</v>
      </c>
      <c r="B103" s="120" t="s">
        <v>4153</v>
      </c>
      <c r="C103" s="174" t="s">
        <v>57</v>
      </c>
      <c r="D103" s="45" t="s">
        <v>948</v>
      </c>
      <c r="E103" s="45" t="s">
        <v>2986</v>
      </c>
      <c r="F103" s="45">
        <v>500</v>
      </c>
      <c r="G103" s="45" t="s">
        <v>3022</v>
      </c>
      <c r="H103" s="98" t="s">
        <v>4461</v>
      </c>
      <c r="I103" s="98" t="s">
        <v>4463</v>
      </c>
      <c r="J103" s="161" t="s">
        <v>4576</v>
      </c>
      <c r="K103" s="170">
        <v>1</v>
      </c>
      <c r="L103" s="239" t="s">
        <v>4660</v>
      </c>
      <c r="M103" s="239" t="s">
        <v>4661</v>
      </c>
      <c r="N103" s="200">
        <v>24</v>
      </c>
      <c r="O103" s="45" t="s">
        <v>4604</v>
      </c>
    </row>
    <row r="104" spans="1:15" ht="15" customHeight="1" x14ac:dyDescent="0.3">
      <c r="A104" s="155" t="s">
        <v>3841</v>
      </c>
      <c r="B104" s="120" t="s">
        <v>4153</v>
      </c>
      <c r="C104" s="174" t="s">
        <v>58</v>
      </c>
      <c r="D104" s="45" t="s">
        <v>948</v>
      </c>
      <c r="E104" s="45" t="s">
        <v>2986</v>
      </c>
      <c r="F104" s="45">
        <v>500</v>
      </c>
      <c r="G104" s="45" t="s">
        <v>3022</v>
      </c>
      <c r="H104" s="98" t="s">
        <v>4461</v>
      </c>
      <c r="I104" s="98" t="s">
        <v>4463</v>
      </c>
      <c r="J104" s="161" t="s">
        <v>4576</v>
      </c>
      <c r="K104" s="170">
        <v>2</v>
      </c>
      <c r="L104" s="239" t="s">
        <v>4660</v>
      </c>
      <c r="M104" s="239" t="s">
        <v>4661</v>
      </c>
      <c r="N104" s="200">
        <v>24</v>
      </c>
      <c r="O104" s="45" t="s">
        <v>4604</v>
      </c>
    </row>
    <row r="105" spans="1:15" ht="15" customHeight="1" x14ac:dyDescent="0.3">
      <c r="A105" s="155" t="s">
        <v>3844</v>
      </c>
      <c r="B105" s="120" t="s">
        <v>4153</v>
      </c>
      <c r="C105" s="174" t="s">
        <v>59</v>
      </c>
      <c r="D105" s="45" t="s">
        <v>948</v>
      </c>
      <c r="E105" s="45" t="s">
        <v>2986</v>
      </c>
      <c r="F105" s="45">
        <v>500</v>
      </c>
      <c r="G105" s="45" t="s">
        <v>3022</v>
      </c>
      <c r="H105" s="98" t="s">
        <v>4461</v>
      </c>
      <c r="I105" s="98" t="s">
        <v>4463</v>
      </c>
      <c r="J105" s="161" t="s">
        <v>4576</v>
      </c>
      <c r="K105" s="170">
        <v>3</v>
      </c>
      <c r="L105" s="239" t="s">
        <v>4660</v>
      </c>
      <c r="M105" s="239" t="s">
        <v>4661</v>
      </c>
      <c r="N105" s="200">
        <v>24</v>
      </c>
      <c r="O105" s="45" t="s">
        <v>4604</v>
      </c>
    </row>
    <row r="106" spans="1:15" ht="15" customHeight="1" x14ac:dyDescent="0.3">
      <c r="A106" s="155" t="s">
        <v>3845</v>
      </c>
      <c r="B106" s="120" t="s">
        <v>4153</v>
      </c>
      <c r="C106" s="174" t="s">
        <v>60</v>
      </c>
      <c r="D106" s="45" t="s">
        <v>948</v>
      </c>
      <c r="E106" s="45" t="s">
        <v>2986</v>
      </c>
      <c r="F106" s="45">
        <v>500</v>
      </c>
      <c r="G106" s="45" t="s">
        <v>3022</v>
      </c>
      <c r="H106" s="98" t="s">
        <v>4461</v>
      </c>
      <c r="I106" s="98" t="s">
        <v>4463</v>
      </c>
      <c r="J106" s="161" t="s">
        <v>4576</v>
      </c>
      <c r="K106" s="170">
        <v>4</v>
      </c>
      <c r="L106" s="239" t="s">
        <v>4660</v>
      </c>
      <c r="M106" s="239" t="s">
        <v>4661</v>
      </c>
      <c r="N106" s="200">
        <v>24</v>
      </c>
      <c r="O106" s="45" t="s">
        <v>4604</v>
      </c>
    </row>
    <row r="107" spans="1:15" ht="15" customHeight="1" x14ac:dyDescent="0.3">
      <c r="A107" s="155" t="s">
        <v>3846</v>
      </c>
      <c r="B107" s="120" t="s">
        <v>4153</v>
      </c>
      <c r="C107" s="174" t="s">
        <v>61</v>
      </c>
      <c r="D107" s="45" t="s">
        <v>948</v>
      </c>
      <c r="E107" s="45" t="s">
        <v>2986</v>
      </c>
      <c r="F107" s="45">
        <v>500</v>
      </c>
      <c r="G107" s="45" t="s">
        <v>3022</v>
      </c>
      <c r="H107" s="98" t="s">
        <v>4461</v>
      </c>
      <c r="I107" s="98" t="s">
        <v>4463</v>
      </c>
      <c r="J107" s="161" t="s">
        <v>4576</v>
      </c>
      <c r="K107" s="170">
        <v>5</v>
      </c>
      <c r="L107" s="239" t="s">
        <v>4660</v>
      </c>
      <c r="M107" s="239" t="s">
        <v>4661</v>
      </c>
      <c r="N107" s="200">
        <v>24</v>
      </c>
      <c r="O107" s="45" t="s">
        <v>4604</v>
      </c>
    </row>
    <row r="108" spans="1:15" ht="15" customHeight="1" x14ac:dyDescent="0.3">
      <c r="A108" s="155" t="s">
        <v>3847</v>
      </c>
      <c r="B108" s="120" t="s">
        <v>4153</v>
      </c>
      <c r="C108" s="174" t="s">
        <v>62</v>
      </c>
      <c r="D108" s="45" t="s">
        <v>948</v>
      </c>
      <c r="E108" s="45" t="s">
        <v>2986</v>
      </c>
      <c r="F108" s="45">
        <v>500</v>
      </c>
      <c r="G108" s="45" t="s">
        <v>3022</v>
      </c>
      <c r="H108" s="98" t="s">
        <v>4461</v>
      </c>
      <c r="I108" s="98" t="s">
        <v>4463</v>
      </c>
      <c r="J108" s="161" t="s">
        <v>4576</v>
      </c>
      <c r="K108" s="170">
        <v>6</v>
      </c>
      <c r="L108" s="239" t="s">
        <v>4660</v>
      </c>
      <c r="M108" s="239" t="s">
        <v>4661</v>
      </c>
      <c r="N108" s="200">
        <v>24</v>
      </c>
      <c r="O108" s="45" t="s">
        <v>4604</v>
      </c>
    </row>
    <row r="109" spans="1:15" ht="15" customHeight="1" x14ac:dyDescent="0.3">
      <c r="A109" s="155" t="s">
        <v>3850</v>
      </c>
      <c r="B109" s="120" t="s">
        <v>4153</v>
      </c>
      <c r="C109" s="174" t="s">
        <v>63</v>
      </c>
      <c r="D109" s="45" t="s">
        <v>948</v>
      </c>
      <c r="E109" s="45" t="s">
        <v>2986</v>
      </c>
      <c r="F109" s="45">
        <v>500</v>
      </c>
      <c r="G109" s="45" t="s">
        <v>3022</v>
      </c>
      <c r="H109" s="98" t="s">
        <v>4461</v>
      </c>
      <c r="I109" s="98" t="s">
        <v>4463</v>
      </c>
      <c r="J109" s="161" t="s">
        <v>4576</v>
      </c>
      <c r="K109" s="170">
        <v>7</v>
      </c>
      <c r="L109" s="239" t="s">
        <v>4660</v>
      </c>
      <c r="M109" s="239" t="s">
        <v>4661</v>
      </c>
      <c r="N109" s="200">
        <v>24</v>
      </c>
      <c r="O109" s="45" t="s">
        <v>4604</v>
      </c>
    </row>
    <row r="110" spans="1:15" ht="15" customHeight="1" x14ac:dyDescent="0.3">
      <c r="A110" s="155" t="s">
        <v>3851</v>
      </c>
      <c r="B110" s="120" t="s">
        <v>4153</v>
      </c>
      <c r="C110" s="174" t="s">
        <v>64</v>
      </c>
      <c r="D110" s="45" t="s">
        <v>948</v>
      </c>
      <c r="E110" s="45" t="s">
        <v>2986</v>
      </c>
      <c r="F110" s="45">
        <v>500</v>
      </c>
      <c r="G110" s="45" t="s">
        <v>3022</v>
      </c>
      <c r="H110" s="98" t="s">
        <v>4461</v>
      </c>
      <c r="I110" s="98" t="s">
        <v>4463</v>
      </c>
      <c r="J110" s="161" t="s">
        <v>4576</v>
      </c>
      <c r="K110" s="170">
        <v>8</v>
      </c>
      <c r="L110" s="239" t="s">
        <v>4660</v>
      </c>
      <c r="M110" s="239" t="s">
        <v>4661</v>
      </c>
      <c r="N110" s="200">
        <v>24</v>
      </c>
      <c r="O110" s="45" t="s">
        <v>4604</v>
      </c>
    </row>
    <row r="111" spans="1:15" ht="15" customHeight="1" x14ac:dyDescent="0.3">
      <c r="A111" s="155" t="s">
        <v>3852</v>
      </c>
      <c r="B111" s="120" t="s">
        <v>4153</v>
      </c>
      <c r="C111" s="174" t="s">
        <v>65</v>
      </c>
      <c r="D111" s="45" t="s">
        <v>948</v>
      </c>
      <c r="E111" s="45" t="s">
        <v>2986</v>
      </c>
      <c r="F111" s="45">
        <v>500</v>
      </c>
      <c r="G111" s="45" t="s">
        <v>3022</v>
      </c>
      <c r="H111" s="98" t="s">
        <v>4461</v>
      </c>
      <c r="I111" s="98" t="s">
        <v>4463</v>
      </c>
      <c r="J111" s="173" t="s">
        <v>4578</v>
      </c>
      <c r="K111" s="166">
        <v>1</v>
      </c>
      <c r="L111" s="239" t="s">
        <v>4660</v>
      </c>
      <c r="M111" s="239" t="s">
        <v>4661</v>
      </c>
      <c r="N111" s="200">
        <v>24</v>
      </c>
      <c r="O111" s="45" t="s">
        <v>4604</v>
      </c>
    </row>
    <row r="112" spans="1:15" ht="15" customHeight="1" x14ac:dyDescent="0.3">
      <c r="A112" s="155" t="s">
        <v>3853</v>
      </c>
      <c r="B112" s="120" t="s">
        <v>4153</v>
      </c>
      <c r="C112" s="174" t="s">
        <v>66</v>
      </c>
      <c r="D112" s="45" t="s">
        <v>948</v>
      </c>
      <c r="E112" s="45" t="s">
        <v>2986</v>
      </c>
      <c r="F112" s="45">
        <v>500</v>
      </c>
      <c r="G112" s="45" t="s">
        <v>3022</v>
      </c>
      <c r="H112" s="98" t="s">
        <v>4461</v>
      </c>
      <c r="I112" s="98" t="s">
        <v>4463</v>
      </c>
      <c r="J112" s="173" t="s">
        <v>4578</v>
      </c>
      <c r="K112" s="166">
        <v>2</v>
      </c>
      <c r="L112" s="239" t="s">
        <v>4660</v>
      </c>
      <c r="M112" s="239" t="s">
        <v>4661</v>
      </c>
      <c r="N112" s="200">
        <v>24</v>
      </c>
      <c r="O112" s="45" t="s">
        <v>4604</v>
      </c>
    </row>
    <row r="113" spans="1:15" ht="15" customHeight="1" x14ac:dyDescent="0.3">
      <c r="A113" s="155" t="s">
        <v>3854</v>
      </c>
      <c r="B113" s="120" t="s">
        <v>4153</v>
      </c>
      <c r="C113" s="174" t="s">
        <v>67</v>
      </c>
      <c r="D113" s="45" t="s">
        <v>948</v>
      </c>
      <c r="E113" s="45" t="s">
        <v>2986</v>
      </c>
      <c r="F113" s="45">
        <v>500</v>
      </c>
      <c r="G113" s="45" t="s">
        <v>3022</v>
      </c>
      <c r="H113" s="98" t="s">
        <v>4461</v>
      </c>
      <c r="I113" s="98" t="s">
        <v>4463</v>
      </c>
      <c r="J113" s="173" t="s">
        <v>4578</v>
      </c>
      <c r="K113" s="166">
        <v>3</v>
      </c>
      <c r="L113" s="239" t="s">
        <v>4660</v>
      </c>
      <c r="M113" s="239" t="s">
        <v>4661</v>
      </c>
      <c r="N113" s="200">
        <v>24</v>
      </c>
      <c r="O113" s="45" t="s">
        <v>4604</v>
      </c>
    </row>
    <row r="114" spans="1:15" ht="15" customHeight="1" x14ac:dyDescent="0.3">
      <c r="A114" s="155" t="s">
        <v>3855</v>
      </c>
      <c r="B114" s="120" t="s">
        <v>4153</v>
      </c>
      <c r="C114" s="174" t="s">
        <v>68</v>
      </c>
      <c r="D114" s="45" t="s">
        <v>948</v>
      </c>
      <c r="E114" s="45" t="s">
        <v>2986</v>
      </c>
      <c r="F114" s="45">
        <v>500</v>
      </c>
      <c r="G114" s="45" t="s">
        <v>3022</v>
      </c>
      <c r="H114" s="98" t="s">
        <v>4461</v>
      </c>
      <c r="I114" s="98" t="s">
        <v>4463</v>
      </c>
      <c r="J114" s="173" t="s">
        <v>4578</v>
      </c>
      <c r="K114" s="166">
        <v>4</v>
      </c>
      <c r="L114" s="239" t="s">
        <v>4660</v>
      </c>
      <c r="M114" s="239" t="s">
        <v>4661</v>
      </c>
      <c r="N114" s="200">
        <v>24</v>
      </c>
      <c r="O114" s="45" t="s">
        <v>4604</v>
      </c>
    </row>
    <row r="115" spans="1:15" ht="15" customHeight="1" x14ac:dyDescent="0.3">
      <c r="A115" s="155" t="s">
        <v>3970</v>
      </c>
      <c r="B115" s="120" t="s">
        <v>4153</v>
      </c>
      <c r="C115" s="174" t="s">
        <v>69</v>
      </c>
      <c r="D115" s="45" t="s">
        <v>948</v>
      </c>
      <c r="E115" s="45" t="s">
        <v>2986</v>
      </c>
      <c r="F115" s="45">
        <v>500</v>
      </c>
      <c r="G115" s="45" t="s">
        <v>3022</v>
      </c>
      <c r="H115" s="98" t="s">
        <v>4461</v>
      </c>
      <c r="I115" s="98" t="s">
        <v>4463</v>
      </c>
      <c r="J115" s="173" t="s">
        <v>4578</v>
      </c>
      <c r="K115" s="166">
        <v>5</v>
      </c>
      <c r="L115" s="239" t="s">
        <v>4662</v>
      </c>
      <c r="M115" s="239" t="s">
        <v>4661</v>
      </c>
      <c r="N115" s="200">
        <v>24</v>
      </c>
      <c r="O115" s="45" t="s">
        <v>4604</v>
      </c>
    </row>
    <row r="116" spans="1:15" ht="15" customHeight="1" x14ac:dyDescent="0.3">
      <c r="A116" s="155" t="s">
        <v>3842</v>
      </c>
      <c r="B116" s="120" t="s">
        <v>4153</v>
      </c>
      <c r="C116" s="174" t="s">
        <v>70</v>
      </c>
      <c r="D116" s="45" t="s">
        <v>948</v>
      </c>
      <c r="E116" s="45" t="s">
        <v>2986</v>
      </c>
      <c r="F116" s="45">
        <v>500</v>
      </c>
      <c r="G116" s="45" t="s">
        <v>3022</v>
      </c>
      <c r="H116" s="98" t="s">
        <v>4461</v>
      </c>
      <c r="I116" s="98" t="s">
        <v>4463</v>
      </c>
      <c r="J116" s="173" t="s">
        <v>4578</v>
      </c>
      <c r="K116" s="166">
        <v>6</v>
      </c>
      <c r="L116" s="239" t="s">
        <v>4662</v>
      </c>
      <c r="M116" s="239" t="s">
        <v>4661</v>
      </c>
      <c r="N116" s="200">
        <v>24</v>
      </c>
      <c r="O116" s="45" t="s">
        <v>4604</v>
      </c>
    </row>
    <row r="117" spans="1:15" ht="15" customHeight="1" x14ac:dyDescent="0.3">
      <c r="A117" s="155" t="s">
        <v>3843</v>
      </c>
      <c r="B117" s="120" t="s">
        <v>4153</v>
      </c>
      <c r="C117" s="174" t="s">
        <v>71</v>
      </c>
      <c r="D117" s="45" t="s">
        <v>948</v>
      </c>
      <c r="E117" s="45" t="s">
        <v>2986</v>
      </c>
      <c r="F117" s="45">
        <v>500</v>
      </c>
      <c r="G117" s="45" t="s">
        <v>3022</v>
      </c>
      <c r="H117" s="98" t="s">
        <v>4461</v>
      </c>
      <c r="I117" s="98" t="s">
        <v>4463</v>
      </c>
      <c r="J117" s="173" t="s">
        <v>4578</v>
      </c>
      <c r="K117" s="166">
        <v>7</v>
      </c>
      <c r="L117" s="239" t="s">
        <v>4662</v>
      </c>
      <c r="M117" s="239" t="s">
        <v>4661</v>
      </c>
      <c r="N117" s="200">
        <v>24</v>
      </c>
      <c r="O117" s="45" t="s">
        <v>4604</v>
      </c>
    </row>
    <row r="118" spans="1:15" ht="15" customHeight="1" x14ac:dyDescent="0.3">
      <c r="A118" s="155" t="s">
        <v>3848</v>
      </c>
      <c r="B118" s="120" t="s">
        <v>4153</v>
      </c>
      <c r="C118" s="174" t="s">
        <v>72</v>
      </c>
      <c r="D118" s="45" t="s">
        <v>948</v>
      </c>
      <c r="E118" s="45" t="s">
        <v>2986</v>
      </c>
      <c r="F118" s="45">
        <v>500</v>
      </c>
      <c r="G118" s="45" t="s">
        <v>3022</v>
      </c>
      <c r="H118" s="98" t="s">
        <v>4461</v>
      </c>
      <c r="I118" s="98" t="s">
        <v>4463</v>
      </c>
      <c r="J118" s="173" t="s">
        <v>4578</v>
      </c>
      <c r="K118" s="166">
        <v>8</v>
      </c>
      <c r="L118" s="239" t="s">
        <v>4662</v>
      </c>
      <c r="M118" s="239" t="s">
        <v>4661</v>
      </c>
      <c r="N118" s="200">
        <v>24</v>
      </c>
      <c r="O118" s="45" t="s">
        <v>4604</v>
      </c>
    </row>
    <row r="119" spans="1:15" ht="15" customHeight="1" x14ac:dyDescent="0.3">
      <c r="A119" s="155" t="s">
        <v>3849</v>
      </c>
      <c r="B119" s="120" t="s">
        <v>4153</v>
      </c>
      <c r="C119" s="174" t="s">
        <v>73</v>
      </c>
      <c r="D119" s="45" t="s">
        <v>948</v>
      </c>
      <c r="E119" s="45" t="s">
        <v>2986</v>
      </c>
      <c r="F119" s="45">
        <v>500</v>
      </c>
      <c r="G119" s="45" t="s">
        <v>3022</v>
      </c>
      <c r="H119" s="98" t="s">
        <v>4461</v>
      </c>
      <c r="I119" s="98" t="s">
        <v>4463</v>
      </c>
      <c r="J119" s="160" t="s">
        <v>4577</v>
      </c>
      <c r="K119" s="166">
        <v>1</v>
      </c>
      <c r="L119" s="239" t="s">
        <v>4662</v>
      </c>
      <c r="M119" s="239" t="s">
        <v>4661</v>
      </c>
      <c r="N119" s="200">
        <v>24</v>
      </c>
      <c r="O119" s="45" t="s">
        <v>4604</v>
      </c>
    </row>
    <row r="120" spans="1:15" ht="15" customHeight="1" x14ac:dyDescent="0.3">
      <c r="A120" s="155" t="s">
        <v>3856</v>
      </c>
      <c r="B120" s="120" t="s">
        <v>4153</v>
      </c>
      <c r="C120" s="174" t="s">
        <v>74</v>
      </c>
      <c r="D120" s="45" t="s">
        <v>948</v>
      </c>
      <c r="E120" s="45" t="s">
        <v>2986</v>
      </c>
      <c r="F120" s="45">
        <v>500</v>
      </c>
      <c r="G120" s="45" t="s">
        <v>3022</v>
      </c>
      <c r="H120" s="98" t="s">
        <v>4461</v>
      </c>
      <c r="I120" s="98" t="s">
        <v>4463</v>
      </c>
      <c r="J120" s="160" t="s">
        <v>4577</v>
      </c>
      <c r="K120" s="166">
        <v>2</v>
      </c>
      <c r="L120" s="239" t="s">
        <v>4662</v>
      </c>
      <c r="M120" s="239" t="s">
        <v>4661</v>
      </c>
      <c r="N120" s="200">
        <v>24</v>
      </c>
      <c r="O120" s="45" t="s">
        <v>4604</v>
      </c>
    </row>
    <row r="121" spans="1:15" ht="15" customHeight="1" x14ac:dyDescent="0.3">
      <c r="A121" s="224" t="s">
        <v>3874</v>
      </c>
      <c r="B121" s="120" t="s">
        <v>4154</v>
      </c>
      <c r="C121" s="174" t="s">
        <v>4273</v>
      </c>
      <c r="D121" s="45" t="s">
        <v>948</v>
      </c>
      <c r="E121" s="45" t="s">
        <v>2986</v>
      </c>
      <c r="F121" s="45">
        <v>500</v>
      </c>
      <c r="G121" s="45" t="s">
        <v>3022</v>
      </c>
      <c r="H121" s="98" t="s">
        <v>4461</v>
      </c>
      <c r="I121" s="98" t="s">
        <v>4463</v>
      </c>
      <c r="J121" s="160" t="s">
        <v>4579</v>
      </c>
      <c r="K121" s="166">
        <v>3</v>
      </c>
      <c r="L121" s="239" t="s">
        <v>4668</v>
      </c>
      <c r="M121" s="239" t="s">
        <v>4669</v>
      </c>
      <c r="N121" s="200">
        <v>16</v>
      </c>
      <c r="O121" s="45" t="s">
        <v>4604</v>
      </c>
    </row>
    <row r="122" spans="1:15" ht="15" customHeight="1" x14ac:dyDescent="0.3">
      <c r="A122" s="224" t="s">
        <v>3875</v>
      </c>
      <c r="B122" s="120" t="s">
        <v>4154</v>
      </c>
      <c r="C122" s="174" t="s">
        <v>4274</v>
      </c>
      <c r="D122" s="45" t="s">
        <v>948</v>
      </c>
      <c r="E122" s="45" t="s">
        <v>2986</v>
      </c>
      <c r="F122" s="45">
        <v>500</v>
      </c>
      <c r="G122" s="45" t="s">
        <v>3022</v>
      </c>
      <c r="H122" s="98" t="s">
        <v>4461</v>
      </c>
      <c r="I122" s="98" t="s">
        <v>4463</v>
      </c>
      <c r="J122" s="160" t="s">
        <v>4579</v>
      </c>
      <c r="K122" s="166">
        <v>4</v>
      </c>
      <c r="L122" s="239" t="s">
        <v>4668</v>
      </c>
      <c r="M122" s="239" t="s">
        <v>4669</v>
      </c>
      <c r="N122" s="200">
        <v>16</v>
      </c>
      <c r="O122" s="45" t="s">
        <v>4604</v>
      </c>
    </row>
    <row r="123" spans="1:15" ht="15" customHeight="1" x14ac:dyDescent="0.3">
      <c r="A123" s="224" t="s">
        <v>3876</v>
      </c>
      <c r="B123" s="120" t="s">
        <v>4154</v>
      </c>
      <c r="C123" s="174" t="s">
        <v>4275</v>
      </c>
      <c r="D123" s="45" t="s">
        <v>948</v>
      </c>
      <c r="E123" s="45" t="s">
        <v>2986</v>
      </c>
      <c r="F123" s="45">
        <v>500</v>
      </c>
      <c r="G123" s="45" t="s">
        <v>3022</v>
      </c>
      <c r="H123" s="98" t="s">
        <v>4461</v>
      </c>
      <c r="I123" s="98" t="s">
        <v>4463</v>
      </c>
      <c r="J123" s="160" t="s">
        <v>4579</v>
      </c>
      <c r="K123" s="166">
        <v>5</v>
      </c>
      <c r="L123" s="239" t="s">
        <v>4668</v>
      </c>
      <c r="M123" s="239" t="s">
        <v>4669</v>
      </c>
      <c r="N123" s="200">
        <v>16</v>
      </c>
      <c r="O123" s="45" t="s">
        <v>4604</v>
      </c>
    </row>
    <row r="124" spans="1:15" ht="15" customHeight="1" x14ac:dyDescent="0.3">
      <c r="A124" s="224" t="s">
        <v>3877</v>
      </c>
      <c r="B124" s="120" t="s">
        <v>4154</v>
      </c>
      <c r="C124" s="174" t="s">
        <v>4276</v>
      </c>
      <c r="D124" s="45" t="s">
        <v>948</v>
      </c>
      <c r="E124" s="45" t="s">
        <v>2986</v>
      </c>
      <c r="F124" s="45">
        <v>500</v>
      </c>
      <c r="G124" s="45" t="s">
        <v>3022</v>
      </c>
      <c r="H124" s="98" t="s">
        <v>4461</v>
      </c>
      <c r="I124" s="98" t="s">
        <v>4463</v>
      </c>
      <c r="J124" s="160" t="s">
        <v>4579</v>
      </c>
      <c r="K124" s="166">
        <v>6</v>
      </c>
      <c r="L124" s="239" t="s">
        <v>4668</v>
      </c>
      <c r="M124" s="239" t="s">
        <v>4669</v>
      </c>
      <c r="N124" s="200">
        <v>16</v>
      </c>
      <c r="O124" s="45" t="s">
        <v>4604</v>
      </c>
    </row>
    <row r="125" spans="1:15" ht="15" customHeight="1" x14ac:dyDescent="0.3">
      <c r="A125" s="225" t="s">
        <v>3878</v>
      </c>
      <c r="B125" s="120" t="s">
        <v>4154</v>
      </c>
      <c r="C125" s="174" t="s">
        <v>4277</v>
      </c>
      <c r="D125" s="45" t="s">
        <v>948</v>
      </c>
      <c r="E125" s="45" t="s">
        <v>2986</v>
      </c>
      <c r="F125" s="45">
        <v>500</v>
      </c>
      <c r="G125" s="45" t="s">
        <v>3022</v>
      </c>
      <c r="H125" s="98" t="s">
        <v>4461</v>
      </c>
      <c r="I125" s="98" t="s">
        <v>4463</v>
      </c>
      <c r="J125" s="160" t="s">
        <v>4579</v>
      </c>
      <c r="K125" s="166">
        <v>7</v>
      </c>
      <c r="L125" s="239" t="s">
        <v>4668</v>
      </c>
      <c r="M125" s="239" t="s">
        <v>4669</v>
      </c>
      <c r="N125" s="200">
        <v>16</v>
      </c>
      <c r="O125" s="45" t="s">
        <v>4604</v>
      </c>
    </row>
    <row r="126" spans="1:15" ht="15" customHeight="1" thickBot="1" x14ac:dyDescent="0.35">
      <c r="A126" s="225" t="s">
        <v>3879</v>
      </c>
      <c r="B126" s="120" t="s">
        <v>4154</v>
      </c>
      <c r="C126" s="174" t="s">
        <v>4278</v>
      </c>
      <c r="D126" s="45" t="s">
        <v>948</v>
      </c>
      <c r="E126" s="45" t="s">
        <v>2986</v>
      </c>
      <c r="F126" s="45">
        <v>500</v>
      </c>
      <c r="G126" s="45" t="s">
        <v>3022</v>
      </c>
      <c r="H126" s="98" t="s">
        <v>4461</v>
      </c>
      <c r="I126" s="98" t="s">
        <v>4463</v>
      </c>
      <c r="J126" s="160" t="s">
        <v>4579</v>
      </c>
      <c r="K126" s="166">
        <v>8</v>
      </c>
      <c r="L126" s="239" t="s">
        <v>4668</v>
      </c>
      <c r="M126" s="239" t="s">
        <v>4669</v>
      </c>
      <c r="N126" s="200">
        <v>16</v>
      </c>
      <c r="O126" s="45" t="s">
        <v>4604</v>
      </c>
    </row>
    <row r="127" spans="1:15" s="3" customFormat="1" ht="15" customHeight="1" x14ac:dyDescent="0.3">
      <c r="A127" s="226" t="s">
        <v>3880</v>
      </c>
      <c r="B127" s="120" t="s">
        <v>4154</v>
      </c>
      <c r="C127" s="174" t="s">
        <v>4279</v>
      </c>
      <c r="D127" s="45" t="s">
        <v>948</v>
      </c>
      <c r="E127" s="45" t="s">
        <v>2986</v>
      </c>
      <c r="F127" s="45">
        <v>500</v>
      </c>
      <c r="G127" s="45" t="s">
        <v>3022</v>
      </c>
      <c r="H127" s="98" t="s">
        <v>4461</v>
      </c>
      <c r="I127" s="98" t="s">
        <v>4463</v>
      </c>
      <c r="J127" s="160" t="s">
        <v>4587</v>
      </c>
      <c r="K127" s="166">
        <v>1</v>
      </c>
      <c r="L127" s="239" t="s">
        <v>4668</v>
      </c>
      <c r="M127" s="239" t="s">
        <v>4669</v>
      </c>
      <c r="N127" s="200">
        <v>16</v>
      </c>
      <c r="O127" s="45" t="s">
        <v>4604</v>
      </c>
    </row>
    <row r="128" spans="1:15" ht="15" customHeight="1" x14ac:dyDescent="0.3">
      <c r="A128" s="224" t="s">
        <v>3881</v>
      </c>
      <c r="B128" s="120" t="s">
        <v>4154</v>
      </c>
      <c r="C128" s="174" t="s">
        <v>4280</v>
      </c>
      <c r="D128" s="45" t="s">
        <v>948</v>
      </c>
      <c r="E128" s="45" t="s">
        <v>2986</v>
      </c>
      <c r="F128" s="45">
        <v>500</v>
      </c>
      <c r="G128" s="45" t="s">
        <v>3022</v>
      </c>
      <c r="H128" s="98" t="s">
        <v>4461</v>
      </c>
      <c r="I128" s="98" t="s">
        <v>4463</v>
      </c>
      <c r="J128" s="160" t="s">
        <v>4587</v>
      </c>
      <c r="K128" s="166">
        <v>2</v>
      </c>
      <c r="L128" s="239" t="s">
        <v>4668</v>
      </c>
      <c r="M128" s="239" t="s">
        <v>4669</v>
      </c>
      <c r="N128" s="200">
        <v>16</v>
      </c>
      <c r="O128" s="45" t="s">
        <v>4604</v>
      </c>
    </row>
    <row r="129" spans="1:15" ht="15" customHeight="1" x14ac:dyDescent="0.3">
      <c r="A129" s="224" t="s">
        <v>3882</v>
      </c>
      <c r="B129" s="120" t="s">
        <v>4154</v>
      </c>
      <c r="C129" s="174" t="s">
        <v>4281</v>
      </c>
      <c r="D129" s="45" t="s">
        <v>948</v>
      </c>
      <c r="E129" s="45" t="s">
        <v>2986</v>
      </c>
      <c r="F129" s="45">
        <v>500</v>
      </c>
      <c r="G129" s="45" t="s">
        <v>3022</v>
      </c>
      <c r="H129" s="98" t="s">
        <v>4461</v>
      </c>
      <c r="I129" s="98" t="s">
        <v>4463</v>
      </c>
      <c r="J129" s="160" t="s">
        <v>4587</v>
      </c>
      <c r="K129" s="166">
        <v>3</v>
      </c>
      <c r="L129" s="239" t="s">
        <v>4670</v>
      </c>
      <c r="M129" s="239" t="s">
        <v>4669</v>
      </c>
      <c r="N129" s="200">
        <v>16</v>
      </c>
      <c r="O129" s="45" t="s">
        <v>4604</v>
      </c>
    </row>
    <row r="130" spans="1:15" ht="15" customHeight="1" x14ac:dyDescent="0.3">
      <c r="A130" s="224" t="s">
        <v>3883</v>
      </c>
      <c r="B130" s="120" t="s">
        <v>4154</v>
      </c>
      <c r="C130" s="174" t="s">
        <v>4282</v>
      </c>
      <c r="D130" s="45" t="s">
        <v>948</v>
      </c>
      <c r="E130" s="45" t="s">
        <v>2986</v>
      </c>
      <c r="F130" s="45">
        <v>500</v>
      </c>
      <c r="G130" s="45" t="s">
        <v>3022</v>
      </c>
      <c r="H130" s="98" t="s">
        <v>4461</v>
      </c>
      <c r="I130" s="98" t="s">
        <v>4463</v>
      </c>
      <c r="J130" s="160" t="s">
        <v>4587</v>
      </c>
      <c r="K130" s="166">
        <v>4</v>
      </c>
      <c r="L130" s="239" t="s">
        <v>4670</v>
      </c>
      <c r="M130" s="239" t="s">
        <v>4669</v>
      </c>
      <c r="N130" s="200">
        <v>16</v>
      </c>
      <c r="O130" s="45" t="s">
        <v>4604</v>
      </c>
    </row>
    <row r="131" spans="1:15" ht="15" customHeight="1" x14ac:dyDescent="0.3">
      <c r="A131" s="224" t="s">
        <v>3884</v>
      </c>
      <c r="B131" s="120" t="s">
        <v>4154</v>
      </c>
      <c r="C131" s="174" t="s">
        <v>4283</v>
      </c>
      <c r="D131" s="45" t="s">
        <v>948</v>
      </c>
      <c r="E131" s="45" t="s">
        <v>2986</v>
      </c>
      <c r="F131" s="45">
        <v>500</v>
      </c>
      <c r="G131" s="45" t="s">
        <v>3022</v>
      </c>
      <c r="H131" s="98" t="s">
        <v>4461</v>
      </c>
      <c r="I131" s="98" t="s">
        <v>4463</v>
      </c>
      <c r="J131" s="160" t="s">
        <v>4587</v>
      </c>
      <c r="K131" s="166">
        <v>5</v>
      </c>
      <c r="L131" s="239" t="s">
        <v>4670</v>
      </c>
      <c r="M131" s="239" t="s">
        <v>4669</v>
      </c>
      <c r="N131" s="200">
        <v>16</v>
      </c>
      <c r="O131" s="45" t="s">
        <v>4604</v>
      </c>
    </row>
    <row r="132" spans="1:15" ht="15" customHeight="1" x14ac:dyDescent="0.3">
      <c r="A132" s="224" t="s">
        <v>3885</v>
      </c>
      <c r="B132" s="120" t="s">
        <v>4154</v>
      </c>
      <c r="C132" s="174" t="s">
        <v>4284</v>
      </c>
      <c r="D132" s="45" t="s">
        <v>948</v>
      </c>
      <c r="E132" s="45" t="s">
        <v>2986</v>
      </c>
      <c r="F132" s="45">
        <v>500</v>
      </c>
      <c r="G132" s="45" t="s">
        <v>3022</v>
      </c>
      <c r="H132" s="98" t="s">
        <v>4461</v>
      </c>
      <c r="I132" s="98" t="s">
        <v>4463</v>
      </c>
      <c r="J132" s="160" t="s">
        <v>4587</v>
      </c>
      <c r="K132" s="166">
        <v>6</v>
      </c>
      <c r="L132" s="239" t="s">
        <v>4670</v>
      </c>
      <c r="M132" s="239" t="s">
        <v>4669</v>
      </c>
      <c r="N132" s="200">
        <v>16</v>
      </c>
      <c r="O132" s="45" t="s">
        <v>4604</v>
      </c>
    </row>
    <row r="133" spans="1:15" ht="15" customHeight="1" x14ac:dyDescent="0.3">
      <c r="A133" s="225" t="s">
        <v>3962</v>
      </c>
      <c r="B133" s="120" t="s">
        <v>4154</v>
      </c>
      <c r="C133" s="174" t="s">
        <v>4285</v>
      </c>
      <c r="D133" s="45" t="s">
        <v>948</v>
      </c>
      <c r="E133" s="45" t="s">
        <v>2986</v>
      </c>
      <c r="F133" s="45">
        <v>500</v>
      </c>
      <c r="G133" s="45" t="s">
        <v>3022</v>
      </c>
      <c r="H133" s="98" t="s">
        <v>4461</v>
      </c>
      <c r="I133" s="98" t="s">
        <v>4463</v>
      </c>
      <c r="J133" s="160" t="s">
        <v>4587</v>
      </c>
      <c r="K133" s="166">
        <v>7</v>
      </c>
      <c r="L133" s="239" t="s">
        <v>4670</v>
      </c>
      <c r="M133" s="239" t="s">
        <v>4669</v>
      </c>
      <c r="N133" s="200">
        <v>16</v>
      </c>
      <c r="O133" s="45" t="s">
        <v>4604</v>
      </c>
    </row>
    <row r="134" spans="1:15" ht="15" customHeight="1" x14ac:dyDescent="0.3">
      <c r="A134" s="225" t="s">
        <v>3963</v>
      </c>
      <c r="B134" s="120" t="s">
        <v>4154</v>
      </c>
      <c r="C134" s="174" t="s">
        <v>4286</v>
      </c>
      <c r="D134" s="45" t="s">
        <v>948</v>
      </c>
      <c r="E134" s="45" t="s">
        <v>2986</v>
      </c>
      <c r="F134" s="45">
        <v>500</v>
      </c>
      <c r="G134" s="45" t="s">
        <v>3022</v>
      </c>
      <c r="H134" s="98" t="s">
        <v>4461</v>
      </c>
      <c r="I134" s="98" t="s">
        <v>4463</v>
      </c>
      <c r="J134" s="160" t="s">
        <v>4587</v>
      </c>
      <c r="K134" s="166">
        <v>8</v>
      </c>
      <c r="L134" s="239" t="s">
        <v>4670</v>
      </c>
      <c r="M134" s="239" t="s">
        <v>4669</v>
      </c>
      <c r="N134" s="200">
        <v>16</v>
      </c>
      <c r="O134" s="45" t="s">
        <v>4604</v>
      </c>
    </row>
    <row r="135" spans="1:15" ht="15" customHeight="1" x14ac:dyDescent="0.3">
      <c r="A135" s="217" t="s">
        <v>3900</v>
      </c>
      <c r="B135" s="120" t="s">
        <v>4159</v>
      </c>
      <c r="C135" s="174" t="s">
        <v>75</v>
      </c>
      <c r="D135" s="45" t="s">
        <v>948</v>
      </c>
      <c r="E135" s="45" t="s">
        <v>2986</v>
      </c>
      <c r="F135" s="45">
        <v>530</v>
      </c>
      <c r="G135" s="45" t="s">
        <v>3022</v>
      </c>
      <c r="H135" s="98" t="s">
        <v>4465</v>
      </c>
      <c r="I135" s="98" t="s">
        <v>4463</v>
      </c>
      <c r="J135" s="160" t="s">
        <v>4594</v>
      </c>
      <c r="K135" s="166">
        <v>1</v>
      </c>
      <c r="L135" s="239" t="s">
        <v>4681</v>
      </c>
      <c r="M135" s="239" t="s">
        <v>4661</v>
      </c>
      <c r="N135" s="200">
        <v>22</v>
      </c>
      <c r="O135" s="45" t="s">
        <v>4602</v>
      </c>
    </row>
    <row r="136" spans="1:15" ht="15" customHeight="1" x14ac:dyDescent="0.3">
      <c r="A136" s="217" t="s">
        <v>3901</v>
      </c>
      <c r="B136" s="120" t="s">
        <v>4159</v>
      </c>
      <c r="C136" s="174" t="s">
        <v>76</v>
      </c>
      <c r="D136" s="45" t="s">
        <v>948</v>
      </c>
      <c r="E136" s="45" t="s">
        <v>2986</v>
      </c>
      <c r="F136" s="45">
        <v>530</v>
      </c>
      <c r="G136" s="45" t="s">
        <v>3022</v>
      </c>
      <c r="H136" s="98" t="s">
        <v>4465</v>
      </c>
      <c r="I136" s="98" t="s">
        <v>4463</v>
      </c>
      <c r="J136" s="160" t="s">
        <v>4594</v>
      </c>
      <c r="K136" s="166">
        <v>2</v>
      </c>
      <c r="L136" s="239" t="s">
        <v>4681</v>
      </c>
      <c r="M136" s="239" t="s">
        <v>4661</v>
      </c>
      <c r="N136" s="200">
        <v>22</v>
      </c>
      <c r="O136" s="45" t="s">
        <v>4602</v>
      </c>
    </row>
    <row r="137" spans="1:15" ht="15" customHeight="1" x14ac:dyDescent="0.3">
      <c r="A137" s="217" t="s">
        <v>3902</v>
      </c>
      <c r="B137" s="120" t="s">
        <v>4159</v>
      </c>
      <c r="C137" s="174" t="s">
        <v>77</v>
      </c>
      <c r="D137" s="45" t="s">
        <v>948</v>
      </c>
      <c r="E137" s="45" t="s">
        <v>2986</v>
      </c>
      <c r="F137" s="45">
        <v>530</v>
      </c>
      <c r="G137" s="45" t="s">
        <v>3022</v>
      </c>
      <c r="H137" s="98" t="s">
        <v>4465</v>
      </c>
      <c r="I137" s="98" t="s">
        <v>4463</v>
      </c>
      <c r="J137" s="160" t="s">
        <v>4594</v>
      </c>
      <c r="K137" s="166">
        <v>3</v>
      </c>
      <c r="L137" s="239" t="s">
        <v>4681</v>
      </c>
      <c r="M137" s="239" t="s">
        <v>4661</v>
      </c>
      <c r="N137" s="200">
        <v>22</v>
      </c>
      <c r="O137" s="45" t="s">
        <v>4602</v>
      </c>
    </row>
    <row r="138" spans="1:15" ht="15" customHeight="1" x14ac:dyDescent="0.3">
      <c r="A138" s="217" t="s">
        <v>3903</v>
      </c>
      <c r="B138" s="120" t="s">
        <v>4159</v>
      </c>
      <c r="C138" s="174" t="s">
        <v>78</v>
      </c>
      <c r="D138" s="45" t="s">
        <v>948</v>
      </c>
      <c r="E138" s="45" t="s">
        <v>2986</v>
      </c>
      <c r="F138" s="45">
        <v>530</v>
      </c>
      <c r="G138" s="45" t="s">
        <v>3022</v>
      </c>
      <c r="H138" s="98" t="s">
        <v>4465</v>
      </c>
      <c r="I138" s="98" t="s">
        <v>4463</v>
      </c>
      <c r="J138" s="160" t="s">
        <v>4594</v>
      </c>
      <c r="K138" s="166">
        <v>4</v>
      </c>
      <c r="L138" s="239" t="s">
        <v>4681</v>
      </c>
      <c r="M138" s="239" t="s">
        <v>4661</v>
      </c>
      <c r="N138" s="200">
        <v>22</v>
      </c>
      <c r="O138" s="45" t="s">
        <v>4602</v>
      </c>
    </row>
    <row r="139" spans="1:15" ht="15" customHeight="1" x14ac:dyDescent="0.3">
      <c r="A139" s="217" t="s">
        <v>3904</v>
      </c>
      <c r="B139" s="120" t="s">
        <v>4159</v>
      </c>
      <c r="C139" s="174" t="s">
        <v>79</v>
      </c>
      <c r="D139" s="45" t="s">
        <v>948</v>
      </c>
      <c r="E139" s="45" t="s">
        <v>2986</v>
      </c>
      <c r="F139" s="45">
        <v>530</v>
      </c>
      <c r="G139" s="45" t="s">
        <v>3022</v>
      </c>
      <c r="H139" s="98" t="s">
        <v>4465</v>
      </c>
      <c r="I139" s="98" t="s">
        <v>4463</v>
      </c>
      <c r="J139" s="160" t="s">
        <v>4594</v>
      </c>
      <c r="K139" s="166">
        <v>5</v>
      </c>
      <c r="L139" s="239" t="s">
        <v>4681</v>
      </c>
      <c r="M139" s="239" t="s">
        <v>4661</v>
      </c>
      <c r="N139" s="200">
        <v>22</v>
      </c>
      <c r="O139" s="45" t="s">
        <v>4602</v>
      </c>
    </row>
    <row r="140" spans="1:15" ht="15" customHeight="1" x14ac:dyDescent="0.3">
      <c r="A140" s="217" t="s">
        <v>3905</v>
      </c>
      <c r="B140" s="120" t="s">
        <v>4159</v>
      </c>
      <c r="C140" s="174" t="s">
        <v>80</v>
      </c>
      <c r="D140" s="45" t="s">
        <v>948</v>
      </c>
      <c r="E140" s="45" t="s">
        <v>2986</v>
      </c>
      <c r="F140" s="45">
        <v>530</v>
      </c>
      <c r="G140" s="45" t="s">
        <v>3022</v>
      </c>
      <c r="H140" s="98" t="s">
        <v>4465</v>
      </c>
      <c r="I140" s="98" t="s">
        <v>4463</v>
      </c>
      <c r="J140" s="160" t="s">
        <v>4594</v>
      </c>
      <c r="K140" s="166">
        <v>6</v>
      </c>
      <c r="L140" s="239" t="s">
        <v>4681</v>
      </c>
      <c r="M140" s="239" t="s">
        <v>4661</v>
      </c>
      <c r="N140" s="200">
        <v>22</v>
      </c>
      <c r="O140" s="45" t="s">
        <v>4602</v>
      </c>
    </row>
    <row r="141" spans="1:15" ht="15" customHeight="1" x14ac:dyDescent="0.3">
      <c r="A141" s="217" t="s">
        <v>3906</v>
      </c>
      <c r="B141" s="120" t="s">
        <v>4159</v>
      </c>
      <c r="C141" s="174" t="s">
        <v>81</v>
      </c>
      <c r="D141" s="45" t="s">
        <v>948</v>
      </c>
      <c r="E141" s="45" t="s">
        <v>2986</v>
      </c>
      <c r="F141" s="45">
        <v>530</v>
      </c>
      <c r="G141" s="45" t="s">
        <v>3022</v>
      </c>
      <c r="H141" s="98" t="s">
        <v>4465</v>
      </c>
      <c r="I141" s="98" t="s">
        <v>4463</v>
      </c>
      <c r="J141" s="160" t="s">
        <v>4594</v>
      </c>
      <c r="K141" s="166">
        <v>7</v>
      </c>
      <c r="L141" s="239" t="s">
        <v>4681</v>
      </c>
      <c r="M141" s="239" t="s">
        <v>4661</v>
      </c>
      <c r="N141" s="200">
        <v>22</v>
      </c>
      <c r="O141" s="45" t="s">
        <v>4602</v>
      </c>
    </row>
    <row r="142" spans="1:15" ht="15" customHeight="1" x14ac:dyDescent="0.3">
      <c r="A142" s="225" t="s">
        <v>3805</v>
      </c>
      <c r="B142" s="120" t="s">
        <v>4153</v>
      </c>
      <c r="C142" s="174" t="s">
        <v>96</v>
      </c>
      <c r="D142" s="45" t="s">
        <v>948</v>
      </c>
      <c r="E142" s="45" t="s">
        <v>2986</v>
      </c>
      <c r="F142" s="45">
        <v>530</v>
      </c>
      <c r="G142" s="45" t="s">
        <v>3022</v>
      </c>
      <c r="H142" s="98" t="s">
        <v>4461</v>
      </c>
      <c r="I142" s="98" t="s">
        <v>4463</v>
      </c>
      <c r="J142" s="160" t="s">
        <v>4581</v>
      </c>
      <c r="K142" s="166">
        <v>7</v>
      </c>
      <c r="L142" s="239" t="s">
        <v>4662</v>
      </c>
      <c r="M142" s="239" t="s">
        <v>4661</v>
      </c>
      <c r="N142" s="200">
        <v>24</v>
      </c>
      <c r="O142" s="45" t="s">
        <v>4604</v>
      </c>
    </row>
    <row r="143" spans="1:15" ht="15" customHeight="1" x14ac:dyDescent="0.3">
      <c r="A143" s="225" t="s">
        <v>3806</v>
      </c>
      <c r="B143" s="120" t="s">
        <v>4153</v>
      </c>
      <c r="C143" s="174" t="s">
        <v>97</v>
      </c>
      <c r="D143" s="45" t="s">
        <v>948</v>
      </c>
      <c r="E143" s="45" t="s">
        <v>2986</v>
      </c>
      <c r="F143" s="45">
        <v>530</v>
      </c>
      <c r="G143" s="45" t="s">
        <v>3022</v>
      </c>
      <c r="H143" s="98" t="s">
        <v>4461</v>
      </c>
      <c r="I143" s="98" t="s">
        <v>4463</v>
      </c>
      <c r="J143" s="160" t="s">
        <v>4581</v>
      </c>
      <c r="K143" s="166">
        <v>8</v>
      </c>
      <c r="L143" s="239" t="s">
        <v>4662</v>
      </c>
      <c r="M143" s="239" t="s">
        <v>4661</v>
      </c>
      <c r="N143" s="200">
        <v>24</v>
      </c>
      <c r="O143" s="45" t="s">
        <v>4604</v>
      </c>
    </row>
    <row r="144" spans="1:15" ht="15" customHeight="1" x14ac:dyDescent="0.3">
      <c r="A144" s="225" t="s">
        <v>3807</v>
      </c>
      <c r="B144" s="120" t="s">
        <v>4153</v>
      </c>
      <c r="C144" s="174" t="s">
        <v>98</v>
      </c>
      <c r="D144" s="45" t="s">
        <v>948</v>
      </c>
      <c r="E144" s="45" t="s">
        <v>2986</v>
      </c>
      <c r="F144" s="45">
        <v>530</v>
      </c>
      <c r="G144" s="45" t="s">
        <v>3022</v>
      </c>
      <c r="H144" s="98" t="s">
        <v>4461</v>
      </c>
      <c r="I144" s="98" t="s">
        <v>4463</v>
      </c>
      <c r="J144" s="160" t="s">
        <v>4582</v>
      </c>
      <c r="K144" s="166">
        <v>1</v>
      </c>
      <c r="L144" s="239" t="s">
        <v>4662</v>
      </c>
      <c r="M144" s="239" t="s">
        <v>4661</v>
      </c>
      <c r="N144" s="200">
        <v>24</v>
      </c>
      <c r="O144" s="45" t="s">
        <v>4604</v>
      </c>
    </row>
    <row r="145" spans="1:15" ht="15" customHeight="1" x14ac:dyDescent="0.3">
      <c r="A145" s="225" t="s">
        <v>3808</v>
      </c>
      <c r="B145" s="120" t="s">
        <v>4153</v>
      </c>
      <c r="C145" s="174" t="s">
        <v>99</v>
      </c>
      <c r="D145" s="45" t="s">
        <v>948</v>
      </c>
      <c r="E145" s="45" t="s">
        <v>2986</v>
      </c>
      <c r="F145" s="45">
        <v>530</v>
      </c>
      <c r="G145" s="45" t="s">
        <v>3022</v>
      </c>
      <c r="H145" s="98" t="s">
        <v>4461</v>
      </c>
      <c r="I145" s="98" t="s">
        <v>4463</v>
      </c>
      <c r="J145" s="160" t="s">
        <v>4582</v>
      </c>
      <c r="K145" s="166">
        <v>2</v>
      </c>
      <c r="L145" s="239" t="s">
        <v>4662</v>
      </c>
      <c r="M145" s="239" t="s">
        <v>4661</v>
      </c>
      <c r="N145" s="200">
        <v>24</v>
      </c>
      <c r="O145" s="45" t="s">
        <v>4604</v>
      </c>
    </row>
    <row r="146" spans="1:15" ht="15" customHeight="1" x14ac:dyDescent="0.3">
      <c r="A146" s="225" t="s">
        <v>3809</v>
      </c>
      <c r="B146" s="120" t="s">
        <v>4153</v>
      </c>
      <c r="C146" s="174" t="s">
        <v>100</v>
      </c>
      <c r="D146" s="45" t="s">
        <v>948</v>
      </c>
      <c r="E146" s="45" t="s">
        <v>2986</v>
      </c>
      <c r="F146" s="45">
        <v>530</v>
      </c>
      <c r="G146" s="45" t="s">
        <v>3022</v>
      </c>
      <c r="H146" s="98" t="s">
        <v>4461</v>
      </c>
      <c r="I146" s="98" t="s">
        <v>4463</v>
      </c>
      <c r="J146" s="160" t="s">
        <v>4582</v>
      </c>
      <c r="K146" s="166">
        <v>3</v>
      </c>
      <c r="L146" s="239" t="s">
        <v>4662</v>
      </c>
      <c r="M146" s="239" t="s">
        <v>4661</v>
      </c>
      <c r="N146" s="200">
        <v>24</v>
      </c>
      <c r="O146" s="45" t="s">
        <v>4604</v>
      </c>
    </row>
    <row r="147" spans="1:15" ht="15" customHeight="1" x14ac:dyDescent="0.3">
      <c r="A147" s="225" t="s">
        <v>3932</v>
      </c>
      <c r="B147" s="120" t="s">
        <v>4153</v>
      </c>
      <c r="C147" s="174" t="s">
        <v>101</v>
      </c>
      <c r="D147" s="45" t="s">
        <v>948</v>
      </c>
      <c r="E147" s="45" t="s">
        <v>2986</v>
      </c>
      <c r="F147" s="45">
        <v>530</v>
      </c>
      <c r="G147" s="45" t="s">
        <v>3022</v>
      </c>
      <c r="H147" s="98" t="s">
        <v>4461</v>
      </c>
      <c r="I147" s="98" t="s">
        <v>4463</v>
      </c>
      <c r="J147" s="160" t="s">
        <v>4582</v>
      </c>
      <c r="K147" s="166">
        <v>4</v>
      </c>
      <c r="L147" s="239" t="s">
        <v>4662</v>
      </c>
      <c r="M147" s="239" t="s">
        <v>4661</v>
      </c>
      <c r="N147" s="200">
        <v>24</v>
      </c>
      <c r="O147" s="45" t="s">
        <v>4604</v>
      </c>
    </row>
    <row r="148" spans="1:15" ht="15" customHeight="1" x14ac:dyDescent="0.3">
      <c r="A148" s="225" t="s">
        <v>3933</v>
      </c>
      <c r="B148" s="120" t="s">
        <v>4153</v>
      </c>
      <c r="C148" s="174" t="s">
        <v>102</v>
      </c>
      <c r="D148" s="45" t="s">
        <v>948</v>
      </c>
      <c r="E148" s="45" t="s">
        <v>2986</v>
      </c>
      <c r="F148" s="45">
        <v>530</v>
      </c>
      <c r="G148" s="45" t="s">
        <v>3022</v>
      </c>
      <c r="H148" s="98" t="s">
        <v>4461</v>
      </c>
      <c r="I148" s="98" t="s">
        <v>4463</v>
      </c>
      <c r="J148" s="160" t="s">
        <v>4582</v>
      </c>
      <c r="K148" s="166">
        <v>5</v>
      </c>
      <c r="L148" s="239" t="s">
        <v>4666</v>
      </c>
      <c r="M148" s="239" t="s">
        <v>4661</v>
      </c>
      <c r="N148" s="200">
        <v>24</v>
      </c>
      <c r="O148" s="45" t="s">
        <v>4604</v>
      </c>
    </row>
    <row r="149" spans="1:15" ht="15" customHeight="1" x14ac:dyDescent="0.3">
      <c r="A149" s="225" t="s">
        <v>3934</v>
      </c>
      <c r="B149" s="120" t="s">
        <v>4153</v>
      </c>
      <c r="C149" s="174" t="s">
        <v>103</v>
      </c>
      <c r="D149" s="45" t="s">
        <v>948</v>
      </c>
      <c r="E149" s="45" t="s">
        <v>2986</v>
      </c>
      <c r="F149" s="45">
        <v>530</v>
      </c>
      <c r="G149" s="45" t="s">
        <v>3022</v>
      </c>
      <c r="H149" s="98" t="s">
        <v>4461</v>
      </c>
      <c r="I149" s="98" t="s">
        <v>4463</v>
      </c>
      <c r="J149" s="160" t="s">
        <v>4582</v>
      </c>
      <c r="K149" s="166">
        <v>6</v>
      </c>
      <c r="L149" s="239" t="s">
        <v>4666</v>
      </c>
      <c r="M149" s="239" t="s">
        <v>4661</v>
      </c>
      <c r="N149" s="200">
        <v>24</v>
      </c>
      <c r="O149" s="45" t="s">
        <v>4604</v>
      </c>
    </row>
    <row r="150" spans="1:15" ht="15" customHeight="1" x14ac:dyDescent="0.3">
      <c r="A150" s="225" t="s">
        <v>3935</v>
      </c>
      <c r="B150" s="120" t="s">
        <v>4153</v>
      </c>
      <c r="C150" s="174" t="s">
        <v>104</v>
      </c>
      <c r="D150" s="45" t="s">
        <v>948</v>
      </c>
      <c r="E150" s="45" t="s">
        <v>2986</v>
      </c>
      <c r="F150" s="45">
        <v>530</v>
      </c>
      <c r="G150" s="45" t="s">
        <v>3022</v>
      </c>
      <c r="H150" s="98" t="s">
        <v>4461</v>
      </c>
      <c r="I150" s="98" t="s">
        <v>4463</v>
      </c>
      <c r="J150" s="160" t="s">
        <v>4582</v>
      </c>
      <c r="K150" s="166">
        <v>7</v>
      </c>
      <c r="L150" s="239" t="s">
        <v>4666</v>
      </c>
      <c r="M150" s="239" t="s">
        <v>4661</v>
      </c>
      <c r="N150" s="200">
        <v>24</v>
      </c>
      <c r="O150" s="45" t="s">
        <v>4604</v>
      </c>
    </row>
    <row r="151" spans="1:15" ht="15" customHeight="1" x14ac:dyDescent="0.3">
      <c r="A151" s="225" t="s">
        <v>3936</v>
      </c>
      <c r="B151" s="120" t="s">
        <v>4153</v>
      </c>
      <c r="C151" s="174" t="s">
        <v>105</v>
      </c>
      <c r="D151" s="45" t="s">
        <v>948</v>
      </c>
      <c r="E151" s="45" t="s">
        <v>2986</v>
      </c>
      <c r="F151" s="45">
        <v>530</v>
      </c>
      <c r="G151" s="45" t="s">
        <v>3022</v>
      </c>
      <c r="H151" s="98" t="s">
        <v>4461</v>
      </c>
      <c r="I151" s="98" t="s">
        <v>4463</v>
      </c>
      <c r="J151" s="160" t="s">
        <v>4582</v>
      </c>
      <c r="K151" s="166">
        <v>8</v>
      </c>
      <c r="L151" s="239" t="s">
        <v>4666</v>
      </c>
      <c r="M151" s="239" t="s">
        <v>4661</v>
      </c>
      <c r="N151" s="200">
        <v>24</v>
      </c>
      <c r="O151" s="45" t="s">
        <v>4604</v>
      </c>
    </row>
    <row r="152" spans="1:15" ht="15" customHeight="1" x14ac:dyDescent="0.3">
      <c r="A152" s="225" t="s">
        <v>3937</v>
      </c>
      <c r="B152" s="120" t="s">
        <v>4153</v>
      </c>
      <c r="C152" s="174" t="s">
        <v>106</v>
      </c>
      <c r="D152" s="45" t="s">
        <v>948</v>
      </c>
      <c r="E152" s="45" t="s">
        <v>2986</v>
      </c>
      <c r="F152" s="45">
        <v>530</v>
      </c>
      <c r="G152" s="45" t="s">
        <v>3022</v>
      </c>
      <c r="H152" s="98" t="s">
        <v>4461</v>
      </c>
      <c r="I152" s="98" t="s">
        <v>4463</v>
      </c>
      <c r="J152" s="160" t="s">
        <v>4583</v>
      </c>
      <c r="K152" s="166">
        <v>1</v>
      </c>
      <c r="L152" s="239" t="s">
        <v>4666</v>
      </c>
      <c r="M152" s="239" t="s">
        <v>4661</v>
      </c>
      <c r="N152" s="200">
        <v>24</v>
      </c>
      <c r="O152" s="45" t="s">
        <v>4604</v>
      </c>
    </row>
    <row r="153" spans="1:15" ht="15" customHeight="1" x14ac:dyDescent="0.3">
      <c r="A153" s="225" t="s">
        <v>3938</v>
      </c>
      <c r="B153" s="120" t="s">
        <v>4153</v>
      </c>
      <c r="C153" s="174" t="s">
        <v>107</v>
      </c>
      <c r="D153" s="45" t="s">
        <v>948</v>
      </c>
      <c r="E153" s="45" t="s">
        <v>2986</v>
      </c>
      <c r="F153" s="45">
        <v>530</v>
      </c>
      <c r="G153" s="45" t="s">
        <v>3022</v>
      </c>
      <c r="H153" s="98" t="s">
        <v>4461</v>
      </c>
      <c r="I153" s="98" t="s">
        <v>4463</v>
      </c>
      <c r="J153" s="160" t="s">
        <v>4583</v>
      </c>
      <c r="K153" s="166">
        <v>2</v>
      </c>
      <c r="L153" s="239" t="s">
        <v>4666</v>
      </c>
      <c r="M153" s="239" t="s">
        <v>4661</v>
      </c>
      <c r="N153" s="200">
        <v>24</v>
      </c>
      <c r="O153" s="45" t="s">
        <v>4604</v>
      </c>
    </row>
    <row r="154" spans="1:15" ht="15" customHeight="1" x14ac:dyDescent="0.3">
      <c r="A154" s="225" t="s">
        <v>3939</v>
      </c>
      <c r="B154" s="120" t="s">
        <v>4153</v>
      </c>
      <c r="C154" s="174" t="s">
        <v>108</v>
      </c>
      <c r="D154" s="45" t="s">
        <v>948</v>
      </c>
      <c r="E154" s="45" t="s">
        <v>2986</v>
      </c>
      <c r="F154" s="45">
        <v>530</v>
      </c>
      <c r="G154" s="45" t="s">
        <v>3022</v>
      </c>
      <c r="H154" s="98" t="s">
        <v>4461</v>
      </c>
      <c r="I154" s="98" t="s">
        <v>4463</v>
      </c>
      <c r="J154" s="160" t="s">
        <v>4583</v>
      </c>
      <c r="K154" s="166">
        <v>3</v>
      </c>
      <c r="L154" s="239" t="s">
        <v>4666</v>
      </c>
      <c r="M154" s="239" t="s">
        <v>4661</v>
      </c>
      <c r="N154" s="200">
        <v>24</v>
      </c>
      <c r="O154" s="45" t="s">
        <v>4604</v>
      </c>
    </row>
    <row r="155" spans="1:15" ht="15" customHeight="1" x14ac:dyDescent="0.3">
      <c r="A155" s="225" t="s">
        <v>3940</v>
      </c>
      <c r="B155" s="120" t="s">
        <v>4153</v>
      </c>
      <c r="C155" s="174" t="s">
        <v>109</v>
      </c>
      <c r="D155" s="45" t="s">
        <v>948</v>
      </c>
      <c r="E155" s="45" t="s">
        <v>2986</v>
      </c>
      <c r="F155" s="45">
        <v>530</v>
      </c>
      <c r="G155" s="45" t="s">
        <v>3022</v>
      </c>
      <c r="H155" s="98" t="s">
        <v>4461</v>
      </c>
      <c r="I155" s="98" t="s">
        <v>4463</v>
      </c>
      <c r="J155" s="160" t="s">
        <v>4583</v>
      </c>
      <c r="K155" s="166">
        <v>4</v>
      </c>
      <c r="L155" s="239" t="s">
        <v>4666</v>
      </c>
      <c r="M155" s="239" t="s">
        <v>4661</v>
      </c>
      <c r="N155" s="200">
        <v>24</v>
      </c>
      <c r="O155" s="45" t="s">
        <v>4604</v>
      </c>
    </row>
    <row r="156" spans="1:15" ht="15" customHeight="1" x14ac:dyDescent="0.3">
      <c r="A156" s="225" t="s">
        <v>3941</v>
      </c>
      <c r="B156" s="120" t="s">
        <v>4153</v>
      </c>
      <c r="C156" s="155" t="s">
        <v>3964</v>
      </c>
      <c r="D156" s="45" t="s">
        <v>948</v>
      </c>
      <c r="E156" s="45" t="s">
        <v>2986</v>
      </c>
      <c r="F156" s="45">
        <v>530</v>
      </c>
      <c r="G156" s="45" t="s">
        <v>3022</v>
      </c>
      <c r="H156" s="98" t="s">
        <v>4461</v>
      </c>
      <c r="I156" s="98" t="s">
        <v>4463</v>
      </c>
      <c r="J156" s="160" t="s">
        <v>4583</v>
      </c>
      <c r="K156" s="166">
        <v>5</v>
      </c>
      <c r="L156" s="239" t="s">
        <v>4666</v>
      </c>
      <c r="M156" s="239" t="s">
        <v>4661</v>
      </c>
      <c r="N156" s="200">
        <v>24</v>
      </c>
      <c r="O156" s="45" t="s">
        <v>4604</v>
      </c>
    </row>
    <row r="157" spans="1:15" ht="15" customHeight="1" x14ac:dyDescent="0.3">
      <c r="A157" s="225" t="s">
        <v>3942</v>
      </c>
      <c r="B157" s="120" t="s">
        <v>4153</v>
      </c>
      <c r="C157" s="155" t="s">
        <v>3968</v>
      </c>
      <c r="D157" s="45" t="s">
        <v>948</v>
      </c>
      <c r="E157" s="45" t="s">
        <v>2986</v>
      </c>
      <c r="F157" s="45">
        <v>530</v>
      </c>
      <c r="G157" s="45" t="s">
        <v>3022</v>
      </c>
      <c r="H157" s="98" t="s">
        <v>4461</v>
      </c>
      <c r="I157" s="98" t="s">
        <v>4463</v>
      </c>
      <c r="J157" s="160" t="s">
        <v>4583</v>
      </c>
      <c r="K157" s="166">
        <v>6</v>
      </c>
      <c r="L157" s="239" t="s">
        <v>4666</v>
      </c>
      <c r="M157" s="239" t="s">
        <v>4661</v>
      </c>
      <c r="N157" s="200">
        <v>24</v>
      </c>
      <c r="O157" s="45" t="s">
        <v>4604</v>
      </c>
    </row>
    <row r="158" spans="1:15" ht="15" customHeight="1" x14ac:dyDescent="0.3">
      <c r="A158" s="225" t="s">
        <v>3943</v>
      </c>
      <c r="B158" s="120" t="s">
        <v>4153</v>
      </c>
      <c r="C158" s="155" t="s">
        <v>3965</v>
      </c>
      <c r="D158" s="45" t="s">
        <v>948</v>
      </c>
      <c r="E158" s="45" t="s">
        <v>2986</v>
      </c>
      <c r="F158" s="45">
        <v>530</v>
      </c>
      <c r="G158" s="45" t="s">
        <v>3022</v>
      </c>
      <c r="H158" s="98" t="s">
        <v>4461</v>
      </c>
      <c r="I158" s="98" t="s">
        <v>4463</v>
      </c>
      <c r="J158" s="160" t="s">
        <v>4583</v>
      </c>
      <c r="K158" s="166">
        <v>7</v>
      </c>
      <c r="L158" s="239" t="s">
        <v>4666</v>
      </c>
      <c r="M158" s="239" t="s">
        <v>4661</v>
      </c>
      <c r="N158" s="200">
        <v>24</v>
      </c>
      <c r="O158" s="45" t="s">
        <v>4604</v>
      </c>
    </row>
    <row r="159" spans="1:15" ht="15" customHeight="1" x14ac:dyDescent="0.3">
      <c r="A159" s="227" t="s">
        <v>3967</v>
      </c>
      <c r="B159" s="120" t="s">
        <v>4153</v>
      </c>
      <c r="C159" s="228" t="s">
        <v>3966</v>
      </c>
      <c r="D159" s="45" t="s">
        <v>948</v>
      </c>
      <c r="E159" s="45" t="s">
        <v>2986</v>
      </c>
      <c r="F159" s="45">
        <v>530</v>
      </c>
      <c r="G159" s="45" t="s">
        <v>3022</v>
      </c>
      <c r="H159" s="98" t="s">
        <v>4461</v>
      </c>
      <c r="I159" s="98" t="s">
        <v>4463</v>
      </c>
      <c r="J159" s="160" t="s">
        <v>4583</v>
      </c>
      <c r="K159" s="166">
        <v>8</v>
      </c>
      <c r="L159" s="239" t="s">
        <v>4666</v>
      </c>
      <c r="M159" s="239" t="s">
        <v>4661</v>
      </c>
      <c r="N159" s="200">
        <v>24</v>
      </c>
      <c r="O159" s="45" t="s">
        <v>4604</v>
      </c>
    </row>
    <row r="160" spans="1:15" ht="15" customHeight="1" x14ac:dyDescent="0.3">
      <c r="A160" s="147" t="s">
        <v>3805</v>
      </c>
      <c r="B160" s="120" t="s">
        <v>4159</v>
      </c>
      <c r="C160" s="174" t="s">
        <v>82</v>
      </c>
      <c r="D160" s="45" t="s">
        <v>948</v>
      </c>
      <c r="E160" s="45" t="s">
        <v>2986</v>
      </c>
      <c r="F160" s="45">
        <v>530</v>
      </c>
      <c r="G160" s="45" t="s">
        <v>3022</v>
      </c>
      <c r="H160" s="98" t="s">
        <v>4465</v>
      </c>
      <c r="I160" s="98" t="s">
        <v>4463</v>
      </c>
      <c r="J160" s="160" t="s">
        <v>4601</v>
      </c>
      <c r="K160" s="166">
        <v>1</v>
      </c>
      <c r="L160" s="239" t="s">
        <v>4679</v>
      </c>
      <c r="M160" s="239" t="s">
        <v>4669</v>
      </c>
      <c r="N160" s="200">
        <v>16</v>
      </c>
      <c r="O160" s="45" t="s">
        <v>4602</v>
      </c>
    </row>
    <row r="161" spans="1:15" ht="15" customHeight="1" x14ac:dyDescent="0.3">
      <c r="A161" s="147" t="s">
        <v>3806</v>
      </c>
      <c r="B161" s="120" t="s">
        <v>4159</v>
      </c>
      <c r="C161" s="174" t="s">
        <v>83</v>
      </c>
      <c r="D161" s="45" t="s">
        <v>948</v>
      </c>
      <c r="E161" s="45" t="s">
        <v>2986</v>
      </c>
      <c r="F161" s="45">
        <v>530</v>
      </c>
      <c r="G161" s="45" t="s">
        <v>3022</v>
      </c>
      <c r="H161" s="98" t="s">
        <v>4465</v>
      </c>
      <c r="I161" s="98" t="s">
        <v>4463</v>
      </c>
      <c r="J161" s="160" t="s">
        <v>4601</v>
      </c>
      <c r="K161" s="166">
        <v>2</v>
      </c>
      <c r="L161" s="239" t="s">
        <v>4679</v>
      </c>
      <c r="M161" s="239" t="s">
        <v>4669</v>
      </c>
      <c r="N161" s="200">
        <v>16</v>
      </c>
      <c r="O161" s="45" t="s">
        <v>4602</v>
      </c>
    </row>
    <row r="162" spans="1:15" ht="15" customHeight="1" x14ac:dyDescent="0.3">
      <c r="A162" s="147" t="s">
        <v>3807</v>
      </c>
      <c r="B162" s="120" t="s">
        <v>4159</v>
      </c>
      <c r="C162" s="174" t="s">
        <v>84</v>
      </c>
      <c r="D162" s="45" t="s">
        <v>948</v>
      </c>
      <c r="E162" s="45" t="s">
        <v>2986</v>
      </c>
      <c r="F162" s="45">
        <v>530</v>
      </c>
      <c r="G162" s="45" t="s">
        <v>3022</v>
      </c>
      <c r="H162" s="98" t="s">
        <v>4465</v>
      </c>
      <c r="I162" s="98" t="s">
        <v>4463</v>
      </c>
      <c r="J162" s="160" t="s">
        <v>4601</v>
      </c>
      <c r="K162" s="166">
        <v>3</v>
      </c>
      <c r="L162" s="239" t="s">
        <v>4680</v>
      </c>
      <c r="M162" s="239" t="s">
        <v>4669</v>
      </c>
      <c r="N162" s="200">
        <v>16</v>
      </c>
      <c r="O162" s="45" t="s">
        <v>4602</v>
      </c>
    </row>
    <row r="163" spans="1:15" ht="15" customHeight="1" x14ac:dyDescent="0.3">
      <c r="A163" s="147" t="s">
        <v>3808</v>
      </c>
      <c r="B163" s="120" t="s">
        <v>4159</v>
      </c>
      <c r="C163" s="174" t="s">
        <v>85</v>
      </c>
      <c r="D163" s="45" t="s">
        <v>948</v>
      </c>
      <c r="E163" s="45" t="s">
        <v>2986</v>
      </c>
      <c r="F163" s="45">
        <v>530</v>
      </c>
      <c r="G163" s="45" t="s">
        <v>3022</v>
      </c>
      <c r="H163" s="98" t="s">
        <v>4465</v>
      </c>
      <c r="I163" s="98" t="s">
        <v>4463</v>
      </c>
      <c r="J163" s="160" t="s">
        <v>4601</v>
      </c>
      <c r="K163" s="166">
        <v>4</v>
      </c>
      <c r="L163" s="239" t="s">
        <v>4680</v>
      </c>
      <c r="M163" s="239" t="s">
        <v>4669</v>
      </c>
      <c r="N163" s="200">
        <v>16</v>
      </c>
      <c r="O163" s="45" t="s">
        <v>4602</v>
      </c>
    </row>
    <row r="164" spans="1:15" ht="15" customHeight="1" x14ac:dyDescent="0.3">
      <c r="A164" s="100" t="s">
        <v>3809</v>
      </c>
      <c r="B164" s="120" t="s">
        <v>4159</v>
      </c>
      <c r="C164" s="174" t="s">
        <v>86</v>
      </c>
      <c r="D164" s="45" t="s">
        <v>948</v>
      </c>
      <c r="E164" s="45" t="s">
        <v>2986</v>
      </c>
      <c r="F164" s="45">
        <v>530</v>
      </c>
      <c r="G164" s="45" t="s">
        <v>3022</v>
      </c>
      <c r="H164" s="98" t="s">
        <v>4465</v>
      </c>
      <c r="I164" s="98" t="s">
        <v>4463</v>
      </c>
      <c r="J164" s="160" t="s">
        <v>4601</v>
      </c>
      <c r="K164" s="166">
        <v>5</v>
      </c>
      <c r="L164" s="239" t="s">
        <v>4680</v>
      </c>
      <c r="M164" s="239" t="s">
        <v>4669</v>
      </c>
      <c r="N164" s="200">
        <v>16</v>
      </c>
      <c r="O164" s="45" t="s">
        <v>4602</v>
      </c>
    </row>
    <row r="165" spans="1:15" ht="15" customHeight="1" x14ac:dyDescent="0.3">
      <c r="A165" s="100" t="s">
        <v>3932</v>
      </c>
      <c r="B165" s="120" t="s">
        <v>4159</v>
      </c>
      <c r="C165" s="174" t="s">
        <v>87</v>
      </c>
      <c r="D165" s="45" t="s">
        <v>948</v>
      </c>
      <c r="E165" s="45" t="s">
        <v>2986</v>
      </c>
      <c r="F165" s="45">
        <v>530</v>
      </c>
      <c r="G165" s="45" t="s">
        <v>3022</v>
      </c>
      <c r="H165" s="98" t="s">
        <v>4465</v>
      </c>
      <c r="I165" s="98" t="s">
        <v>4463</v>
      </c>
      <c r="J165" s="160" t="s">
        <v>4601</v>
      </c>
      <c r="K165" s="166">
        <v>6</v>
      </c>
      <c r="L165" s="239" t="s">
        <v>4680</v>
      </c>
      <c r="M165" s="239" t="s">
        <v>4669</v>
      </c>
      <c r="N165" s="200">
        <v>16</v>
      </c>
      <c r="O165" s="45" t="s">
        <v>4602</v>
      </c>
    </row>
    <row r="166" spans="1:15" ht="15" customHeight="1" x14ac:dyDescent="0.3">
      <c r="A166" s="100" t="s">
        <v>3933</v>
      </c>
      <c r="B166" s="120" t="s">
        <v>4159</v>
      </c>
      <c r="C166" s="174" t="s">
        <v>88</v>
      </c>
      <c r="D166" s="45" t="s">
        <v>948</v>
      </c>
      <c r="E166" s="45" t="s">
        <v>2986</v>
      </c>
      <c r="F166" s="45">
        <v>530</v>
      </c>
      <c r="G166" s="45" t="s">
        <v>3022</v>
      </c>
      <c r="H166" s="98" t="s">
        <v>4465</v>
      </c>
      <c r="I166" s="98" t="s">
        <v>4463</v>
      </c>
      <c r="J166" s="160" t="s">
        <v>4601</v>
      </c>
      <c r="K166" s="166">
        <v>7</v>
      </c>
      <c r="L166" s="239" t="s">
        <v>4680</v>
      </c>
      <c r="M166" s="239" t="s">
        <v>4669</v>
      </c>
      <c r="N166" s="200">
        <v>16</v>
      </c>
      <c r="O166" s="45" t="s">
        <v>4602</v>
      </c>
    </row>
    <row r="167" spans="1:15" ht="15" customHeight="1" x14ac:dyDescent="0.3">
      <c r="A167" s="100" t="s">
        <v>3934</v>
      </c>
      <c r="B167" s="120" t="s">
        <v>4159</v>
      </c>
      <c r="C167" s="174" t="s">
        <v>89</v>
      </c>
      <c r="D167" s="45" t="s">
        <v>948</v>
      </c>
      <c r="E167" s="45" t="s">
        <v>2986</v>
      </c>
      <c r="F167" s="45">
        <v>530</v>
      </c>
      <c r="G167" s="45" t="s">
        <v>3022</v>
      </c>
      <c r="H167" s="98" t="s">
        <v>4465</v>
      </c>
      <c r="I167" s="98" t="s">
        <v>4463</v>
      </c>
      <c r="J167" s="160" t="s">
        <v>4601</v>
      </c>
      <c r="K167" s="166">
        <v>8</v>
      </c>
      <c r="L167" s="239" t="s">
        <v>4680</v>
      </c>
      <c r="M167" s="239" t="s">
        <v>4669</v>
      </c>
      <c r="N167" s="200">
        <v>16</v>
      </c>
      <c r="O167" s="45" t="s">
        <v>4602</v>
      </c>
    </row>
    <row r="168" spans="1:15" ht="15" customHeight="1" x14ac:dyDescent="0.3">
      <c r="A168" s="100" t="s">
        <v>3935</v>
      </c>
      <c r="B168" s="120" t="s">
        <v>4159</v>
      </c>
      <c r="C168" s="174" t="s">
        <v>90</v>
      </c>
      <c r="D168" s="45" t="s">
        <v>948</v>
      </c>
      <c r="E168" s="45" t="s">
        <v>2986</v>
      </c>
      <c r="F168" s="45">
        <v>530</v>
      </c>
      <c r="G168" s="45" t="s">
        <v>3022</v>
      </c>
      <c r="H168" s="98" t="s">
        <v>4465</v>
      </c>
      <c r="I168" s="98" t="s">
        <v>4463</v>
      </c>
      <c r="J168" s="160" t="s">
        <v>4581</v>
      </c>
      <c r="K168" s="166">
        <v>1</v>
      </c>
      <c r="L168" s="239" t="s">
        <v>4680</v>
      </c>
      <c r="M168" s="239" t="s">
        <v>4669</v>
      </c>
      <c r="N168" s="200">
        <v>16</v>
      </c>
      <c r="O168" s="45" t="s">
        <v>4602</v>
      </c>
    </row>
    <row r="169" spans="1:15" ht="15" customHeight="1" x14ac:dyDescent="0.3">
      <c r="A169" s="100" t="s">
        <v>3936</v>
      </c>
      <c r="B169" s="120" t="s">
        <v>4159</v>
      </c>
      <c r="C169" s="174" t="s">
        <v>91</v>
      </c>
      <c r="D169" s="45" t="s">
        <v>948</v>
      </c>
      <c r="E169" s="45" t="s">
        <v>2986</v>
      </c>
      <c r="F169" s="45">
        <v>530</v>
      </c>
      <c r="G169" s="45" t="s">
        <v>3022</v>
      </c>
      <c r="H169" s="98" t="s">
        <v>4465</v>
      </c>
      <c r="I169" s="98" t="s">
        <v>4463</v>
      </c>
      <c r="J169" s="160" t="s">
        <v>4581</v>
      </c>
      <c r="K169" s="166">
        <v>2</v>
      </c>
      <c r="L169" s="239" t="s">
        <v>4680</v>
      </c>
      <c r="M169" s="239" t="s">
        <v>4669</v>
      </c>
      <c r="N169" s="200">
        <v>16</v>
      </c>
      <c r="O169" s="45" t="s">
        <v>4602</v>
      </c>
    </row>
    <row r="170" spans="1:15" ht="15" customHeight="1" x14ac:dyDescent="0.3">
      <c r="A170" s="100" t="s">
        <v>3937</v>
      </c>
      <c r="B170" s="120" t="s">
        <v>4159</v>
      </c>
      <c r="C170" s="174" t="s">
        <v>92</v>
      </c>
      <c r="D170" s="45" t="s">
        <v>948</v>
      </c>
      <c r="E170" s="45" t="s">
        <v>2986</v>
      </c>
      <c r="F170" s="45">
        <v>530</v>
      </c>
      <c r="G170" s="45" t="s">
        <v>3022</v>
      </c>
      <c r="H170" s="98" t="s">
        <v>4465</v>
      </c>
      <c r="I170" s="98" t="s">
        <v>4463</v>
      </c>
      <c r="J170" s="160" t="s">
        <v>4581</v>
      </c>
      <c r="K170" s="166">
        <v>3</v>
      </c>
      <c r="L170" s="239" t="s">
        <v>4681</v>
      </c>
      <c r="M170" s="239" t="s">
        <v>4661</v>
      </c>
      <c r="N170" s="200">
        <v>22</v>
      </c>
      <c r="O170" s="45" t="s">
        <v>4602</v>
      </c>
    </row>
    <row r="171" spans="1:15" ht="15" customHeight="1" x14ac:dyDescent="0.3">
      <c r="A171" s="100" t="s">
        <v>3938</v>
      </c>
      <c r="B171" s="120" t="s">
        <v>4159</v>
      </c>
      <c r="C171" s="174" t="s">
        <v>93</v>
      </c>
      <c r="D171" s="45" t="s">
        <v>948</v>
      </c>
      <c r="E171" s="45" t="s">
        <v>2986</v>
      </c>
      <c r="F171" s="45">
        <v>530</v>
      </c>
      <c r="G171" s="45" t="s">
        <v>3022</v>
      </c>
      <c r="H171" s="98" t="s">
        <v>4465</v>
      </c>
      <c r="I171" s="98" t="s">
        <v>4463</v>
      </c>
      <c r="J171" s="160" t="s">
        <v>4581</v>
      </c>
      <c r="K171" s="166">
        <v>4</v>
      </c>
      <c r="L171" s="239" t="s">
        <v>4681</v>
      </c>
      <c r="M171" s="239" t="s">
        <v>4661</v>
      </c>
      <c r="N171" s="200">
        <v>22</v>
      </c>
      <c r="O171" s="45" t="s">
        <v>4602</v>
      </c>
    </row>
    <row r="172" spans="1:15" ht="15" customHeight="1" x14ac:dyDescent="0.3">
      <c r="A172" s="100" t="s">
        <v>3939</v>
      </c>
      <c r="B172" s="120" t="s">
        <v>4159</v>
      </c>
      <c r="C172" s="174" t="s">
        <v>94</v>
      </c>
      <c r="D172" s="45" t="s">
        <v>948</v>
      </c>
      <c r="E172" s="45" t="s">
        <v>2986</v>
      </c>
      <c r="F172" s="45">
        <v>530</v>
      </c>
      <c r="G172" s="45" t="s">
        <v>3022</v>
      </c>
      <c r="H172" s="98" t="s">
        <v>4465</v>
      </c>
      <c r="I172" s="98" t="s">
        <v>4463</v>
      </c>
      <c r="J172" s="160" t="s">
        <v>4581</v>
      </c>
      <c r="K172" s="166">
        <v>5</v>
      </c>
      <c r="L172" s="239" t="s">
        <v>4681</v>
      </c>
      <c r="M172" s="239" t="s">
        <v>4661</v>
      </c>
      <c r="N172" s="200">
        <v>22</v>
      </c>
      <c r="O172" s="45" t="s">
        <v>4602</v>
      </c>
    </row>
    <row r="173" spans="1:15" ht="15" customHeight="1" x14ac:dyDescent="0.3">
      <c r="A173" s="100" t="s">
        <v>3940</v>
      </c>
      <c r="B173" s="120" t="s">
        <v>4159</v>
      </c>
      <c r="C173" s="174" t="s">
        <v>95</v>
      </c>
      <c r="D173" s="45" t="s">
        <v>948</v>
      </c>
      <c r="E173" s="45" t="s">
        <v>2986</v>
      </c>
      <c r="F173" s="45">
        <v>530</v>
      </c>
      <c r="G173" s="45" t="s">
        <v>3022</v>
      </c>
      <c r="H173" s="98" t="s">
        <v>4465</v>
      </c>
      <c r="I173" s="98" t="s">
        <v>4463</v>
      </c>
      <c r="J173" s="160" t="s">
        <v>4581</v>
      </c>
      <c r="K173" s="166">
        <v>6</v>
      </c>
      <c r="L173" s="239" t="s">
        <v>4681</v>
      </c>
      <c r="M173" s="239" t="s">
        <v>4661</v>
      </c>
      <c r="N173" s="200">
        <v>22</v>
      </c>
      <c r="O173" s="45" t="s">
        <v>4602</v>
      </c>
    </row>
    <row r="174" spans="1:15" ht="15" customHeight="1" x14ac:dyDescent="0.3">
      <c r="A174" s="100" t="s">
        <v>3857</v>
      </c>
      <c r="B174" s="120" t="s">
        <v>4158</v>
      </c>
      <c r="C174" s="174" t="s">
        <v>111</v>
      </c>
      <c r="D174" s="45" t="s">
        <v>948</v>
      </c>
      <c r="E174" s="45" t="s">
        <v>2986</v>
      </c>
      <c r="F174" s="45">
        <v>530</v>
      </c>
      <c r="G174" s="45" t="s">
        <v>3022</v>
      </c>
      <c r="H174" s="98" t="s">
        <v>4465</v>
      </c>
      <c r="I174" s="98" t="s">
        <v>4463</v>
      </c>
      <c r="J174" s="160" t="s">
        <v>4595</v>
      </c>
      <c r="K174" s="166">
        <v>1</v>
      </c>
      <c r="L174" s="239" t="s">
        <v>4674</v>
      </c>
      <c r="M174" s="239" t="s">
        <v>4661</v>
      </c>
      <c r="N174" s="200">
        <v>24</v>
      </c>
      <c r="O174" s="45" t="s">
        <v>4602</v>
      </c>
    </row>
    <row r="175" spans="1:15" ht="15" customHeight="1" x14ac:dyDescent="0.3">
      <c r="A175" s="100" t="s">
        <v>3858</v>
      </c>
      <c r="B175" s="120" t="s">
        <v>4158</v>
      </c>
      <c r="C175" s="174" t="s">
        <v>112</v>
      </c>
      <c r="D175" s="45" t="s">
        <v>948</v>
      </c>
      <c r="E175" s="45" t="s">
        <v>2986</v>
      </c>
      <c r="F175" s="45">
        <v>530</v>
      </c>
      <c r="G175" s="45" t="s">
        <v>3022</v>
      </c>
      <c r="H175" s="98" t="s">
        <v>4465</v>
      </c>
      <c r="I175" s="98" t="s">
        <v>4463</v>
      </c>
      <c r="J175" s="160" t="s">
        <v>4595</v>
      </c>
      <c r="K175" s="166">
        <v>2</v>
      </c>
      <c r="L175" s="239" t="s">
        <v>4674</v>
      </c>
      <c r="M175" s="239" t="s">
        <v>4661</v>
      </c>
      <c r="N175" s="200">
        <v>24</v>
      </c>
      <c r="O175" s="45" t="s">
        <v>4602</v>
      </c>
    </row>
    <row r="176" spans="1:15" ht="15" customHeight="1" x14ac:dyDescent="0.3">
      <c r="A176" s="100" t="s">
        <v>3859</v>
      </c>
      <c r="B176" s="120" t="s">
        <v>4158</v>
      </c>
      <c r="C176" s="174" t="s">
        <v>113</v>
      </c>
      <c r="D176" s="45" t="s">
        <v>948</v>
      </c>
      <c r="E176" s="45" t="s">
        <v>2986</v>
      </c>
      <c r="F176" s="45">
        <v>530</v>
      </c>
      <c r="G176" s="45" t="s">
        <v>3022</v>
      </c>
      <c r="H176" s="98" t="s">
        <v>4465</v>
      </c>
      <c r="I176" s="98" t="s">
        <v>4463</v>
      </c>
      <c r="J176" s="160" t="s">
        <v>4595</v>
      </c>
      <c r="K176" s="166">
        <v>3</v>
      </c>
      <c r="L176" s="239" t="s">
        <v>4674</v>
      </c>
      <c r="M176" s="239" t="s">
        <v>4661</v>
      </c>
      <c r="N176" s="200">
        <v>24</v>
      </c>
      <c r="O176" s="45" t="s">
        <v>4602</v>
      </c>
    </row>
    <row r="177" spans="1:15" ht="15" customHeight="1" x14ac:dyDescent="0.3">
      <c r="A177" s="100" t="s">
        <v>3860</v>
      </c>
      <c r="B177" s="120" t="s">
        <v>4158</v>
      </c>
      <c r="C177" s="174" t="s">
        <v>3023</v>
      </c>
      <c r="D177" s="45" t="s">
        <v>948</v>
      </c>
      <c r="E177" s="45" t="s">
        <v>2986</v>
      </c>
      <c r="F177" s="45">
        <v>530</v>
      </c>
      <c r="G177" s="45" t="s">
        <v>3022</v>
      </c>
      <c r="H177" s="98" t="s">
        <v>4465</v>
      </c>
      <c r="I177" s="98" t="s">
        <v>4463</v>
      </c>
      <c r="J177" s="160" t="s">
        <v>4595</v>
      </c>
      <c r="K177" s="166">
        <v>4</v>
      </c>
      <c r="L177" s="239" t="s">
        <v>4674</v>
      </c>
      <c r="M177" s="239" t="s">
        <v>4661</v>
      </c>
      <c r="N177" s="200">
        <v>24</v>
      </c>
      <c r="O177" s="45" t="s">
        <v>4602</v>
      </c>
    </row>
    <row r="178" spans="1:15" ht="15" customHeight="1" x14ac:dyDescent="0.3">
      <c r="A178" s="100" t="s">
        <v>3861</v>
      </c>
      <c r="B178" s="120" t="s">
        <v>4158</v>
      </c>
      <c r="C178" s="174" t="s">
        <v>3024</v>
      </c>
      <c r="D178" s="45" t="s">
        <v>948</v>
      </c>
      <c r="E178" s="45" t="s">
        <v>2986</v>
      </c>
      <c r="F178" s="45">
        <v>530</v>
      </c>
      <c r="G178" s="45" t="s">
        <v>3022</v>
      </c>
      <c r="H178" s="98" t="s">
        <v>4465</v>
      </c>
      <c r="I178" s="98" t="s">
        <v>4463</v>
      </c>
      <c r="J178" s="160" t="s">
        <v>4595</v>
      </c>
      <c r="K178" s="166">
        <v>5</v>
      </c>
      <c r="L178" s="239" t="s">
        <v>4674</v>
      </c>
      <c r="M178" s="239" t="s">
        <v>4661</v>
      </c>
      <c r="N178" s="200">
        <v>24</v>
      </c>
      <c r="O178" s="45" t="s">
        <v>4602</v>
      </c>
    </row>
    <row r="179" spans="1:15" ht="15" customHeight="1" x14ac:dyDescent="0.3">
      <c r="A179" s="100" t="s">
        <v>3862</v>
      </c>
      <c r="B179" s="120" t="s">
        <v>4158</v>
      </c>
      <c r="C179" s="174" t="s">
        <v>114</v>
      </c>
      <c r="D179" s="45" t="s">
        <v>948</v>
      </c>
      <c r="E179" s="45" t="s">
        <v>2986</v>
      </c>
      <c r="F179" s="45">
        <v>530</v>
      </c>
      <c r="G179" s="45" t="s">
        <v>3022</v>
      </c>
      <c r="H179" s="98" t="s">
        <v>4465</v>
      </c>
      <c r="I179" s="98" t="s">
        <v>4463</v>
      </c>
      <c r="J179" s="160" t="s">
        <v>4595</v>
      </c>
      <c r="K179" s="166">
        <v>6</v>
      </c>
      <c r="L179" s="239" t="s">
        <v>4674</v>
      </c>
      <c r="M179" s="239" t="s">
        <v>4661</v>
      </c>
      <c r="N179" s="200">
        <v>24</v>
      </c>
      <c r="O179" s="45" t="s">
        <v>4602</v>
      </c>
    </row>
    <row r="180" spans="1:15" ht="15" customHeight="1" x14ac:dyDescent="0.3">
      <c r="A180" s="100" t="s">
        <v>3863</v>
      </c>
      <c r="B180" s="120" t="s">
        <v>4158</v>
      </c>
      <c r="C180" s="174" t="s">
        <v>3025</v>
      </c>
      <c r="D180" s="45" t="s">
        <v>948</v>
      </c>
      <c r="E180" s="45" t="s">
        <v>2986</v>
      </c>
      <c r="F180" s="45">
        <v>530</v>
      </c>
      <c r="G180" s="45" t="s">
        <v>3022</v>
      </c>
      <c r="H180" s="98" t="s">
        <v>4465</v>
      </c>
      <c r="I180" s="98" t="s">
        <v>4463</v>
      </c>
      <c r="J180" s="160" t="s">
        <v>4595</v>
      </c>
      <c r="K180" s="166">
        <v>7</v>
      </c>
      <c r="L180" s="239" t="s">
        <v>4674</v>
      </c>
      <c r="M180" s="239" t="s">
        <v>4661</v>
      </c>
      <c r="N180" s="200">
        <v>24</v>
      </c>
      <c r="O180" s="45" t="s">
        <v>4602</v>
      </c>
    </row>
    <row r="181" spans="1:15" ht="15" customHeight="1" x14ac:dyDescent="0.3">
      <c r="A181" s="100" t="s">
        <v>3864</v>
      </c>
      <c r="B181" s="120" t="s">
        <v>4158</v>
      </c>
      <c r="C181" s="174" t="s">
        <v>3026</v>
      </c>
      <c r="D181" s="45" t="s">
        <v>948</v>
      </c>
      <c r="E181" s="45" t="s">
        <v>2986</v>
      </c>
      <c r="F181" s="45">
        <v>530</v>
      </c>
      <c r="G181" s="45" t="s">
        <v>3022</v>
      </c>
      <c r="H181" s="98" t="s">
        <v>4465</v>
      </c>
      <c r="I181" s="98" t="s">
        <v>4463</v>
      </c>
      <c r="J181" s="160" t="s">
        <v>4595</v>
      </c>
      <c r="K181" s="166">
        <v>8</v>
      </c>
      <c r="L181" s="239" t="s">
        <v>4674</v>
      </c>
      <c r="M181" s="239" t="s">
        <v>4661</v>
      </c>
      <c r="N181" s="200">
        <v>24</v>
      </c>
      <c r="O181" s="45" t="s">
        <v>4602</v>
      </c>
    </row>
    <row r="182" spans="1:15" ht="15" customHeight="1" x14ac:dyDescent="0.3">
      <c r="A182" s="100" t="s">
        <v>3865</v>
      </c>
      <c r="B182" s="120" t="s">
        <v>4158</v>
      </c>
      <c r="C182" s="174" t="s">
        <v>3027</v>
      </c>
      <c r="D182" s="45" t="s">
        <v>948</v>
      </c>
      <c r="E182" s="45" t="s">
        <v>2986</v>
      </c>
      <c r="F182" s="45">
        <v>530</v>
      </c>
      <c r="G182" s="45" t="s">
        <v>3022</v>
      </c>
      <c r="H182" s="98" t="s">
        <v>4465</v>
      </c>
      <c r="I182" s="98" t="s">
        <v>4463</v>
      </c>
      <c r="J182" s="160" t="s">
        <v>4596</v>
      </c>
      <c r="K182" s="166">
        <v>1</v>
      </c>
      <c r="L182" s="239" t="s">
        <v>4674</v>
      </c>
      <c r="M182" s="239" t="s">
        <v>4661</v>
      </c>
      <c r="N182" s="200">
        <v>24</v>
      </c>
      <c r="O182" s="45" t="s">
        <v>4602</v>
      </c>
    </row>
    <row r="183" spans="1:15" ht="15" customHeight="1" x14ac:dyDescent="0.3">
      <c r="A183" s="100" t="s">
        <v>3866</v>
      </c>
      <c r="B183" s="120" t="s">
        <v>4158</v>
      </c>
      <c r="C183" s="174" t="s">
        <v>3028</v>
      </c>
      <c r="D183" s="45" t="s">
        <v>948</v>
      </c>
      <c r="E183" s="45" t="s">
        <v>2986</v>
      </c>
      <c r="F183" s="45">
        <v>530</v>
      </c>
      <c r="G183" s="45" t="s">
        <v>3022</v>
      </c>
      <c r="H183" s="98" t="s">
        <v>4465</v>
      </c>
      <c r="I183" s="98" t="s">
        <v>4463</v>
      </c>
      <c r="J183" s="160" t="s">
        <v>4596</v>
      </c>
      <c r="K183" s="166">
        <v>2</v>
      </c>
      <c r="L183" s="239" t="s">
        <v>4674</v>
      </c>
      <c r="M183" s="239" t="s">
        <v>4661</v>
      </c>
      <c r="N183" s="200">
        <v>24</v>
      </c>
      <c r="O183" s="45" t="s">
        <v>4602</v>
      </c>
    </row>
    <row r="184" spans="1:15" ht="15" customHeight="1" x14ac:dyDescent="0.3">
      <c r="A184" s="100" t="s">
        <v>3867</v>
      </c>
      <c r="B184" s="120" t="s">
        <v>4158</v>
      </c>
      <c r="C184" s="174" t="s">
        <v>3029</v>
      </c>
      <c r="D184" s="45" t="s">
        <v>948</v>
      </c>
      <c r="E184" s="45" t="s">
        <v>2986</v>
      </c>
      <c r="F184" s="45">
        <v>530</v>
      </c>
      <c r="G184" s="45" t="s">
        <v>3022</v>
      </c>
      <c r="H184" s="98" t="s">
        <v>4465</v>
      </c>
      <c r="I184" s="98" t="s">
        <v>4463</v>
      </c>
      <c r="J184" s="160" t="s">
        <v>4596</v>
      </c>
      <c r="K184" s="166">
        <v>3</v>
      </c>
      <c r="L184" s="239" t="s">
        <v>4674</v>
      </c>
      <c r="M184" s="239" t="s">
        <v>4661</v>
      </c>
      <c r="N184" s="200">
        <v>24</v>
      </c>
      <c r="O184" s="45" t="s">
        <v>4602</v>
      </c>
    </row>
    <row r="185" spans="1:15" ht="15" customHeight="1" x14ac:dyDescent="0.3">
      <c r="A185" s="100" t="s">
        <v>3868</v>
      </c>
      <c r="B185" s="120" t="s">
        <v>4158</v>
      </c>
      <c r="C185" s="174" t="s">
        <v>3030</v>
      </c>
      <c r="D185" s="45" t="s">
        <v>948</v>
      </c>
      <c r="E185" s="45" t="s">
        <v>2986</v>
      </c>
      <c r="F185" s="45">
        <v>530</v>
      </c>
      <c r="G185" s="45" t="s">
        <v>3022</v>
      </c>
      <c r="H185" s="98" t="s">
        <v>4465</v>
      </c>
      <c r="I185" s="98" t="s">
        <v>4463</v>
      </c>
      <c r="J185" s="160" t="s">
        <v>4596</v>
      </c>
      <c r="K185" s="166">
        <v>4</v>
      </c>
      <c r="L185" s="239" t="s">
        <v>4674</v>
      </c>
      <c r="M185" s="239" t="s">
        <v>4661</v>
      </c>
      <c r="N185" s="200">
        <v>24</v>
      </c>
      <c r="O185" s="45" t="s">
        <v>4602</v>
      </c>
    </row>
    <row r="186" spans="1:15" ht="15" customHeight="1" x14ac:dyDescent="0.3">
      <c r="A186" s="100" t="s">
        <v>3969</v>
      </c>
      <c r="B186" s="120" t="s">
        <v>4158</v>
      </c>
      <c r="C186" s="174" t="s">
        <v>3031</v>
      </c>
      <c r="D186" s="45" t="s">
        <v>948</v>
      </c>
      <c r="E186" s="45" t="s">
        <v>2986</v>
      </c>
      <c r="F186" s="45">
        <v>530</v>
      </c>
      <c r="G186" s="45" t="s">
        <v>3022</v>
      </c>
      <c r="H186" s="98" t="s">
        <v>4465</v>
      </c>
      <c r="I186" s="98" t="s">
        <v>4463</v>
      </c>
      <c r="J186" s="160" t="s">
        <v>4596</v>
      </c>
      <c r="K186" s="166">
        <v>5</v>
      </c>
      <c r="L186" s="239" t="s">
        <v>4675</v>
      </c>
      <c r="M186" s="239" t="s">
        <v>4661</v>
      </c>
      <c r="N186" s="200">
        <v>24</v>
      </c>
      <c r="O186" s="45" t="s">
        <v>4602</v>
      </c>
    </row>
    <row r="187" spans="1:15" ht="15" customHeight="1" x14ac:dyDescent="0.3">
      <c r="A187" s="100" t="s">
        <v>3869</v>
      </c>
      <c r="B187" s="120" t="s">
        <v>4158</v>
      </c>
      <c r="C187" s="174" t="s">
        <v>3032</v>
      </c>
      <c r="D187" s="45" t="s">
        <v>948</v>
      </c>
      <c r="E187" s="45" t="s">
        <v>2986</v>
      </c>
      <c r="F187" s="45">
        <v>530</v>
      </c>
      <c r="G187" s="45" t="s">
        <v>3022</v>
      </c>
      <c r="H187" s="98" t="s">
        <v>4465</v>
      </c>
      <c r="I187" s="98" t="s">
        <v>4463</v>
      </c>
      <c r="J187" s="160" t="s">
        <v>4596</v>
      </c>
      <c r="K187" s="166">
        <v>6</v>
      </c>
      <c r="L187" s="239" t="s">
        <v>4675</v>
      </c>
      <c r="M187" s="239" t="s">
        <v>4661</v>
      </c>
      <c r="N187" s="200">
        <v>24</v>
      </c>
      <c r="O187" s="45" t="s">
        <v>4602</v>
      </c>
    </row>
    <row r="188" spans="1:15" ht="15" customHeight="1" x14ac:dyDescent="0.3">
      <c r="A188" s="100" t="s">
        <v>3870</v>
      </c>
      <c r="B188" s="120" t="s">
        <v>4158</v>
      </c>
      <c r="C188" s="174" t="s">
        <v>3033</v>
      </c>
      <c r="D188" s="45" t="s">
        <v>948</v>
      </c>
      <c r="E188" s="45" t="s">
        <v>2986</v>
      </c>
      <c r="F188" s="45">
        <v>530</v>
      </c>
      <c r="G188" s="45" t="s">
        <v>3022</v>
      </c>
      <c r="H188" s="98" t="s">
        <v>4465</v>
      </c>
      <c r="I188" s="98" t="s">
        <v>4463</v>
      </c>
      <c r="J188" s="160" t="s">
        <v>4596</v>
      </c>
      <c r="K188" s="166">
        <v>7</v>
      </c>
      <c r="L188" s="239" t="s">
        <v>4675</v>
      </c>
      <c r="M188" s="239" t="s">
        <v>4661</v>
      </c>
      <c r="N188" s="200">
        <v>24</v>
      </c>
      <c r="O188" s="45" t="s">
        <v>4602</v>
      </c>
    </row>
    <row r="189" spans="1:15" ht="15" customHeight="1" x14ac:dyDescent="0.3">
      <c r="A189" s="100" t="s">
        <v>3871</v>
      </c>
      <c r="B189" s="120" t="s">
        <v>4158</v>
      </c>
      <c r="C189" s="174" t="s">
        <v>3034</v>
      </c>
      <c r="D189" s="45" t="s">
        <v>948</v>
      </c>
      <c r="E189" s="45" t="s">
        <v>2986</v>
      </c>
      <c r="F189" s="45">
        <v>530</v>
      </c>
      <c r="G189" s="45" t="s">
        <v>3022</v>
      </c>
      <c r="H189" s="98" t="s">
        <v>4465</v>
      </c>
      <c r="I189" s="98" t="s">
        <v>4463</v>
      </c>
      <c r="J189" s="160" t="s">
        <v>4596</v>
      </c>
      <c r="K189" s="166">
        <v>8</v>
      </c>
      <c r="L189" s="239" t="s">
        <v>4675</v>
      </c>
      <c r="M189" s="239" t="s">
        <v>4661</v>
      </c>
      <c r="N189" s="200">
        <v>24</v>
      </c>
      <c r="O189" s="45" t="s">
        <v>4602</v>
      </c>
    </row>
    <row r="190" spans="1:15" s="3" customFormat="1" ht="15" customHeight="1" x14ac:dyDescent="0.3">
      <c r="A190" s="100" t="s">
        <v>3872</v>
      </c>
      <c r="B190" s="120" t="s">
        <v>4158</v>
      </c>
      <c r="C190" s="174" t="s">
        <v>3035</v>
      </c>
      <c r="D190" s="45" t="s">
        <v>948</v>
      </c>
      <c r="E190" s="45" t="s">
        <v>2986</v>
      </c>
      <c r="F190" s="45">
        <v>530</v>
      </c>
      <c r="G190" s="45" t="s">
        <v>3022</v>
      </c>
      <c r="H190" s="98" t="s">
        <v>4465</v>
      </c>
      <c r="I190" s="98" t="s">
        <v>4463</v>
      </c>
      <c r="J190" s="160" t="s">
        <v>4579</v>
      </c>
      <c r="K190" s="166">
        <v>1</v>
      </c>
      <c r="L190" s="239" t="s">
        <v>4675</v>
      </c>
      <c r="M190" s="239" t="s">
        <v>4661</v>
      </c>
      <c r="N190" s="200">
        <v>24</v>
      </c>
      <c r="O190" s="45" t="s">
        <v>4602</v>
      </c>
    </row>
    <row r="191" spans="1:15" ht="15" customHeight="1" x14ac:dyDescent="0.3">
      <c r="A191" s="100" t="s">
        <v>3873</v>
      </c>
      <c r="B191" s="120" t="s">
        <v>4158</v>
      </c>
      <c r="C191" s="174" t="s">
        <v>3036</v>
      </c>
      <c r="D191" s="45" t="s">
        <v>948</v>
      </c>
      <c r="E191" s="45" t="s">
        <v>2986</v>
      </c>
      <c r="F191" s="45">
        <v>530</v>
      </c>
      <c r="G191" s="45" t="s">
        <v>3022</v>
      </c>
      <c r="H191" s="98" t="s">
        <v>4465</v>
      </c>
      <c r="I191" s="98" t="s">
        <v>4463</v>
      </c>
      <c r="J191" s="160" t="s">
        <v>4579</v>
      </c>
      <c r="K191" s="166">
        <v>2</v>
      </c>
      <c r="L191" s="239" t="s">
        <v>4675</v>
      </c>
      <c r="M191" s="239" t="s">
        <v>4661</v>
      </c>
      <c r="N191" s="200">
        <v>24</v>
      </c>
      <c r="O191" s="45" t="s">
        <v>4602</v>
      </c>
    </row>
    <row r="192" spans="1:15" ht="15" customHeight="1" x14ac:dyDescent="0.3">
      <c r="A192" s="100" t="s">
        <v>3886</v>
      </c>
      <c r="B192" s="120" t="s">
        <v>4159</v>
      </c>
      <c r="C192" s="174" t="s">
        <v>4287</v>
      </c>
      <c r="D192" s="45" t="s">
        <v>948</v>
      </c>
      <c r="E192" s="45" t="s">
        <v>2986</v>
      </c>
      <c r="F192" s="45">
        <v>530</v>
      </c>
      <c r="G192" s="45" t="s">
        <v>3022</v>
      </c>
      <c r="H192" s="98" t="s">
        <v>4465</v>
      </c>
      <c r="I192" s="98" t="s">
        <v>4463</v>
      </c>
      <c r="J192" s="160" t="s">
        <v>4577</v>
      </c>
      <c r="K192" s="166">
        <v>3</v>
      </c>
      <c r="L192" s="239" t="s">
        <v>4678</v>
      </c>
      <c r="M192" s="239" t="s">
        <v>4669</v>
      </c>
      <c r="N192" s="200">
        <v>16</v>
      </c>
      <c r="O192" s="45" t="s">
        <v>4602</v>
      </c>
    </row>
    <row r="193" spans="1:15" ht="15" customHeight="1" x14ac:dyDescent="0.3">
      <c r="A193" s="100" t="s">
        <v>3887</v>
      </c>
      <c r="B193" s="120" t="s">
        <v>4159</v>
      </c>
      <c r="C193" s="174" t="s">
        <v>4288</v>
      </c>
      <c r="D193" s="45" t="s">
        <v>948</v>
      </c>
      <c r="E193" s="45" t="s">
        <v>2986</v>
      </c>
      <c r="F193" s="45">
        <v>530</v>
      </c>
      <c r="G193" s="45" t="s">
        <v>3022</v>
      </c>
      <c r="H193" s="98" t="s">
        <v>4465</v>
      </c>
      <c r="I193" s="98" t="s">
        <v>4463</v>
      </c>
      <c r="J193" s="160" t="s">
        <v>4577</v>
      </c>
      <c r="K193" s="166">
        <v>4</v>
      </c>
      <c r="L193" s="239" t="s">
        <v>4678</v>
      </c>
      <c r="M193" s="239" t="s">
        <v>4669</v>
      </c>
      <c r="N193" s="200">
        <v>16</v>
      </c>
      <c r="O193" s="45" t="s">
        <v>4602</v>
      </c>
    </row>
    <row r="194" spans="1:15" ht="15" customHeight="1" x14ac:dyDescent="0.3">
      <c r="A194" s="100" t="s">
        <v>3888</v>
      </c>
      <c r="B194" s="120" t="s">
        <v>4159</v>
      </c>
      <c r="C194" s="174" t="s">
        <v>4289</v>
      </c>
      <c r="D194" s="45" t="s">
        <v>948</v>
      </c>
      <c r="E194" s="45" t="s">
        <v>2986</v>
      </c>
      <c r="F194" s="45">
        <v>530</v>
      </c>
      <c r="G194" s="45" t="s">
        <v>3022</v>
      </c>
      <c r="H194" s="98" t="s">
        <v>4465</v>
      </c>
      <c r="I194" s="98" t="s">
        <v>4463</v>
      </c>
      <c r="J194" s="160" t="s">
        <v>4577</v>
      </c>
      <c r="K194" s="166">
        <v>5</v>
      </c>
      <c r="L194" s="239" t="s">
        <v>4678</v>
      </c>
      <c r="M194" s="239" t="s">
        <v>4669</v>
      </c>
      <c r="N194" s="200">
        <v>16</v>
      </c>
      <c r="O194" s="45" t="s">
        <v>4602</v>
      </c>
    </row>
    <row r="195" spans="1:15" ht="15" customHeight="1" x14ac:dyDescent="0.3">
      <c r="A195" s="100" t="s">
        <v>3889</v>
      </c>
      <c r="B195" s="120" t="s">
        <v>4159</v>
      </c>
      <c r="C195" s="174" t="s">
        <v>4290</v>
      </c>
      <c r="D195" s="45" t="s">
        <v>948</v>
      </c>
      <c r="E195" s="45" t="s">
        <v>2986</v>
      </c>
      <c r="F195" s="45">
        <v>530</v>
      </c>
      <c r="G195" s="45" t="s">
        <v>3022</v>
      </c>
      <c r="H195" s="98" t="s">
        <v>4465</v>
      </c>
      <c r="I195" s="98" t="s">
        <v>4463</v>
      </c>
      <c r="J195" s="160" t="s">
        <v>4577</v>
      </c>
      <c r="K195" s="166">
        <v>6</v>
      </c>
      <c r="L195" s="239" t="s">
        <v>4678</v>
      </c>
      <c r="M195" s="239" t="s">
        <v>4669</v>
      </c>
      <c r="N195" s="200">
        <v>16</v>
      </c>
      <c r="O195" s="45" t="s">
        <v>4602</v>
      </c>
    </row>
    <row r="196" spans="1:15" ht="15" customHeight="1" x14ac:dyDescent="0.3">
      <c r="A196" s="100" t="s">
        <v>3890</v>
      </c>
      <c r="B196" s="120" t="s">
        <v>4159</v>
      </c>
      <c r="C196" s="174" t="s">
        <v>4291</v>
      </c>
      <c r="D196" s="45" t="s">
        <v>948</v>
      </c>
      <c r="E196" s="45" t="s">
        <v>2986</v>
      </c>
      <c r="F196" s="45">
        <v>530</v>
      </c>
      <c r="G196" s="45" t="s">
        <v>3022</v>
      </c>
      <c r="H196" s="98" t="s">
        <v>4465</v>
      </c>
      <c r="I196" s="98" t="s">
        <v>4463</v>
      </c>
      <c r="J196" s="160" t="s">
        <v>4577</v>
      </c>
      <c r="K196" s="166">
        <v>7</v>
      </c>
      <c r="L196" s="239" t="s">
        <v>4678</v>
      </c>
      <c r="M196" s="239" t="s">
        <v>4669</v>
      </c>
      <c r="N196" s="200">
        <v>16</v>
      </c>
      <c r="O196" s="45" t="s">
        <v>4602</v>
      </c>
    </row>
    <row r="197" spans="1:15" ht="15" customHeight="1" x14ac:dyDescent="0.3">
      <c r="A197" s="100" t="s">
        <v>3891</v>
      </c>
      <c r="B197" s="120" t="s">
        <v>4159</v>
      </c>
      <c r="C197" s="174" t="s">
        <v>4292</v>
      </c>
      <c r="D197" s="45" t="s">
        <v>948</v>
      </c>
      <c r="E197" s="45" t="s">
        <v>2986</v>
      </c>
      <c r="F197" s="45">
        <v>530</v>
      </c>
      <c r="G197" s="45" t="s">
        <v>3022</v>
      </c>
      <c r="H197" s="98" t="s">
        <v>4465</v>
      </c>
      <c r="I197" s="98" t="s">
        <v>4463</v>
      </c>
      <c r="J197" s="160" t="s">
        <v>4577</v>
      </c>
      <c r="K197" s="166">
        <v>8</v>
      </c>
      <c r="L197" s="239" t="s">
        <v>4678</v>
      </c>
      <c r="M197" s="239" t="s">
        <v>4669</v>
      </c>
      <c r="N197" s="200">
        <v>16</v>
      </c>
      <c r="O197" s="45" t="s">
        <v>4602</v>
      </c>
    </row>
    <row r="198" spans="1:15" ht="15" customHeight="1" x14ac:dyDescent="0.3">
      <c r="A198" s="100" t="s">
        <v>3892</v>
      </c>
      <c r="B198" s="120" t="s">
        <v>4159</v>
      </c>
      <c r="C198" s="174" t="s">
        <v>4293</v>
      </c>
      <c r="D198" s="45" t="s">
        <v>948</v>
      </c>
      <c r="E198" s="45" t="s">
        <v>2986</v>
      </c>
      <c r="F198" s="45">
        <v>530</v>
      </c>
      <c r="G198" s="45" t="s">
        <v>3022</v>
      </c>
      <c r="H198" s="98" t="s">
        <v>4465</v>
      </c>
      <c r="I198" s="98" t="s">
        <v>4463</v>
      </c>
      <c r="J198" s="160" t="s">
        <v>4600</v>
      </c>
      <c r="K198" s="166">
        <v>1</v>
      </c>
      <c r="L198" s="239" t="s">
        <v>4678</v>
      </c>
      <c r="M198" s="239" t="s">
        <v>4669</v>
      </c>
      <c r="N198" s="200">
        <v>16</v>
      </c>
      <c r="O198" s="45" t="s">
        <v>4602</v>
      </c>
    </row>
    <row r="199" spans="1:15" ht="15" customHeight="1" x14ac:dyDescent="0.3">
      <c r="A199" s="100" t="s">
        <v>3893</v>
      </c>
      <c r="B199" s="120" t="s">
        <v>4159</v>
      </c>
      <c r="C199" s="174" t="s">
        <v>4294</v>
      </c>
      <c r="D199" s="45" t="s">
        <v>948</v>
      </c>
      <c r="E199" s="45" t="s">
        <v>2986</v>
      </c>
      <c r="F199" s="45">
        <v>530</v>
      </c>
      <c r="G199" s="45" t="s">
        <v>3022</v>
      </c>
      <c r="H199" s="98" t="s">
        <v>4465</v>
      </c>
      <c r="I199" s="98" t="s">
        <v>4463</v>
      </c>
      <c r="J199" s="160" t="s">
        <v>4600</v>
      </c>
      <c r="K199" s="166">
        <v>2</v>
      </c>
      <c r="L199" s="239" t="s">
        <v>4678</v>
      </c>
      <c r="M199" s="239" t="s">
        <v>4669</v>
      </c>
      <c r="N199" s="200">
        <v>16</v>
      </c>
      <c r="O199" s="45" t="s">
        <v>4602</v>
      </c>
    </row>
    <row r="200" spans="1:15" ht="15" customHeight="1" x14ac:dyDescent="0.3">
      <c r="A200" s="100" t="s">
        <v>3894</v>
      </c>
      <c r="B200" s="120" t="s">
        <v>4159</v>
      </c>
      <c r="C200" s="174" t="s">
        <v>4295</v>
      </c>
      <c r="D200" s="45" t="s">
        <v>948</v>
      </c>
      <c r="E200" s="45" t="s">
        <v>2986</v>
      </c>
      <c r="F200" s="45">
        <v>530</v>
      </c>
      <c r="G200" s="45" t="s">
        <v>3022</v>
      </c>
      <c r="H200" s="98" t="s">
        <v>4465</v>
      </c>
      <c r="I200" s="98" t="s">
        <v>4463</v>
      </c>
      <c r="J200" s="160" t="s">
        <v>4600</v>
      </c>
      <c r="K200" s="166">
        <v>3</v>
      </c>
      <c r="L200" s="239" t="s">
        <v>4679</v>
      </c>
      <c r="M200" s="239" t="s">
        <v>4669</v>
      </c>
      <c r="N200" s="200">
        <v>16</v>
      </c>
      <c r="O200" s="45" t="s">
        <v>4602</v>
      </c>
    </row>
    <row r="201" spans="1:15" ht="15" customHeight="1" x14ac:dyDescent="0.3">
      <c r="A201" s="100" t="s">
        <v>3895</v>
      </c>
      <c r="B201" s="120" t="s">
        <v>4159</v>
      </c>
      <c r="C201" s="174" t="s">
        <v>4296</v>
      </c>
      <c r="D201" s="45" t="s">
        <v>948</v>
      </c>
      <c r="E201" s="45" t="s">
        <v>2986</v>
      </c>
      <c r="F201" s="45">
        <v>530</v>
      </c>
      <c r="G201" s="45" t="s">
        <v>3022</v>
      </c>
      <c r="H201" s="98" t="s">
        <v>4465</v>
      </c>
      <c r="I201" s="98" t="s">
        <v>4463</v>
      </c>
      <c r="J201" s="160" t="s">
        <v>4600</v>
      </c>
      <c r="K201" s="166">
        <v>4</v>
      </c>
      <c r="L201" s="239" t="s">
        <v>4679</v>
      </c>
      <c r="M201" s="239" t="s">
        <v>4669</v>
      </c>
      <c r="N201" s="200">
        <v>16</v>
      </c>
      <c r="O201" s="45" t="s">
        <v>4602</v>
      </c>
    </row>
    <row r="202" spans="1:15" ht="15" customHeight="1" x14ac:dyDescent="0.3">
      <c r="A202" s="100" t="s">
        <v>3896</v>
      </c>
      <c r="B202" s="120" t="s">
        <v>4159</v>
      </c>
      <c r="C202" s="174" t="s">
        <v>4297</v>
      </c>
      <c r="D202" s="45" t="s">
        <v>948</v>
      </c>
      <c r="E202" s="45" t="s">
        <v>2986</v>
      </c>
      <c r="F202" s="45">
        <v>530</v>
      </c>
      <c r="G202" s="45" t="s">
        <v>3022</v>
      </c>
      <c r="H202" s="98" t="s">
        <v>4465</v>
      </c>
      <c r="I202" s="98" t="s">
        <v>4463</v>
      </c>
      <c r="J202" s="160" t="s">
        <v>4600</v>
      </c>
      <c r="K202" s="166">
        <v>5</v>
      </c>
      <c r="L202" s="239" t="s">
        <v>4679</v>
      </c>
      <c r="M202" s="239" t="s">
        <v>4669</v>
      </c>
      <c r="N202" s="200">
        <v>16</v>
      </c>
      <c r="O202" s="45" t="s">
        <v>4602</v>
      </c>
    </row>
    <row r="203" spans="1:15" ht="15" customHeight="1" x14ac:dyDescent="0.3">
      <c r="A203" s="100" t="s">
        <v>3897</v>
      </c>
      <c r="B203" s="120" t="s">
        <v>4159</v>
      </c>
      <c r="C203" s="174" t="s">
        <v>4298</v>
      </c>
      <c r="D203" s="45" t="s">
        <v>948</v>
      </c>
      <c r="E203" s="45" t="s">
        <v>2986</v>
      </c>
      <c r="F203" s="45">
        <v>530</v>
      </c>
      <c r="G203" s="45" t="s">
        <v>3022</v>
      </c>
      <c r="H203" s="98" t="s">
        <v>4465</v>
      </c>
      <c r="I203" s="98" t="s">
        <v>4463</v>
      </c>
      <c r="J203" s="160" t="s">
        <v>4600</v>
      </c>
      <c r="K203" s="166">
        <v>6</v>
      </c>
      <c r="L203" s="239" t="s">
        <v>4679</v>
      </c>
      <c r="M203" s="239" t="s">
        <v>4669</v>
      </c>
      <c r="N203" s="200">
        <v>16</v>
      </c>
      <c r="O203" s="45" t="s">
        <v>4602</v>
      </c>
    </row>
    <row r="204" spans="1:15" ht="15" customHeight="1" x14ac:dyDescent="0.3">
      <c r="A204" s="100" t="s">
        <v>3898</v>
      </c>
      <c r="B204" s="120" t="s">
        <v>4159</v>
      </c>
      <c r="C204" s="174" t="s">
        <v>4299</v>
      </c>
      <c r="D204" s="45" t="s">
        <v>948</v>
      </c>
      <c r="E204" s="45" t="s">
        <v>2986</v>
      </c>
      <c r="F204" s="45">
        <v>530</v>
      </c>
      <c r="G204" s="45" t="s">
        <v>3022</v>
      </c>
      <c r="H204" s="98" t="s">
        <v>4465</v>
      </c>
      <c r="I204" s="98" t="s">
        <v>4463</v>
      </c>
      <c r="J204" s="160" t="s">
        <v>4600</v>
      </c>
      <c r="K204" s="166">
        <v>7</v>
      </c>
      <c r="L204" s="239" t="s">
        <v>4679</v>
      </c>
      <c r="M204" s="239" t="s">
        <v>4669</v>
      </c>
      <c r="N204" s="200">
        <v>16</v>
      </c>
      <c r="O204" s="45" t="s">
        <v>4602</v>
      </c>
    </row>
    <row r="205" spans="1:15" ht="15" customHeight="1" x14ac:dyDescent="0.3">
      <c r="A205" s="100" t="s">
        <v>3899</v>
      </c>
      <c r="B205" s="120" t="s">
        <v>4159</v>
      </c>
      <c r="C205" s="174" t="s">
        <v>4300</v>
      </c>
      <c r="D205" s="45" t="s">
        <v>948</v>
      </c>
      <c r="E205" s="45" t="s">
        <v>2986</v>
      </c>
      <c r="F205" s="45">
        <v>530</v>
      </c>
      <c r="G205" s="45" t="s">
        <v>3022</v>
      </c>
      <c r="H205" s="98" t="s">
        <v>4465</v>
      </c>
      <c r="I205" s="98" t="s">
        <v>4463</v>
      </c>
      <c r="J205" s="160" t="s">
        <v>4600</v>
      </c>
      <c r="K205" s="166">
        <v>8</v>
      </c>
      <c r="L205" s="239" t="s">
        <v>4679</v>
      </c>
      <c r="M205" s="239" t="s">
        <v>4669</v>
      </c>
      <c r="N205" s="200">
        <v>16</v>
      </c>
      <c r="O205" s="45" t="s">
        <v>4602</v>
      </c>
    </row>
    <row r="206" spans="1:15" ht="15" customHeight="1" x14ac:dyDescent="0.3">
      <c r="A206" s="229" t="s">
        <v>3907</v>
      </c>
      <c r="B206" s="120" t="s">
        <v>4154</v>
      </c>
      <c r="C206" s="174" t="s">
        <v>3914</v>
      </c>
      <c r="D206" s="45" t="s">
        <v>948</v>
      </c>
      <c r="E206" s="45" t="s">
        <v>2986</v>
      </c>
      <c r="F206" s="45">
        <v>530</v>
      </c>
      <c r="G206" s="45" t="s">
        <v>3022</v>
      </c>
      <c r="H206" s="98" t="s">
        <v>4461</v>
      </c>
      <c r="I206" s="98" t="s">
        <v>4463</v>
      </c>
      <c r="J206" s="160" t="s">
        <v>4590</v>
      </c>
      <c r="K206" s="166">
        <v>1</v>
      </c>
      <c r="L206" s="239" t="s">
        <v>4672</v>
      </c>
      <c r="M206" s="239" t="s">
        <v>4661</v>
      </c>
      <c r="N206" s="200">
        <v>22</v>
      </c>
      <c r="O206" s="45" t="s">
        <v>4604</v>
      </c>
    </row>
    <row r="207" spans="1:15" ht="15" customHeight="1" x14ac:dyDescent="0.3">
      <c r="A207" s="229" t="s">
        <v>3908</v>
      </c>
      <c r="B207" s="120" t="s">
        <v>4154</v>
      </c>
      <c r="C207" s="174" t="s">
        <v>3915</v>
      </c>
      <c r="D207" s="45" t="s">
        <v>948</v>
      </c>
      <c r="E207" s="45" t="s">
        <v>2986</v>
      </c>
      <c r="F207" s="45">
        <v>530</v>
      </c>
      <c r="G207" s="45" t="s">
        <v>3022</v>
      </c>
      <c r="H207" s="98" t="s">
        <v>4461</v>
      </c>
      <c r="I207" s="98" t="s">
        <v>4463</v>
      </c>
      <c r="J207" s="160" t="s">
        <v>4590</v>
      </c>
      <c r="K207" s="166">
        <v>2</v>
      </c>
      <c r="L207" s="239" t="s">
        <v>4672</v>
      </c>
      <c r="M207" s="239" t="s">
        <v>4661</v>
      </c>
      <c r="N207" s="200">
        <v>22</v>
      </c>
      <c r="O207" s="45" t="s">
        <v>4604</v>
      </c>
    </row>
    <row r="208" spans="1:15" ht="15" customHeight="1" x14ac:dyDescent="0.3">
      <c r="A208" s="229" t="s">
        <v>3909</v>
      </c>
      <c r="B208" s="120" t="s">
        <v>4154</v>
      </c>
      <c r="C208" s="174" t="s">
        <v>3916</v>
      </c>
      <c r="D208" s="45" t="s">
        <v>948</v>
      </c>
      <c r="E208" s="45" t="s">
        <v>2986</v>
      </c>
      <c r="F208" s="45">
        <v>530</v>
      </c>
      <c r="G208" s="45" t="s">
        <v>3022</v>
      </c>
      <c r="H208" s="98" t="s">
        <v>4461</v>
      </c>
      <c r="I208" s="98" t="s">
        <v>4463</v>
      </c>
      <c r="J208" s="160" t="s">
        <v>4590</v>
      </c>
      <c r="K208" s="166">
        <v>3</v>
      </c>
      <c r="L208" s="239" t="s">
        <v>4672</v>
      </c>
      <c r="M208" s="239" t="s">
        <v>4661</v>
      </c>
      <c r="N208" s="200">
        <v>22</v>
      </c>
      <c r="O208" s="45" t="s">
        <v>4604</v>
      </c>
    </row>
    <row r="209" spans="1:15" ht="15" customHeight="1" x14ac:dyDescent="0.3">
      <c r="A209" s="229" t="s">
        <v>3910</v>
      </c>
      <c r="B209" s="120" t="s">
        <v>4154</v>
      </c>
      <c r="C209" s="174" t="s">
        <v>3917</v>
      </c>
      <c r="D209" s="45" t="s">
        <v>948</v>
      </c>
      <c r="E209" s="45" t="s">
        <v>2986</v>
      </c>
      <c r="F209" s="45">
        <v>530</v>
      </c>
      <c r="G209" s="45" t="s">
        <v>3022</v>
      </c>
      <c r="H209" s="98" t="s">
        <v>4461</v>
      </c>
      <c r="I209" s="98" t="s">
        <v>4463</v>
      </c>
      <c r="J209" s="160" t="s">
        <v>4590</v>
      </c>
      <c r="K209" s="166">
        <v>4</v>
      </c>
      <c r="L209" s="239" t="s">
        <v>4672</v>
      </c>
      <c r="M209" s="239" t="s">
        <v>4661</v>
      </c>
      <c r="N209" s="200">
        <v>22</v>
      </c>
      <c r="O209" s="45" t="s">
        <v>4604</v>
      </c>
    </row>
    <row r="210" spans="1:15" ht="15" customHeight="1" thickBot="1" x14ac:dyDescent="0.35">
      <c r="A210" s="230" t="s">
        <v>3911</v>
      </c>
      <c r="B210" s="120" t="s">
        <v>4154</v>
      </c>
      <c r="C210" s="174" t="s">
        <v>3918</v>
      </c>
      <c r="D210" s="45" t="s">
        <v>948</v>
      </c>
      <c r="E210" s="45" t="s">
        <v>2986</v>
      </c>
      <c r="F210" s="45">
        <v>530</v>
      </c>
      <c r="G210" s="45" t="s">
        <v>3022</v>
      </c>
      <c r="H210" s="98" t="s">
        <v>4461</v>
      </c>
      <c r="I210" s="98" t="s">
        <v>4463</v>
      </c>
      <c r="J210" s="160" t="s">
        <v>4590</v>
      </c>
      <c r="K210" s="166">
        <v>5</v>
      </c>
      <c r="L210" s="239" t="s">
        <v>4672</v>
      </c>
      <c r="M210" s="239" t="s">
        <v>4661</v>
      </c>
      <c r="N210" s="200">
        <v>22</v>
      </c>
      <c r="O210" s="45" t="s">
        <v>4604</v>
      </c>
    </row>
    <row r="211" spans="1:15" ht="15" customHeight="1" thickBot="1" x14ac:dyDescent="0.35">
      <c r="A211" s="230" t="s">
        <v>3912</v>
      </c>
      <c r="B211" s="120" t="s">
        <v>4154</v>
      </c>
      <c r="C211" s="174" t="s">
        <v>3919</v>
      </c>
      <c r="D211" s="45" t="s">
        <v>948</v>
      </c>
      <c r="E211" s="45" t="s">
        <v>2986</v>
      </c>
      <c r="F211" s="45">
        <v>530</v>
      </c>
      <c r="G211" s="45" t="s">
        <v>3022</v>
      </c>
      <c r="H211" s="98" t="s">
        <v>4461</v>
      </c>
      <c r="I211" s="98" t="s">
        <v>4463</v>
      </c>
      <c r="J211" s="160" t="s">
        <v>4590</v>
      </c>
      <c r="K211" s="166">
        <v>6</v>
      </c>
      <c r="L211" s="239" t="s">
        <v>4672</v>
      </c>
      <c r="M211" s="239" t="s">
        <v>4661</v>
      </c>
      <c r="N211" s="200">
        <v>22</v>
      </c>
      <c r="O211" s="45" t="s">
        <v>4604</v>
      </c>
    </row>
    <row r="212" spans="1:15" ht="15" customHeight="1" thickBot="1" x14ac:dyDescent="0.35">
      <c r="A212" s="230" t="s">
        <v>3913</v>
      </c>
      <c r="B212" s="120" t="s">
        <v>4154</v>
      </c>
      <c r="C212" s="174" t="s">
        <v>3920</v>
      </c>
      <c r="D212" s="45" t="s">
        <v>948</v>
      </c>
      <c r="E212" s="45" t="s">
        <v>2986</v>
      </c>
      <c r="F212" s="45">
        <v>530</v>
      </c>
      <c r="G212" s="45" t="s">
        <v>3022</v>
      </c>
      <c r="H212" s="98" t="s">
        <v>4461</v>
      </c>
      <c r="I212" s="98" t="s">
        <v>4463</v>
      </c>
      <c r="J212" s="160" t="s">
        <v>4590</v>
      </c>
      <c r="K212" s="166">
        <v>7</v>
      </c>
      <c r="L212" s="239" t="s">
        <v>4672</v>
      </c>
      <c r="M212" s="239" t="s">
        <v>4661</v>
      </c>
      <c r="N212" s="200">
        <v>22</v>
      </c>
      <c r="O212" s="45" t="s">
        <v>4604</v>
      </c>
    </row>
    <row r="213" spans="1:15" ht="15" customHeight="1" thickBot="1" x14ac:dyDescent="0.35">
      <c r="A213" s="231" t="s">
        <v>3921</v>
      </c>
      <c r="B213" s="120" t="s">
        <v>4154</v>
      </c>
      <c r="C213" s="174" t="s">
        <v>115</v>
      </c>
      <c r="D213" s="45" t="s">
        <v>948</v>
      </c>
      <c r="E213" s="45" t="s">
        <v>2986</v>
      </c>
      <c r="F213" s="45">
        <v>500</v>
      </c>
      <c r="G213" s="45" t="s">
        <v>3022</v>
      </c>
      <c r="H213" s="98" t="s">
        <v>4461</v>
      </c>
      <c r="I213" s="98" t="s">
        <v>4463</v>
      </c>
      <c r="J213" s="160" t="s">
        <v>4588</v>
      </c>
      <c r="K213" s="166">
        <v>1</v>
      </c>
      <c r="L213" s="239" t="s">
        <v>4670</v>
      </c>
      <c r="M213" s="239" t="s">
        <v>4669</v>
      </c>
      <c r="N213" s="200">
        <v>16</v>
      </c>
      <c r="O213" s="45" t="s">
        <v>4604</v>
      </c>
    </row>
    <row r="214" spans="1:15" ht="15" customHeight="1" thickBot="1" x14ac:dyDescent="0.35">
      <c r="A214" s="231" t="s">
        <v>3922</v>
      </c>
      <c r="B214" s="120" t="s">
        <v>4154</v>
      </c>
      <c r="C214" s="174" t="s">
        <v>116</v>
      </c>
      <c r="D214" s="45" t="s">
        <v>948</v>
      </c>
      <c r="E214" s="45" t="s">
        <v>2986</v>
      </c>
      <c r="F214" s="45">
        <v>500</v>
      </c>
      <c r="G214" s="45" t="s">
        <v>3022</v>
      </c>
      <c r="H214" s="98" t="s">
        <v>4461</v>
      </c>
      <c r="I214" s="98" t="s">
        <v>4463</v>
      </c>
      <c r="J214" s="160" t="s">
        <v>4588</v>
      </c>
      <c r="K214" s="166">
        <v>2</v>
      </c>
      <c r="L214" s="239" t="s">
        <v>4670</v>
      </c>
      <c r="M214" s="239" t="s">
        <v>4669</v>
      </c>
      <c r="N214" s="200">
        <v>16</v>
      </c>
      <c r="O214" s="45" t="s">
        <v>4604</v>
      </c>
    </row>
    <row r="215" spans="1:15" ht="15" customHeight="1" thickBot="1" x14ac:dyDescent="0.35">
      <c r="A215" s="231" t="s">
        <v>3923</v>
      </c>
      <c r="B215" s="120" t="s">
        <v>4154</v>
      </c>
      <c r="C215" s="174" t="s">
        <v>117</v>
      </c>
      <c r="D215" s="45" t="s">
        <v>948</v>
      </c>
      <c r="E215" s="45" t="s">
        <v>2986</v>
      </c>
      <c r="F215" s="45">
        <v>500</v>
      </c>
      <c r="G215" s="45" t="s">
        <v>3022</v>
      </c>
      <c r="H215" s="98" t="s">
        <v>4461</v>
      </c>
      <c r="I215" s="98" t="s">
        <v>4463</v>
      </c>
      <c r="J215" s="160" t="s">
        <v>4588</v>
      </c>
      <c r="K215" s="166">
        <v>3</v>
      </c>
      <c r="L215" s="239" t="s">
        <v>4671</v>
      </c>
      <c r="M215" s="239" t="s">
        <v>4669</v>
      </c>
      <c r="N215" s="200">
        <v>16</v>
      </c>
      <c r="O215" s="45" t="s">
        <v>4604</v>
      </c>
    </row>
    <row r="216" spans="1:15" ht="15" customHeight="1" thickBot="1" x14ac:dyDescent="0.35">
      <c r="A216" s="231" t="s">
        <v>3924</v>
      </c>
      <c r="B216" s="120" t="s">
        <v>4154</v>
      </c>
      <c r="C216" s="174" t="s">
        <v>118</v>
      </c>
      <c r="D216" s="45" t="s">
        <v>948</v>
      </c>
      <c r="E216" s="45" t="s">
        <v>2986</v>
      </c>
      <c r="F216" s="45">
        <v>500</v>
      </c>
      <c r="G216" s="45" t="s">
        <v>3022</v>
      </c>
      <c r="H216" s="98" t="s">
        <v>4461</v>
      </c>
      <c r="I216" s="98" t="s">
        <v>4463</v>
      </c>
      <c r="J216" s="160" t="s">
        <v>4588</v>
      </c>
      <c r="K216" s="166">
        <v>4</v>
      </c>
      <c r="L216" s="239" t="s">
        <v>4671</v>
      </c>
      <c r="M216" s="239" t="s">
        <v>4669</v>
      </c>
      <c r="N216" s="200">
        <v>16</v>
      </c>
      <c r="O216" s="45" t="s">
        <v>4604</v>
      </c>
    </row>
    <row r="217" spans="1:15" ht="15" customHeight="1" x14ac:dyDescent="0.3">
      <c r="A217" s="100" t="s">
        <v>3925</v>
      </c>
      <c r="B217" s="120" t="s">
        <v>4154</v>
      </c>
      <c r="C217" s="174" t="s">
        <v>119</v>
      </c>
      <c r="D217" s="45" t="s">
        <v>948</v>
      </c>
      <c r="E217" s="45" t="s">
        <v>2986</v>
      </c>
      <c r="F217" s="45">
        <v>500</v>
      </c>
      <c r="G217" s="45" t="s">
        <v>3022</v>
      </c>
      <c r="H217" s="98" t="s">
        <v>4461</v>
      </c>
      <c r="I217" s="98" t="s">
        <v>4463</v>
      </c>
      <c r="J217" s="160" t="s">
        <v>4588</v>
      </c>
      <c r="K217" s="166">
        <v>5</v>
      </c>
      <c r="L217" s="239" t="s">
        <v>4671</v>
      </c>
      <c r="M217" s="239" t="s">
        <v>4669</v>
      </c>
      <c r="N217" s="200">
        <v>16</v>
      </c>
      <c r="O217" s="45" t="s">
        <v>4604</v>
      </c>
    </row>
    <row r="218" spans="1:15" ht="15" customHeight="1" x14ac:dyDescent="0.3">
      <c r="A218" s="100" t="s">
        <v>3926</v>
      </c>
      <c r="B218" s="120" t="s">
        <v>4154</v>
      </c>
      <c r="C218" s="174" t="s">
        <v>120</v>
      </c>
      <c r="D218" s="45" t="s">
        <v>948</v>
      </c>
      <c r="E218" s="45" t="s">
        <v>2986</v>
      </c>
      <c r="F218" s="45">
        <v>500</v>
      </c>
      <c r="G218" s="45" t="s">
        <v>3022</v>
      </c>
      <c r="H218" s="98" t="s">
        <v>4461</v>
      </c>
      <c r="I218" s="98" t="s">
        <v>4463</v>
      </c>
      <c r="J218" s="160" t="s">
        <v>4588</v>
      </c>
      <c r="K218" s="166">
        <v>6</v>
      </c>
      <c r="L218" s="239" t="s">
        <v>4671</v>
      </c>
      <c r="M218" s="239" t="s">
        <v>4669</v>
      </c>
      <c r="N218" s="200">
        <v>16</v>
      </c>
      <c r="O218" s="45" t="s">
        <v>4604</v>
      </c>
    </row>
    <row r="219" spans="1:15" ht="15" customHeight="1" x14ac:dyDescent="0.3">
      <c r="A219" s="100" t="s">
        <v>3927</v>
      </c>
      <c r="B219" s="120" t="s">
        <v>4154</v>
      </c>
      <c r="C219" s="174" t="s">
        <v>121</v>
      </c>
      <c r="D219" s="45" t="s">
        <v>948</v>
      </c>
      <c r="E219" s="45" t="s">
        <v>2986</v>
      </c>
      <c r="F219" s="45">
        <v>500</v>
      </c>
      <c r="G219" s="45" t="s">
        <v>3022</v>
      </c>
      <c r="H219" s="98" t="s">
        <v>4461</v>
      </c>
      <c r="I219" s="98" t="s">
        <v>4463</v>
      </c>
      <c r="J219" s="160" t="s">
        <v>4588</v>
      </c>
      <c r="K219" s="166">
        <v>7</v>
      </c>
      <c r="L219" s="239" t="s">
        <v>4671</v>
      </c>
      <c r="M219" s="239" t="s">
        <v>4669</v>
      </c>
      <c r="N219" s="200">
        <v>16</v>
      </c>
      <c r="O219" s="45" t="s">
        <v>4604</v>
      </c>
    </row>
    <row r="220" spans="1:15" s="4" customFormat="1" ht="15" customHeight="1" x14ac:dyDescent="0.3">
      <c r="A220" s="100" t="s">
        <v>3928</v>
      </c>
      <c r="B220" s="120" t="s">
        <v>4154</v>
      </c>
      <c r="C220" s="174" t="s">
        <v>122</v>
      </c>
      <c r="D220" s="45" t="s">
        <v>948</v>
      </c>
      <c r="E220" s="45" t="s">
        <v>2986</v>
      </c>
      <c r="F220" s="45">
        <v>500</v>
      </c>
      <c r="G220" s="45" t="s">
        <v>3022</v>
      </c>
      <c r="H220" s="98" t="s">
        <v>4461</v>
      </c>
      <c r="I220" s="98" t="s">
        <v>4463</v>
      </c>
      <c r="J220" s="160" t="s">
        <v>4588</v>
      </c>
      <c r="K220" s="166">
        <v>8</v>
      </c>
      <c r="L220" s="239" t="s">
        <v>4671</v>
      </c>
      <c r="M220" s="239" t="s">
        <v>4669</v>
      </c>
      <c r="N220" s="200">
        <v>16</v>
      </c>
      <c r="O220" s="45" t="s">
        <v>4604</v>
      </c>
    </row>
    <row r="221" spans="1:15" ht="15" customHeight="1" x14ac:dyDescent="0.3">
      <c r="A221" s="100" t="s">
        <v>3929</v>
      </c>
      <c r="B221" s="120" t="s">
        <v>4154</v>
      </c>
      <c r="C221" s="174" t="s">
        <v>123</v>
      </c>
      <c r="D221" s="45" t="s">
        <v>948</v>
      </c>
      <c r="E221" s="45" t="s">
        <v>2986</v>
      </c>
      <c r="F221" s="45">
        <v>500</v>
      </c>
      <c r="G221" s="45" t="s">
        <v>3022</v>
      </c>
      <c r="H221" s="98" t="s">
        <v>4461</v>
      </c>
      <c r="I221" s="98" t="s">
        <v>4463</v>
      </c>
      <c r="J221" s="160" t="s">
        <v>4589</v>
      </c>
      <c r="K221" s="166">
        <v>1</v>
      </c>
      <c r="L221" s="239" t="s">
        <v>4671</v>
      </c>
      <c r="M221" s="239" t="s">
        <v>4669</v>
      </c>
      <c r="N221" s="200">
        <v>16</v>
      </c>
      <c r="O221" s="45" t="s">
        <v>4604</v>
      </c>
    </row>
    <row r="222" spans="1:15" ht="15" customHeight="1" x14ac:dyDescent="0.3">
      <c r="A222" s="100" t="s">
        <v>3930</v>
      </c>
      <c r="B222" s="120" t="s">
        <v>4154</v>
      </c>
      <c r="C222" s="174" t="s">
        <v>124</v>
      </c>
      <c r="D222" s="45" t="s">
        <v>948</v>
      </c>
      <c r="E222" s="45" t="s">
        <v>2986</v>
      </c>
      <c r="F222" s="45">
        <v>500</v>
      </c>
      <c r="G222" s="45" t="s">
        <v>3022</v>
      </c>
      <c r="H222" s="98" t="s">
        <v>4461</v>
      </c>
      <c r="I222" s="98" t="s">
        <v>4463</v>
      </c>
      <c r="J222" s="160" t="s">
        <v>4589</v>
      </c>
      <c r="K222" s="166">
        <v>2</v>
      </c>
      <c r="L222" s="239" t="s">
        <v>4671</v>
      </c>
      <c r="M222" s="239" t="s">
        <v>4669</v>
      </c>
      <c r="N222" s="200">
        <v>16</v>
      </c>
      <c r="O222" s="45" t="s">
        <v>4604</v>
      </c>
    </row>
    <row r="223" spans="1:15" s="4" customFormat="1" ht="15" customHeight="1" x14ac:dyDescent="0.3">
      <c r="A223" s="100" t="s">
        <v>3931</v>
      </c>
      <c r="B223" s="120" t="s">
        <v>4154</v>
      </c>
      <c r="C223" s="174" t="s">
        <v>125</v>
      </c>
      <c r="D223" s="45" t="s">
        <v>948</v>
      </c>
      <c r="E223" s="45" t="s">
        <v>2986</v>
      </c>
      <c r="F223" s="45">
        <v>500</v>
      </c>
      <c r="G223" s="45" t="s">
        <v>3022</v>
      </c>
      <c r="H223" s="98" t="s">
        <v>4461</v>
      </c>
      <c r="I223" s="98" t="s">
        <v>4463</v>
      </c>
      <c r="J223" s="160" t="s">
        <v>4589</v>
      </c>
      <c r="K223" s="166">
        <v>3</v>
      </c>
      <c r="L223" s="239" t="s">
        <v>4672</v>
      </c>
      <c r="M223" s="239" t="s">
        <v>4661</v>
      </c>
      <c r="N223" s="200">
        <v>22</v>
      </c>
      <c r="O223" s="45" t="s">
        <v>4604</v>
      </c>
    </row>
    <row r="224" spans="1:15" ht="15" customHeight="1" x14ac:dyDescent="0.3">
      <c r="A224" s="100" t="s">
        <v>3802</v>
      </c>
      <c r="B224" s="120" t="s">
        <v>4154</v>
      </c>
      <c r="C224" s="174" t="s">
        <v>126</v>
      </c>
      <c r="D224" s="45" t="s">
        <v>948</v>
      </c>
      <c r="E224" s="45" t="s">
        <v>2986</v>
      </c>
      <c r="F224" s="45">
        <v>500</v>
      </c>
      <c r="G224" s="45" t="s">
        <v>3022</v>
      </c>
      <c r="H224" s="98" t="s">
        <v>4461</v>
      </c>
      <c r="I224" s="98" t="s">
        <v>4463</v>
      </c>
      <c r="J224" s="160" t="s">
        <v>4589</v>
      </c>
      <c r="K224" s="166">
        <v>4</v>
      </c>
      <c r="L224" s="239" t="s">
        <v>4672</v>
      </c>
      <c r="M224" s="239" t="s">
        <v>4661</v>
      </c>
      <c r="N224" s="200">
        <v>22</v>
      </c>
      <c r="O224" s="45" t="s">
        <v>4604</v>
      </c>
    </row>
    <row r="225" spans="1:15" ht="15" customHeight="1" x14ac:dyDescent="0.3">
      <c r="A225" s="100" t="s">
        <v>3803</v>
      </c>
      <c r="B225" s="120" t="s">
        <v>4154</v>
      </c>
      <c r="C225" s="174" t="s">
        <v>127</v>
      </c>
      <c r="D225" s="45" t="s">
        <v>948</v>
      </c>
      <c r="E225" s="45" t="s">
        <v>2986</v>
      </c>
      <c r="F225" s="45">
        <v>500</v>
      </c>
      <c r="G225" s="45" t="s">
        <v>3022</v>
      </c>
      <c r="H225" s="98" t="s">
        <v>4461</v>
      </c>
      <c r="I225" s="98" t="s">
        <v>4463</v>
      </c>
      <c r="J225" s="160" t="s">
        <v>4589</v>
      </c>
      <c r="K225" s="166">
        <v>5</v>
      </c>
      <c r="L225" s="239" t="s">
        <v>4672</v>
      </c>
      <c r="M225" s="239" t="s">
        <v>4661</v>
      </c>
      <c r="N225" s="200">
        <v>22</v>
      </c>
      <c r="O225" s="45" t="s">
        <v>4604</v>
      </c>
    </row>
    <row r="226" spans="1:15" ht="15" customHeight="1" x14ac:dyDescent="0.3">
      <c r="A226" s="100" t="s">
        <v>3804</v>
      </c>
      <c r="B226" s="120" t="s">
        <v>4154</v>
      </c>
      <c r="C226" s="174" t="s">
        <v>128</v>
      </c>
      <c r="D226" s="45" t="s">
        <v>948</v>
      </c>
      <c r="E226" s="45" t="s">
        <v>2986</v>
      </c>
      <c r="F226" s="45">
        <v>500</v>
      </c>
      <c r="G226" s="45" t="s">
        <v>3022</v>
      </c>
      <c r="H226" s="98" t="s">
        <v>4461</v>
      </c>
      <c r="I226" s="98" t="s">
        <v>4463</v>
      </c>
      <c r="J226" s="160" t="s">
        <v>4589</v>
      </c>
      <c r="K226" s="166">
        <v>6</v>
      </c>
      <c r="L226" s="239" t="s">
        <v>4672</v>
      </c>
      <c r="M226" s="239" t="s">
        <v>4661</v>
      </c>
      <c r="N226" s="200">
        <v>22</v>
      </c>
      <c r="O226" s="45" t="s">
        <v>4604</v>
      </c>
    </row>
    <row r="227" spans="1:15" ht="15" customHeight="1" x14ac:dyDescent="0.3">
      <c r="A227" s="192" t="s">
        <v>3944</v>
      </c>
      <c r="B227" s="120" t="s">
        <v>4158</v>
      </c>
      <c r="C227" s="174" t="s">
        <v>129</v>
      </c>
      <c r="D227" s="45" t="s">
        <v>948</v>
      </c>
      <c r="E227" s="45" t="s">
        <v>2986</v>
      </c>
      <c r="F227" s="45">
        <v>530</v>
      </c>
      <c r="G227" s="45" t="s">
        <v>3022</v>
      </c>
      <c r="H227" s="98" t="s">
        <v>4465</v>
      </c>
      <c r="I227" s="98" t="s">
        <v>4463</v>
      </c>
      <c r="J227" s="160" t="s">
        <v>4589</v>
      </c>
      <c r="K227" s="166">
        <v>7</v>
      </c>
      <c r="L227" s="239" t="s">
        <v>4675</v>
      </c>
      <c r="M227" s="239" t="s">
        <v>4661</v>
      </c>
      <c r="N227" s="200">
        <v>24</v>
      </c>
      <c r="O227" s="45" t="s">
        <v>4602</v>
      </c>
    </row>
    <row r="228" spans="1:15" ht="15" customHeight="1" x14ac:dyDescent="0.3">
      <c r="A228" s="192" t="s">
        <v>3945</v>
      </c>
      <c r="B228" s="120" t="s">
        <v>4158</v>
      </c>
      <c r="C228" s="174" t="s">
        <v>4301</v>
      </c>
      <c r="D228" s="45" t="s">
        <v>948</v>
      </c>
      <c r="E228" s="45" t="s">
        <v>2986</v>
      </c>
      <c r="F228" s="45">
        <v>530</v>
      </c>
      <c r="G228" s="45" t="s">
        <v>3022</v>
      </c>
      <c r="H228" s="98" t="s">
        <v>4465</v>
      </c>
      <c r="I228" s="98" t="s">
        <v>4463</v>
      </c>
      <c r="J228" s="160" t="s">
        <v>4589</v>
      </c>
      <c r="K228" s="166">
        <v>8</v>
      </c>
      <c r="L228" s="239" t="s">
        <v>4675</v>
      </c>
      <c r="M228" s="239" t="s">
        <v>4661</v>
      </c>
      <c r="N228" s="200">
        <v>24</v>
      </c>
      <c r="O228" s="45" t="s">
        <v>4602</v>
      </c>
    </row>
    <row r="229" spans="1:15" ht="15" customHeight="1" x14ac:dyDescent="0.3">
      <c r="A229" s="192" t="s">
        <v>3946</v>
      </c>
      <c r="B229" s="120" t="s">
        <v>4158</v>
      </c>
      <c r="C229" s="174" t="s">
        <v>4302</v>
      </c>
      <c r="D229" s="45" t="s">
        <v>948</v>
      </c>
      <c r="E229" s="45" t="s">
        <v>2986</v>
      </c>
      <c r="F229" s="45">
        <v>530</v>
      </c>
      <c r="G229" s="45" t="s">
        <v>3022</v>
      </c>
      <c r="H229" s="98" t="s">
        <v>4465</v>
      </c>
      <c r="I229" s="98" t="s">
        <v>4463</v>
      </c>
      <c r="J229" s="160" t="s">
        <v>4597</v>
      </c>
      <c r="K229" s="166">
        <v>1</v>
      </c>
      <c r="L229" s="239" t="s">
        <v>4675</v>
      </c>
      <c r="M229" s="239" t="s">
        <v>4661</v>
      </c>
      <c r="N229" s="200">
        <v>24</v>
      </c>
      <c r="O229" s="45" t="s">
        <v>4602</v>
      </c>
    </row>
    <row r="230" spans="1:15" ht="15" customHeight="1" x14ac:dyDescent="0.3">
      <c r="A230" s="192" t="s">
        <v>3947</v>
      </c>
      <c r="B230" s="120" t="s">
        <v>4158</v>
      </c>
      <c r="C230" s="174" t="s">
        <v>4303</v>
      </c>
      <c r="D230" s="45" t="s">
        <v>948</v>
      </c>
      <c r="E230" s="45" t="s">
        <v>2986</v>
      </c>
      <c r="F230" s="45">
        <v>530</v>
      </c>
      <c r="G230" s="45" t="s">
        <v>3022</v>
      </c>
      <c r="H230" s="98" t="s">
        <v>4465</v>
      </c>
      <c r="I230" s="98" t="s">
        <v>4463</v>
      </c>
      <c r="J230" s="160" t="s">
        <v>4597</v>
      </c>
      <c r="K230" s="166">
        <v>2</v>
      </c>
      <c r="L230" s="239" t="s">
        <v>4675</v>
      </c>
      <c r="M230" s="239" t="s">
        <v>4661</v>
      </c>
      <c r="N230" s="200">
        <v>24</v>
      </c>
      <c r="O230" s="45" t="s">
        <v>4602</v>
      </c>
    </row>
    <row r="231" spans="1:15" ht="15" customHeight="1" x14ac:dyDescent="0.3">
      <c r="A231" s="155" t="s">
        <v>3948</v>
      </c>
      <c r="B231" s="120" t="s">
        <v>4158</v>
      </c>
      <c r="C231" s="174" t="s">
        <v>4304</v>
      </c>
      <c r="D231" s="45" t="s">
        <v>948</v>
      </c>
      <c r="E231" s="45" t="s">
        <v>2986</v>
      </c>
      <c r="F231" s="45">
        <v>530</v>
      </c>
      <c r="G231" s="45" t="s">
        <v>3022</v>
      </c>
      <c r="H231" s="98" t="s">
        <v>4465</v>
      </c>
      <c r="I231" s="98" t="s">
        <v>4463</v>
      </c>
      <c r="J231" s="160" t="s">
        <v>4597</v>
      </c>
      <c r="K231" s="166">
        <v>3</v>
      </c>
      <c r="L231" s="239" t="s">
        <v>4675</v>
      </c>
      <c r="M231" s="239" t="s">
        <v>4661</v>
      </c>
      <c r="N231" s="200">
        <v>24</v>
      </c>
      <c r="O231" s="45" t="s">
        <v>4602</v>
      </c>
    </row>
    <row r="232" spans="1:15" ht="15" customHeight="1" x14ac:dyDescent="0.3">
      <c r="A232" s="155" t="s">
        <v>3949</v>
      </c>
      <c r="B232" s="120" t="s">
        <v>4158</v>
      </c>
      <c r="C232" s="174" t="s">
        <v>4305</v>
      </c>
      <c r="D232" s="45" t="s">
        <v>948</v>
      </c>
      <c r="E232" s="45" t="s">
        <v>2986</v>
      </c>
      <c r="F232" s="45">
        <v>530</v>
      </c>
      <c r="G232" s="45" t="s">
        <v>3022</v>
      </c>
      <c r="H232" s="98" t="s">
        <v>4465</v>
      </c>
      <c r="I232" s="98" t="s">
        <v>4463</v>
      </c>
      <c r="J232" s="160" t="s">
        <v>4597</v>
      </c>
      <c r="K232" s="166">
        <v>4</v>
      </c>
      <c r="L232" s="239" t="s">
        <v>4675</v>
      </c>
      <c r="M232" s="239" t="s">
        <v>4661</v>
      </c>
      <c r="N232" s="200">
        <v>24</v>
      </c>
      <c r="O232" s="45" t="s">
        <v>4602</v>
      </c>
    </row>
    <row r="233" spans="1:15" ht="15" customHeight="1" x14ac:dyDescent="0.3">
      <c r="A233" s="155" t="s">
        <v>3950</v>
      </c>
      <c r="B233" s="120" t="s">
        <v>4158</v>
      </c>
      <c r="C233" s="174" t="s">
        <v>4306</v>
      </c>
      <c r="D233" s="45" t="s">
        <v>948</v>
      </c>
      <c r="E233" s="45" t="s">
        <v>2986</v>
      </c>
      <c r="F233" s="45">
        <v>530</v>
      </c>
      <c r="G233" s="45" t="s">
        <v>3022</v>
      </c>
      <c r="H233" s="98" t="s">
        <v>4465</v>
      </c>
      <c r="I233" s="98" t="s">
        <v>4463</v>
      </c>
      <c r="J233" s="160" t="s">
        <v>4597</v>
      </c>
      <c r="K233" s="166">
        <v>5</v>
      </c>
      <c r="L233" s="239" t="s">
        <v>4676</v>
      </c>
      <c r="M233" s="239" t="s">
        <v>4661</v>
      </c>
      <c r="N233" s="200">
        <v>24</v>
      </c>
      <c r="O233" s="45" t="s">
        <v>4602</v>
      </c>
    </row>
    <row r="234" spans="1:15" ht="15" customHeight="1" x14ac:dyDescent="0.3">
      <c r="A234" s="155" t="s">
        <v>3951</v>
      </c>
      <c r="B234" s="120" t="s">
        <v>4158</v>
      </c>
      <c r="C234" s="174" t="s">
        <v>4307</v>
      </c>
      <c r="D234" s="45" t="s">
        <v>948</v>
      </c>
      <c r="E234" s="45" t="s">
        <v>2986</v>
      </c>
      <c r="F234" s="45">
        <v>530</v>
      </c>
      <c r="G234" s="45" t="s">
        <v>3022</v>
      </c>
      <c r="H234" s="98" t="s">
        <v>4465</v>
      </c>
      <c r="I234" s="98" t="s">
        <v>4463</v>
      </c>
      <c r="J234" s="160" t="s">
        <v>4597</v>
      </c>
      <c r="K234" s="166">
        <v>6</v>
      </c>
      <c r="L234" s="239" t="s">
        <v>4676</v>
      </c>
      <c r="M234" s="239" t="s">
        <v>4661</v>
      </c>
      <c r="N234" s="200">
        <v>24</v>
      </c>
      <c r="O234" s="45" t="s">
        <v>4602</v>
      </c>
    </row>
    <row r="235" spans="1:15" ht="15" customHeight="1" x14ac:dyDescent="0.3">
      <c r="A235" s="155" t="s">
        <v>3952</v>
      </c>
      <c r="B235" s="120" t="s">
        <v>4158</v>
      </c>
      <c r="C235" s="174" t="s">
        <v>4308</v>
      </c>
      <c r="D235" s="45" t="s">
        <v>948</v>
      </c>
      <c r="E235" s="45" t="s">
        <v>2986</v>
      </c>
      <c r="F235" s="45">
        <v>530</v>
      </c>
      <c r="G235" s="45" t="s">
        <v>3022</v>
      </c>
      <c r="H235" s="98" t="s">
        <v>4465</v>
      </c>
      <c r="I235" s="98" t="s">
        <v>4463</v>
      </c>
      <c r="J235" s="160" t="s">
        <v>4597</v>
      </c>
      <c r="K235" s="166">
        <v>7</v>
      </c>
      <c r="L235" s="239" t="s">
        <v>4676</v>
      </c>
      <c r="M235" s="239" t="s">
        <v>4661</v>
      </c>
      <c r="N235" s="200">
        <v>24</v>
      </c>
      <c r="O235" s="45" t="s">
        <v>4602</v>
      </c>
    </row>
    <row r="236" spans="1:15" ht="15" customHeight="1" x14ac:dyDescent="0.3">
      <c r="A236" s="155" t="s">
        <v>3953</v>
      </c>
      <c r="B236" s="120" t="s">
        <v>4158</v>
      </c>
      <c r="C236" s="174" t="s">
        <v>4309</v>
      </c>
      <c r="D236" s="45" t="s">
        <v>948</v>
      </c>
      <c r="E236" s="45" t="s">
        <v>2986</v>
      </c>
      <c r="F236" s="45">
        <v>530</v>
      </c>
      <c r="G236" s="45" t="s">
        <v>3022</v>
      </c>
      <c r="H236" s="98" t="s">
        <v>4465</v>
      </c>
      <c r="I236" s="98" t="s">
        <v>4463</v>
      </c>
      <c r="J236" s="160" t="s">
        <v>4597</v>
      </c>
      <c r="K236" s="166">
        <v>8</v>
      </c>
      <c r="L236" s="239" t="s">
        <v>4676</v>
      </c>
      <c r="M236" s="239" t="s">
        <v>4661</v>
      </c>
      <c r="N236" s="200">
        <v>24</v>
      </c>
      <c r="O236" s="45" t="s">
        <v>4602</v>
      </c>
    </row>
    <row r="237" spans="1:15" ht="15" customHeight="1" x14ac:dyDescent="0.3">
      <c r="A237" s="155" t="s">
        <v>3954</v>
      </c>
      <c r="B237" s="120" t="s">
        <v>4158</v>
      </c>
      <c r="C237" s="174" t="s">
        <v>4310</v>
      </c>
      <c r="D237" s="45" t="s">
        <v>948</v>
      </c>
      <c r="E237" s="45" t="s">
        <v>2986</v>
      </c>
      <c r="F237" s="45">
        <v>530</v>
      </c>
      <c r="G237" s="45" t="s">
        <v>3022</v>
      </c>
      <c r="H237" s="98" t="s">
        <v>4465</v>
      </c>
      <c r="I237" s="98" t="s">
        <v>4463</v>
      </c>
      <c r="J237" s="160" t="s">
        <v>4598</v>
      </c>
      <c r="K237" s="166">
        <v>1</v>
      </c>
      <c r="L237" s="239" t="s">
        <v>4676</v>
      </c>
      <c r="M237" s="239" t="s">
        <v>4661</v>
      </c>
      <c r="N237" s="200">
        <v>24</v>
      </c>
      <c r="O237" s="45" t="s">
        <v>4602</v>
      </c>
    </row>
    <row r="238" spans="1:15" ht="15" customHeight="1" x14ac:dyDescent="0.3">
      <c r="A238" s="155" t="s">
        <v>3955</v>
      </c>
      <c r="B238" s="120" t="s">
        <v>4158</v>
      </c>
      <c r="C238" s="174" t="s">
        <v>4311</v>
      </c>
      <c r="D238" s="45" t="s">
        <v>948</v>
      </c>
      <c r="E238" s="45" t="s">
        <v>2986</v>
      </c>
      <c r="F238" s="45">
        <v>530</v>
      </c>
      <c r="G238" s="45" t="s">
        <v>3022</v>
      </c>
      <c r="H238" s="98" t="s">
        <v>4465</v>
      </c>
      <c r="I238" s="98" t="s">
        <v>4463</v>
      </c>
      <c r="J238" s="160" t="s">
        <v>4598</v>
      </c>
      <c r="K238" s="166">
        <v>2</v>
      </c>
      <c r="L238" s="239" t="s">
        <v>4676</v>
      </c>
      <c r="M238" s="239" t="s">
        <v>4661</v>
      </c>
      <c r="N238" s="200">
        <v>24</v>
      </c>
      <c r="O238" s="45" t="s">
        <v>4602</v>
      </c>
    </row>
    <row r="239" spans="1:15" ht="15" customHeight="1" x14ac:dyDescent="0.3">
      <c r="A239" s="155" t="s">
        <v>3956</v>
      </c>
      <c r="B239" s="120" t="s">
        <v>4158</v>
      </c>
      <c r="C239" s="174" t="s">
        <v>4312</v>
      </c>
      <c r="D239" s="45" t="s">
        <v>948</v>
      </c>
      <c r="E239" s="45" t="s">
        <v>2986</v>
      </c>
      <c r="F239" s="45">
        <v>530</v>
      </c>
      <c r="G239" s="45" t="s">
        <v>3022</v>
      </c>
      <c r="H239" s="98" t="s">
        <v>4465</v>
      </c>
      <c r="I239" s="98" t="s">
        <v>4463</v>
      </c>
      <c r="J239" s="160" t="s">
        <v>4598</v>
      </c>
      <c r="K239" s="166">
        <v>3</v>
      </c>
      <c r="L239" s="239" t="s">
        <v>4676</v>
      </c>
      <c r="M239" s="239" t="s">
        <v>4661</v>
      </c>
      <c r="N239" s="200">
        <v>24</v>
      </c>
      <c r="O239" s="45" t="s">
        <v>4602</v>
      </c>
    </row>
    <row r="240" spans="1:15" ht="15" customHeight="1" x14ac:dyDescent="0.3">
      <c r="A240" s="155" t="s">
        <v>3957</v>
      </c>
      <c r="B240" s="120" t="s">
        <v>4158</v>
      </c>
      <c r="C240" s="174" t="s">
        <v>4313</v>
      </c>
      <c r="D240" s="45" t="s">
        <v>948</v>
      </c>
      <c r="E240" s="45" t="s">
        <v>2986</v>
      </c>
      <c r="F240" s="45">
        <v>530</v>
      </c>
      <c r="G240" s="45" t="s">
        <v>3022</v>
      </c>
      <c r="H240" s="98" t="s">
        <v>4465</v>
      </c>
      <c r="I240" s="98" t="s">
        <v>4463</v>
      </c>
      <c r="J240" s="160" t="s">
        <v>4598</v>
      </c>
      <c r="K240" s="166">
        <v>4</v>
      </c>
      <c r="L240" s="239" t="s">
        <v>4676</v>
      </c>
      <c r="M240" s="239" t="s">
        <v>4661</v>
      </c>
      <c r="N240" s="200">
        <v>24</v>
      </c>
      <c r="O240" s="45" t="s">
        <v>4602</v>
      </c>
    </row>
    <row r="241" spans="1:15" ht="15" customHeight="1" x14ac:dyDescent="0.3">
      <c r="A241" s="155" t="s">
        <v>3958</v>
      </c>
      <c r="B241" s="120" t="s">
        <v>4158</v>
      </c>
      <c r="C241" s="174" t="s">
        <v>4314</v>
      </c>
      <c r="D241" s="45" t="s">
        <v>948</v>
      </c>
      <c r="E241" s="45" t="s">
        <v>2986</v>
      </c>
      <c r="F241" s="45">
        <v>530</v>
      </c>
      <c r="G241" s="45" t="s">
        <v>3022</v>
      </c>
      <c r="H241" s="98" t="s">
        <v>4465</v>
      </c>
      <c r="I241" s="98" t="s">
        <v>4463</v>
      </c>
      <c r="J241" s="160" t="s">
        <v>4598</v>
      </c>
      <c r="K241" s="166">
        <v>5</v>
      </c>
      <c r="L241" s="239" t="s">
        <v>4676</v>
      </c>
      <c r="M241" s="239" t="s">
        <v>4661</v>
      </c>
      <c r="N241" s="200">
        <v>24</v>
      </c>
      <c r="O241" s="45" t="s">
        <v>4602</v>
      </c>
    </row>
    <row r="242" spans="1:15" ht="15" customHeight="1" x14ac:dyDescent="0.3">
      <c r="A242" s="155" t="s">
        <v>3959</v>
      </c>
      <c r="B242" s="120" t="s">
        <v>4158</v>
      </c>
      <c r="C242" s="174" t="s">
        <v>4315</v>
      </c>
      <c r="D242" s="45" t="s">
        <v>948</v>
      </c>
      <c r="E242" s="45" t="s">
        <v>2986</v>
      </c>
      <c r="F242" s="45">
        <v>530</v>
      </c>
      <c r="G242" s="45" t="s">
        <v>3022</v>
      </c>
      <c r="H242" s="98" t="s">
        <v>4465</v>
      </c>
      <c r="I242" s="98" t="s">
        <v>4463</v>
      </c>
      <c r="J242" s="160" t="s">
        <v>4598</v>
      </c>
      <c r="K242" s="166">
        <v>6</v>
      </c>
      <c r="L242" s="239" t="s">
        <v>4676</v>
      </c>
      <c r="M242" s="239" t="s">
        <v>4661</v>
      </c>
      <c r="N242" s="200">
        <v>24</v>
      </c>
      <c r="O242" s="45" t="s">
        <v>4602</v>
      </c>
    </row>
    <row r="243" spans="1:15" ht="15" customHeight="1" x14ac:dyDescent="0.3">
      <c r="A243" s="155" t="s">
        <v>3960</v>
      </c>
      <c r="B243" s="120" t="s">
        <v>4158</v>
      </c>
      <c r="C243" s="174" t="s">
        <v>4316</v>
      </c>
      <c r="D243" s="45" t="s">
        <v>948</v>
      </c>
      <c r="E243" s="45" t="s">
        <v>2986</v>
      </c>
      <c r="F243" s="45">
        <v>530</v>
      </c>
      <c r="G243" s="45" t="s">
        <v>3022</v>
      </c>
      <c r="H243" s="98" t="s">
        <v>4465</v>
      </c>
      <c r="I243" s="98" t="s">
        <v>4463</v>
      </c>
      <c r="J243" s="160" t="s">
        <v>4598</v>
      </c>
      <c r="K243" s="166">
        <v>7</v>
      </c>
      <c r="L243" s="239" t="s">
        <v>4676</v>
      </c>
      <c r="M243" s="239" t="s">
        <v>4661</v>
      </c>
      <c r="N243" s="200">
        <v>24</v>
      </c>
      <c r="O243" s="45" t="s">
        <v>4602</v>
      </c>
    </row>
    <row r="244" spans="1:15" ht="15" customHeight="1" x14ac:dyDescent="0.3">
      <c r="A244" s="155" t="s">
        <v>3961</v>
      </c>
      <c r="B244" s="120" t="s">
        <v>4158</v>
      </c>
      <c r="C244" s="174" t="s">
        <v>4317</v>
      </c>
      <c r="D244" s="45" t="s">
        <v>948</v>
      </c>
      <c r="E244" s="45" t="s">
        <v>2986</v>
      </c>
      <c r="F244" s="45">
        <v>530</v>
      </c>
      <c r="G244" s="45" t="s">
        <v>3022</v>
      </c>
      <c r="H244" s="98" t="s">
        <v>4465</v>
      </c>
      <c r="I244" s="98" t="s">
        <v>4463</v>
      </c>
      <c r="J244" s="160" t="s">
        <v>4598</v>
      </c>
      <c r="K244" s="166">
        <v>8</v>
      </c>
      <c r="L244" s="239" t="s">
        <v>4676</v>
      </c>
      <c r="M244" s="239" t="s">
        <v>4661</v>
      </c>
      <c r="N244" s="200">
        <v>24</v>
      </c>
      <c r="O244" s="45" t="s">
        <v>4602</v>
      </c>
    </row>
    <row r="245" spans="1:15" ht="15" customHeight="1" x14ac:dyDescent="0.3">
      <c r="A245" s="155" t="s">
        <v>3810</v>
      </c>
      <c r="B245" s="120" t="s">
        <v>4156</v>
      </c>
      <c r="C245" s="174" t="s">
        <v>130</v>
      </c>
      <c r="D245" s="45" t="s">
        <v>948</v>
      </c>
      <c r="E245" s="45" t="s">
        <v>2986</v>
      </c>
      <c r="F245" s="45">
        <v>530</v>
      </c>
      <c r="G245" s="45" t="s">
        <v>3022</v>
      </c>
      <c r="H245" s="98" t="s">
        <v>4466</v>
      </c>
      <c r="I245" s="98" t="s">
        <v>4463</v>
      </c>
      <c r="J245" s="160" t="s">
        <v>4593</v>
      </c>
      <c r="K245" s="166">
        <v>1</v>
      </c>
      <c r="L245" s="239" t="s">
        <v>4683</v>
      </c>
      <c r="M245" s="239" t="s">
        <v>4661</v>
      </c>
      <c r="N245" s="200">
        <v>24</v>
      </c>
      <c r="O245" s="45" t="s">
        <v>4604</v>
      </c>
    </row>
    <row r="246" spans="1:15" ht="15" customHeight="1" x14ac:dyDescent="0.3">
      <c r="A246" s="155" t="s">
        <v>3811</v>
      </c>
      <c r="B246" s="120" t="s">
        <v>4156</v>
      </c>
      <c r="C246" s="174" t="s">
        <v>131</v>
      </c>
      <c r="D246" s="45" t="s">
        <v>948</v>
      </c>
      <c r="E246" s="45" t="s">
        <v>2986</v>
      </c>
      <c r="F246" s="45">
        <v>530</v>
      </c>
      <c r="G246" s="45" t="s">
        <v>3022</v>
      </c>
      <c r="H246" s="98" t="s">
        <v>4466</v>
      </c>
      <c r="I246" s="98" t="s">
        <v>4463</v>
      </c>
      <c r="J246" s="160" t="s">
        <v>4593</v>
      </c>
      <c r="K246" s="166">
        <v>2</v>
      </c>
      <c r="L246" s="239" t="s">
        <v>4683</v>
      </c>
      <c r="M246" s="239" t="s">
        <v>4661</v>
      </c>
      <c r="N246" s="200">
        <v>24</v>
      </c>
      <c r="O246" s="45" t="s">
        <v>4604</v>
      </c>
    </row>
    <row r="247" spans="1:15" ht="15" customHeight="1" x14ac:dyDescent="0.3">
      <c r="A247" s="155" t="s">
        <v>3812</v>
      </c>
      <c r="B247" s="120" t="s">
        <v>4156</v>
      </c>
      <c r="C247" s="174" t="s">
        <v>132</v>
      </c>
      <c r="D247" s="45" t="s">
        <v>948</v>
      </c>
      <c r="E247" s="45" t="s">
        <v>2986</v>
      </c>
      <c r="F247" s="45">
        <v>530</v>
      </c>
      <c r="G247" s="45" t="s">
        <v>3022</v>
      </c>
      <c r="H247" s="98" t="s">
        <v>4466</v>
      </c>
      <c r="I247" s="98" t="s">
        <v>4463</v>
      </c>
      <c r="J247" s="160" t="s">
        <v>4593</v>
      </c>
      <c r="K247" s="166">
        <v>3</v>
      </c>
      <c r="L247" s="239" t="s">
        <v>4683</v>
      </c>
      <c r="M247" s="239" t="s">
        <v>4661</v>
      </c>
      <c r="N247" s="200">
        <v>24</v>
      </c>
      <c r="O247" s="45" t="s">
        <v>4604</v>
      </c>
    </row>
    <row r="248" spans="1:15" ht="15" customHeight="1" x14ac:dyDescent="0.3">
      <c r="A248" s="155" t="s">
        <v>3813</v>
      </c>
      <c r="B248" s="120" t="s">
        <v>4156</v>
      </c>
      <c r="C248" s="174" t="s">
        <v>133</v>
      </c>
      <c r="D248" s="45" t="s">
        <v>948</v>
      </c>
      <c r="E248" s="45" t="s">
        <v>2986</v>
      </c>
      <c r="F248" s="45">
        <v>530</v>
      </c>
      <c r="G248" s="45" t="s">
        <v>3022</v>
      </c>
      <c r="H248" s="98" t="s">
        <v>4466</v>
      </c>
      <c r="I248" s="98" t="s">
        <v>4463</v>
      </c>
      <c r="J248" s="160" t="s">
        <v>4593</v>
      </c>
      <c r="K248" s="166">
        <v>4</v>
      </c>
      <c r="L248" s="239" t="s">
        <v>4683</v>
      </c>
      <c r="M248" s="239" t="s">
        <v>4661</v>
      </c>
      <c r="N248" s="200">
        <v>24</v>
      </c>
      <c r="O248" s="45" t="s">
        <v>4604</v>
      </c>
    </row>
    <row r="249" spans="1:15" ht="15" customHeight="1" x14ac:dyDescent="0.3">
      <c r="A249" s="155" t="s">
        <v>3814</v>
      </c>
      <c r="B249" s="120" t="s">
        <v>4156</v>
      </c>
      <c r="C249" s="174" t="s">
        <v>134</v>
      </c>
      <c r="D249" s="45" t="s">
        <v>948</v>
      </c>
      <c r="E249" s="45" t="s">
        <v>2986</v>
      </c>
      <c r="F249" s="45">
        <v>530</v>
      </c>
      <c r="G249" s="45" t="s">
        <v>3022</v>
      </c>
      <c r="H249" s="98" t="s">
        <v>4466</v>
      </c>
      <c r="I249" s="98" t="s">
        <v>4463</v>
      </c>
      <c r="J249" s="160" t="s">
        <v>4593</v>
      </c>
      <c r="K249" s="166">
        <v>5</v>
      </c>
      <c r="L249" s="239" t="s">
        <v>4683</v>
      </c>
      <c r="M249" s="239" t="s">
        <v>4661</v>
      </c>
      <c r="N249" s="200">
        <v>24</v>
      </c>
      <c r="O249" s="45" t="s">
        <v>4604</v>
      </c>
    </row>
    <row r="250" spans="1:15" ht="15" customHeight="1" x14ac:dyDescent="0.3">
      <c r="A250" s="155" t="s">
        <v>3815</v>
      </c>
      <c r="B250" s="120" t="s">
        <v>4156</v>
      </c>
      <c r="C250" s="174" t="s">
        <v>135</v>
      </c>
      <c r="D250" s="45" t="s">
        <v>948</v>
      </c>
      <c r="E250" s="45" t="s">
        <v>2986</v>
      </c>
      <c r="F250" s="45">
        <v>530</v>
      </c>
      <c r="G250" s="45" t="s">
        <v>3022</v>
      </c>
      <c r="H250" s="98" t="s">
        <v>4466</v>
      </c>
      <c r="I250" s="98" t="s">
        <v>4463</v>
      </c>
      <c r="J250" s="160" t="s">
        <v>4593</v>
      </c>
      <c r="K250" s="166">
        <v>6</v>
      </c>
      <c r="L250" s="239" t="s">
        <v>4683</v>
      </c>
      <c r="M250" s="239" t="s">
        <v>4661</v>
      </c>
      <c r="N250" s="200">
        <v>24</v>
      </c>
      <c r="O250" s="45" t="s">
        <v>4604</v>
      </c>
    </row>
    <row r="251" spans="1:15" ht="15" customHeight="1" x14ac:dyDescent="0.3">
      <c r="A251" s="155" t="s">
        <v>3816</v>
      </c>
      <c r="B251" s="120" t="s">
        <v>4156</v>
      </c>
      <c r="C251" s="174" t="s">
        <v>136</v>
      </c>
      <c r="D251" s="45" t="s">
        <v>948</v>
      </c>
      <c r="E251" s="45" t="s">
        <v>2986</v>
      </c>
      <c r="F251" s="45">
        <v>530</v>
      </c>
      <c r="G251" s="45" t="s">
        <v>3022</v>
      </c>
      <c r="H251" s="98" t="s">
        <v>4466</v>
      </c>
      <c r="I251" s="98" t="s">
        <v>4463</v>
      </c>
      <c r="J251" s="160" t="s">
        <v>4593</v>
      </c>
      <c r="K251" s="166">
        <v>7</v>
      </c>
      <c r="L251" s="239" t="s">
        <v>4683</v>
      </c>
      <c r="M251" s="239" t="s">
        <v>4661</v>
      </c>
      <c r="N251" s="200">
        <v>24</v>
      </c>
      <c r="O251" s="45" t="s">
        <v>4604</v>
      </c>
    </row>
    <row r="252" spans="1:15" ht="15" customHeight="1" x14ac:dyDescent="0.3">
      <c r="A252" s="155" t="s">
        <v>3817</v>
      </c>
      <c r="B252" s="120" t="s">
        <v>4156</v>
      </c>
      <c r="C252" s="174" t="s">
        <v>137</v>
      </c>
      <c r="D252" s="45" t="s">
        <v>948</v>
      </c>
      <c r="E252" s="45" t="s">
        <v>2986</v>
      </c>
      <c r="F252" s="45">
        <v>530</v>
      </c>
      <c r="G252" s="45" t="s">
        <v>3022</v>
      </c>
      <c r="H252" s="98" t="s">
        <v>4466</v>
      </c>
      <c r="I252" s="98" t="s">
        <v>4463</v>
      </c>
      <c r="J252" s="160" t="s">
        <v>4605</v>
      </c>
      <c r="K252" s="166">
        <v>1</v>
      </c>
      <c r="L252" s="239" t="s">
        <v>4683</v>
      </c>
      <c r="M252" s="239" t="s">
        <v>4661</v>
      </c>
      <c r="N252" s="200">
        <v>24</v>
      </c>
      <c r="O252" s="45" t="s">
        <v>4604</v>
      </c>
    </row>
    <row r="253" spans="1:15" ht="15" customHeight="1" x14ac:dyDescent="0.3">
      <c r="A253" s="155" t="s">
        <v>3818</v>
      </c>
      <c r="B253" s="120" t="s">
        <v>4156</v>
      </c>
      <c r="C253" s="174" t="s">
        <v>138</v>
      </c>
      <c r="D253" s="45" t="s">
        <v>948</v>
      </c>
      <c r="E253" s="45" t="s">
        <v>2986</v>
      </c>
      <c r="F253" s="45">
        <v>530</v>
      </c>
      <c r="G253" s="45" t="s">
        <v>3022</v>
      </c>
      <c r="H253" s="98" t="s">
        <v>4466</v>
      </c>
      <c r="I253" s="98" t="s">
        <v>4463</v>
      </c>
      <c r="J253" s="160" t="s">
        <v>4605</v>
      </c>
      <c r="K253" s="166">
        <v>2</v>
      </c>
      <c r="L253" s="239" t="s">
        <v>4683</v>
      </c>
      <c r="M253" s="239" t="s">
        <v>4661</v>
      </c>
      <c r="N253" s="200">
        <v>24</v>
      </c>
      <c r="O253" s="45" t="s">
        <v>4604</v>
      </c>
    </row>
    <row r="254" spans="1:15" ht="15" customHeight="1" x14ac:dyDescent="0.3">
      <c r="A254" s="155" t="s">
        <v>3819</v>
      </c>
      <c r="B254" s="120" t="s">
        <v>4156</v>
      </c>
      <c r="C254" s="174" t="s">
        <v>139</v>
      </c>
      <c r="D254" s="45" t="s">
        <v>948</v>
      </c>
      <c r="E254" s="45" t="s">
        <v>2986</v>
      </c>
      <c r="F254" s="45">
        <v>530</v>
      </c>
      <c r="G254" s="45" t="s">
        <v>3022</v>
      </c>
      <c r="H254" s="98" t="s">
        <v>4466</v>
      </c>
      <c r="I254" s="98" t="s">
        <v>4463</v>
      </c>
      <c r="J254" s="160" t="s">
        <v>4605</v>
      </c>
      <c r="K254" s="166">
        <v>3</v>
      </c>
      <c r="L254" s="239" t="s">
        <v>4683</v>
      </c>
      <c r="M254" s="239" t="s">
        <v>4661</v>
      </c>
      <c r="N254" s="200">
        <v>24</v>
      </c>
      <c r="O254" s="45" t="s">
        <v>4604</v>
      </c>
    </row>
    <row r="255" spans="1:15" ht="15" customHeight="1" x14ac:dyDescent="0.3">
      <c r="A255" s="155" t="s">
        <v>3820</v>
      </c>
      <c r="B255" s="120" t="s">
        <v>4156</v>
      </c>
      <c r="C255" s="174" t="s">
        <v>140</v>
      </c>
      <c r="D255" s="45" t="s">
        <v>948</v>
      </c>
      <c r="E255" s="45" t="s">
        <v>2986</v>
      </c>
      <c r="F255" s="45">
        <v>530</v>
      </c>
      <c r="G255" s="45" t="s">
        <v>3022</v>
      </c>
      <c r="H255" s="98" t="s">
        <v>4466</v>
      </c>
      <c r="I255" s="98" t="s">
        <v>4463</v>
      </c>
      <c r="J255" s="160" t="s">
        <v>4605</v>
      </c>
      <c r="K255" s="166">
        <v>4</v>
      </c>
      <c r="L255" s="239" t="s">
        <v>4683</v>
      </c>
      <c r="M255" s="239" t="s">
        <v>4661</v>
      </c>
      <c r="N255" s="200">
        <v>24</v>
      </c>
      <c r="O255" s="45" t="s">
        <v>4604</v>
      </c>
    </row>
    <row r="256" spans="1:15" ht="15" customHeight="1" x14ac:dyDescent="0.3">
      <c r="A256" s="155" t="s">
        <v>3821</v>
      </c>
      <c r="B256" s="120" t="s">
        <v>4156</v>
      </c>
      <c r="C256" s="174" t="s">
        <v>141</v>
      </c>
      <c r="D256" s="45" t="s">
        <v>948</v>
      </c>
      <c r="E256" s="45" t="s">
        <v>2986</v>
      </c>
      <c r="F256" s="45">
        <v>530</v>
      </c>
      <c r="G256" s="45" t="s">
        <v>3022</v>
      </c>
      <c r="H256" s="98" t="s">
        <v>4466</v>
      </c>
      <c r="I256" s="98" t="s">
        <v>4463</v>
      </c>
      <c r="J256" s="160" t="s">
        <v>4605</v>
      </c>
      <c r="K256" s="166">
        <v>5</v>
      </c>
      <c r="L256" s="239" t="s">
        <v>4683</v>
      </c>
      <c r="M256" s="239" t="s">
        <v>4661</v>
      </c>
      <c r="N256" s="200">
        <v>24</v>
      </c>
      <c r="O256" s="45" t="s">
        <v>4604</v>
      </c>
    </row>
    <row r="257" spans="1:15" ht="15" customHeight="1" x14ac:dyDescent="0.3">
      <c r="A257" s="155" t="s">
        <v>3822</v>
      </c>
      <c r="B257" s="120" t="s">
        <v>4156</v>
      </c>
      <c r="C257" s="174" t="s">
        <v>142</v>
      </c>
      <c r="D257" s="45" t="s">
        <v>948</v>
      </c>
      <c r="E257" s="45" t="s">
        <v>2986</v>
      </c>
      <c r="F257" s="45">
        <v>535</v>
      </c>
      <c r="G257" s="45" t="s">
        <v>3022</v>
      </c>
      <c r="H257" s="98" t="s">
        <v>4466</v>
      </c>
      <c r="I257" s="98" t="s">
        <v>4463</v>
      </c>
      <c r="J257" s="160" t="s">
        <v>4605</v>
      </c>
      <c r="K257" s="166">
        <v>6</v>
      </c>
      <c r="L257" s="239" t="s">
        <v>4684</v>
      </c>
      <c r="M257" s="239" t="s">
        <v>4661</v>
      </c>
      <c r="N257" s="200">
        <v>22</v>
      </c>
      <c r="O257" s="45" t="s">
        <v>4604</v>
      </c>
    </row>
    <row r="258" spans="1:15" ht="15" customHeight="1" x14ac:dyDescent="0.3">
      <c r="A258" s="155" t="s">
        <v>3823</v>
      </c>
      <c r="B258" s="120" t="s">
        <v>4156</v>
      </c>
      <c r="C258" s="174" t="s">
        <v>143</v>
      </c>
      <c r="D258" s="45" t="s">
        <v>948</v>
      </c>
      <c r="E258" s="45" t="s">
        <v>2986</v>
      </c>
      <c r="F258" s="45">
        <v>535</v>
      </c>
      <c r="G258" s="45" t="s">
        <v>3022</v>
      </c>
      <c r="H258" s="98" t="s">
        <v>4466</v>
      </c>
      <c r="I258" s="98" t="s">
        <v>4463</v>
      </c>
      <c r="J258" s="160" t="s">
        <v>4605</v>
      </c>
      <c r="K258" s="166">
        <v>7</v>
      </c>
      <c r="L258" s="239" t="s">
        <v>4684</v>
      </c>
      <c r="M258" s="239" t="s">
        <v>4661</v>
      </c>
      <c r="N258" s="200">
        <v>22</v>
      </c>
      <c r="O258" s="45" t="s">
        <v>4604</v>
      </c>
    </row>
    <row r="259" spans="1:15" ht="15" customHeight="1" x14ac:dyDescent="0.3">
      <c r="A259" s="155" t="s">
        <v>3824</v>
      </c>
      <c r="B259" s="100" t="s">
        <v>4156</v>
      </c>
      <c r="C259" s="157" t="s">
        <v>144</v>
      </c>
      <c r="D259" s="45" t="s">
        <v>948</v>
      </c>
      <c r="E259" s="45" t="s">
        <v>2986</v>
      </c>
      <c r="F259" s="45">
        <v>535</v>
      </c>
      <c r="G259" s="45" t="s">
        <v>3022</v>
      </c>
      <c r="H259" s="98" t="s">
        <v>4466</v>
      </c>
      <c r="I259" s="98" t="s">
        <v>4463</v>
      </c>
      <c r="J259" s="160" t="s">
        <v>4605</v>
      </c>
      <c r="K259" s="166">
        <v>8</v>
      </c>
      <c r="L259" s="239" t="s">
        <v>4684</v>
      </c>
      <c r="M259" s="239" t="s">
        <v>4661</v>
      </c>
      <c r="N259" s="200">
        <v>22</v>
      </c>
      <c r="O259" s="45" t="s">
        <v>4604</v>
      </c>
    </row>
    <row r="260" spans="1:15" ht="15" customHeight="1" x14ac:dyDescent="0.3">
      <c r="A260" s="155" t="s">
        <v>3825</v>
      </c>
      <c r="B260" s="120" t="s">
        <v>4156</v>
      </c>
      <c r="C260" s="174" t="s">
        <v>145</v>
      </c>
      <c r="D260" s="45" t="s">
        <v>948</v>
      </c>
      <c r="E260" s="45" t="s">
        <v>2986</v>
      </c>
      <c r="F260" s="45">
        <v>530</v>
      </c>
      <c r="G260" s="45" t="s">
        <v>3022</v>
      </c>
      <c r="H260" s="98" t="s">
        <v>4466</v>
      </c>
      <c r="I260" s="98" t="s">
        <v>4463</v>
      </c>
      <c r="J260" s="160" t="s">
        <v>4606</v>
      </c>
      <c r="K260" s="166">
        <v>1</v>
      </c>
      <c r="L260" s="239" t="s">
        <v>4684</v>
      </c>
      <c r="M260" s="239" t="s">
        <v>4661</v>
      </c>
      <c r="N260" s="200">
        <v>22</v>
      </c>
      <c r="O260" s="45" t="s">
        <v>4604</v>
      </c>
    </row>
    <row r="261" spans="1:15" ht="15" customHeight="1" x14ac:dyDescent="0.3">
      <c r="A261" s="155" t="s">
        <v>3826</v>
      </c>
      <c r="B261" s="120" t="s">
        <v>4156</v>
      </c>
      <c r="C261" s="174" t="s">
        <v>146</v>
      </c>
      <c r="D261" s="45" t="s">
        <v>948</v>
      </c>
      <c r="E261" s="45" t="s">
        <v>2986</v>
      </c>
      <c r="F261" s="45">
        <v>530</v>
      </c>
      <c r="G261" s="45" t="s">
        <v>3022</v>
      </c>
      <c r="H261" s="98" t="s">
        <v>4466</v>
      </c>
      <c r="I261" s="98" t="s">
        <v>4463</v>
      </c>
      <c r="J261" s="160" t="s">
        <v>4606</v>
      </c>
      <c r="K261" s="166">
        <v>2</v>
      </c>
      <c r="L261" s="239" t="s">
        <v>4684</v>
      </c>
      <c r="M261" s="239" t="s">
        <v>4661</v>
      </c>
      <c r="N261" s="200">
        <v>22</v>
      </c>
      <c r="O261" s="45" t="s">
        <v>4604</v>
      </c>
    </row>
    <row r="262" spans="1:15" ht="15" customHeight="1" x14ac:dyDescent="0.3">
      <c r="A262" s="155" t="s">
        <v>3827</v>
      </c>
      <c r="B262" s="120" t="s">
        <v>4156</v>
      </c>
      <c r="C262" s="174" t="s">
        <v>147</v>
      </c>
      <c r="D262" s="45" t="s">
        <v>948</v>
      </c>
      <c r="E262" s="45" t="s">
        <v>2986</v>
      </c>
      <c r="F262" s="45">
        <v>530</v>
      </c>
      <c r="G262" s="45" t="s">
        <v>3022</v>
      </c>
      <c r="H262" s="98" t="s">
        <v>4466</v>
      </c>
      <c r="I262" s="98" t="s">
        <v>4463</v>
      </c>
      <c r="J262" s="160" t="s">
        <v>4606</v>
      </c>
      <c r="K262" s="166">
        <v>3</v>
      </c>
      <c r="L262" s="239" t="s">
        <v>4684</v>
      </c>
      <c r="M262" s="239" t="s">
        <v>4661</v>
      </c>
      <c r="N262" s="200">
        <v>22</v>
      </c>
      <c r="O262" s="45" t="s">
        <v>4604</v>
      </c>
    </row>
    <row r="263" spans="1:15" ht="15" customHeight="1" x14ac:dyDescent="0.3">
      <c r="A263" s="155" t="s">
        <v>3828</v>
      </c>
      <c r="B263" s="120" t="s">
        <v>4156</v>
      </c>
      <c r="C263" s="174" t="s">
        <v>148</v>
      </c>
      <c r="D263" s="45" t="s">
        <v>948</v>
      </c>
      <c r="E263" s="45" t="s">
        <v>2986</v>
      </c>
      <c r="F263" s="45">
        <v>530</v>
      </c>
      <c r="G263" s="45" t="s">
        <v>3022</v>
      </c>
      <c r="H263" s="98" t="s">
        <v>4466</v>
      </c>
      <c r="I263" s="98" t="s">
        <v>4463</v>
      </c>
      <c r="J263" s="160" t="s">
        <v>4606</v>
      </c>
      <c r="K263" s="166">
        <v>4</v>
      </c>
      <c r="L263" s="239" t="s">
        <v>4684</v>
      </c>
      <c r="M263" s="239" t="s">
        <v>4661</v>
      </c>
      <c r="N263" s="200">
        <v>22</v>
      </c>
      <c r="O263" s="45" t="s">
        <v>4604</v>
      </c>
    </row>
    <row r="264" spans="1:15" ht="15" customHeight="1" x14ac:dyDescent="0.3">
      <c r="A264" s="155" t="s">
        <v>3829</v>
      </c>
      <c r="B264" s="120" t="s">
        <v>4156</v>
      </c>
      <c r="C264" s="174" t="s">
        <v>149</v>
      </c>
      <c r="D264" s="45" t="s">
        <v>948</v>
      </c>
      <c r="E264" s="45" t="s">
        <v>2986</v>
      </c>
      <c r="F264" s="45">
        <v>530</v>
      </c>
      <c r="G264" s="45" t="s">
        <v>3022</v>
      </c>
      <c r="H264" s="98" t="s">
        <v>4466</v>
      </c>
      <c r="I264" s="98" t="s">
        <v>4463</v>
      </c>
      <c r="J264" s="160" t="s">
        <v>4606</v>
      </c>
      <c r="K264" s="166">
        <v>5</v>
      </c>
      <c r="L264" s="239" t="s">
        <v>4684</v>
      </c>
      <c r="M264" s="239" t="s">
        <v>4661</v>
      </c>
      <c r="N264" s="200">
        <v>22</v>
      </c>
      <c r="O264" s="45" t="s">
        <v>4604</v>
      </c>
    </row>
    <row r="265" spans="1:15" ht="15" customHeight="1" x14ac:dyDescent="0.3">
      <c r="A265" s="155" t="s">
        <v>3830</v>
      </c>
      <c r="B265" s="120" t="s">
        <v>4156</v>
      </c>
      <c r="C265" s="174" t="s">
        <v>150</v>
      </c>
      <c r="D265" s="45" t="s">
        <v>948</v>
      </c>
      <c r="E265" s="45" t="s">
        <v>2986</v>
      </c>
      <c r="F265" s="45">
        <v>530</v>
      </c>
      <c r="G265" s="45" t="s">
        <v>3022</v>
      </c>
      <c r="H265" s="98" t="s">
        <v>4466</v>
      </c>
      <c r="I265" s="98" t="s">
        <v>4463</v>
      </c>
      <c r="J265" s="160" t="s">
        <v>4606</v>
      </c>
      <c r="K265" s="166">
        <v>6</v>
      </c>
      <c r="L265" s="239" t="s">
        <v>4684</v>
      </c>
      <c r="M265" s="239" t="s">
        <v>4661</v>
      </c>
      <c r="N265" s="200">
        <v>22</v>
      </c>
      <c r="O265" s="45" t="s">
        <v>4604</v>
      </c>
    </row>
    <row r="266" spans="1:15" ht="15" customHeight="1" x14ac:dyDescent="0.3">
      <c r="A266" s="155" t="s">
        <v>3831</v>
      </c>
      <c r="B266" s="120" t="s">
        <v>4156</v>
      </c>
      <c r="C266" s="174" t="s">
        <v>151</v>
      </c>
      <c r="D266" s="45" t="s">
        <v>948</v>
      </c>
      <c r="E266" s="45" t="s">
        <v>2986</v>
      </c>
      <c r="F266" s="45">
        <v>530</v>
      </c>
      <c r="G266" s="45" t="s">
        <v>3022</v>
      </c>
      <c r="H266" s="98" t="s">
        <v>4466</v>
      </c>
      <c r="I266" s="98" t="s">
        <v>4463</v>
      </c>
      <c r="J266" s="160" t="s">
        <v>4606</v>
      </c>
      <c r="K266" s="166">
        <v>7</v>
      </c>
      <c r="L266" s="239" t="s">
        <v>4684</v>
      </c>
      <c r="M266" s="239" t="s">
        <v>4661</v>
      </c>
      <c r="N266" s="200">
        <v>22</v>
      </c>
      <c r="O266" s="45" t="s">
        <v>4604</v>
      </c>
    </row>
    <row r="267" spans="1:15" ht="15" customHeight="1" x14ac:dyDescent="0.3">
      <c r="A267" s="155" t="s">
        <v>3832</v>
      </c>
      <c r="B267" s="120" t="s">
        <v>4156</v>
      </c>
      <c r="C267" s="174" t="s">
        <v>152</v>
      </c>
      <c r="D267" s="45" t="s">
        <v>948</v>
      </c>
      <c r="E267" s="45" t="s">
        <v>2986</v>
      </c>
      <c r="F267" s="45">
        <v>530</v>
      </c>
      <c r="G267" s="45" t="s">
        <v>3022</v>
      </c>
      <c r="H267" s="98" t="s">
        <v>4466</v>
      </c>
      <c r="I267" s="98" t="s">
        <v>4463</v>
      </c>
      <c r="J267" s="160" t="s">
        <v>4606</v>
      </c>
      <c r="K267" s="166">
        <v>8</v>
      </c>
      <c r="L267" s="239" t="s">
        <v>4684</v>
      </c>
      <c r="M267" s="239" t="s">
        <v>4661</v>
      </c>
      <c r="N267" s="200">
        <v>22</v>
      </c>
      <c r="O267" s="45" t="s">
        <v>4604</v>
      </c>
    </row>
    <row r="268" spans="1:15" ht="15" customHeight="1" x14ac:dyDescent="0.3">
      <c r="A268" s="155" t="s">
        <v>3833</v>
      </c>
      <c r="B268" s="120" t="s">
        <v>4156</v>
      </c>
      <c r="C268" s="174" t="s">
        <v>153</v>
      </c>
      <c r="D268" s="45" t="s">
        <v>948</v>
      </c>
      <c r="E268" s="45" t="s">
        <v>2986</v>
      </c>
      <c r="F268" s="45">
        <v>530</v>
      </c>
      <c r="G268" s="45" t="s">
        <v>3022</v>
      </c>
      <c r="H268" s="98" t="s">
        <v>4466</v>
      </c>
      <c r="I268" s="98" t="s">
        <v>4463</v>
      </c>
      <c r="J268" s="160" t="s">
        <v>4592</v>
      </c>
      <c r="K268" s="166">
        <v>1</v>
      </c>
      <c r="L268" s="239" t="s">
        <v>4685</v>
      </c>
      <c r="M268" s="239" t="s">
        <v>4669</v>
      </c>
      <c r="N268" s="200">
        <v>14</v>
      </c>
      <c r="O268" s="45" t="s">
        <v>4604</v>
      </c>
    </row>
    <row r="269" spans="1:15" ht="15" customHeight="1" x14ac:dyDescent="0.3">
      <c r="A269" s="155" t="s">
        <v>3834</v>
      </c>
      <c r="B269" s="120" t="s">
        <v>4156</v>
      </c>
      <c r="C269" s="174" t="s">
        <v>154</v>
      </c>
      <c r="D269" s="45" t="s">
        <v>948</v>
      </c>
      <c r="E269" s="45" t="s">
        <v>2986</v>
      </c>
      <c r="F269" s="45">
        <v>530</v>
      </c>
      <c r="G269" s="45" t="s">
        <v>3022</v>
      </c>
      <c r="H269" s="98" t="s">
        <v>4466</v>
      </c>
      <c r="I269" s="98" t="s">
        <v>4463</v>
      </c>
      <c r="J269" s="160" t="s">
        <v>4592</v>
      </c>
      <c r="K269" s="166">
        <v>2</v>
      </c>
      <c r="L269" s="239" t="s">
        <v>4685</v>
      </c>
      <c r="M269" s="239" t="s">
        <v>4669</v>
      </c>
      <c r="N269" s="200">
        <v>14</v>
      </c>
      <c r="O269" s="45" t="s">
        <v>4604</v>
      </c>
    </row>
    <row r="270" spans="1:15" ht="15" customHeight="1" x14ac:dyDescent="0.3">
      <c r="A270" s="155" t="s">
        <v>3835</v>
      </c>
      <c r="B270" s="120" t="s">
        <v>4156</v>
      </c>
      <c r="C270" s="174" t="s">
        <v>155</v>
      </c>
      <c r="D270" s="45" t="s">
        <v>948</v>
      </c>
      <c r="E270" s="45" t="s">
        <v>2986</v>
      </c>
      <c r="F270" s="45">
        <v>530</v>
      </c>
      <c r="G270" s="45" t="s">
        <v>3022</v>
      </c>
      <c r="H270" s="98" t="s">
        <v>4466</v>
      </c>
      <c r="I270" s="98" t="s">
        <v>4463</v>
      </c>
      <c r="J270" s="160" t="s">
        <v>4592</v>
      </c>
      <c r="K270" s="166">
        <v>3</v>
      </c>
      <c r="L270" s="239" t="s">
        <v>4685</v>
      </c>
      <c r="M270" s="239" t="s">
        <v>4669</v>
      </c>
      <c r="N270" s="200">
        <v>14</v>
      </c>
      <c r="O270" s="45" t="s">
        <v>4604</v>
      </c>
    </row>
    <row r="271" spans="1:15" ht="15" customHeight="1" x14ac:dyDescent="0.3">
      <c r="A271" s="155" t="s">
        <v>3836</v>
      </c>
      <c r="B271" s="120" t="s">
        <v>4156</v>
      </c>
      <c r="C271" s="174" t="s">
        <v>156</v>
      </c>
      <c r="D271" s="45" t="s">
        <v>948</v>
      </c>
      <c r="E271" s="45" t="s">
        <v>2986</v>
      </c>
      <c r="F271" s="45">
        <v>530</v>
      </c>
      <c r="G271" s="45" t="s">
        <v>3022</v>
      </c>
      <c r="H271" s="98" t="s">
        <v>4466</v>
      </c>
      <c r="I271" s="98" t="s">
        <v>4463</v>
      </c>
      <c r="J271" s="160" t="s">
        <v>4592</v>
      </c>
      <c r="K271" s="166">
        <v>4</v>
      </c>
      <c r="L271" s="239" t="s">
        <v>4685</v>
      </c>
      <c r="M271" s="239" t="s">
        <v>4669</v>
      </c>
      <c r="N271" s="200">
        <v>14</v>
      </c>
      <c r="O271" s="45" t="s">
        <v>4604</v>
      </c>
    </row>
    <row r="272" spans="1:15" ht="15" customHeight="1" x14ac:dyDescent="0.3">
      <c r="A272" s="155" t="s">
        <v>3837</v>
      </c>
      <c r="B272" s="120" t="s">
        <v>4156</v>
      </c>
      <c r="C272" s="174" t="s">
        <v>157</v>
      </c>
      <c r="D272" s="45" t="s">
        <v>948</v>
      </c>
      <c r="E272" s="45" t="s">
        <v>2986</v>
      </c>
      <c r="F272" s="45">
        <v>535</v>
      </c>
      <c r="G272" s="45" t="s">
        <v>3022</v>
      </c>
      <c r="H272" s="98" t="s">
        <v>4466</v>
      </c>
      <c r="I272" s="98" t="s">
        <v>4463</v>
      </c>
      <c r="J272" s="160" t="s">
        <v>4592</v>
      </c>
      <c r="K272" s="166">
        <v>5</v>
      </c>
      <c r="L272" s="239" t="s">
        <v>4685</v>
      </c>
      <c r="M272" s="239" t="s">
        <v>4669</v>
      </c>
      <c r="N272" s="200">
        <v>14</v>
      </c>
      <c r="O272" s="45" t="s">
        <v>4604</v>
      </c>
    </row>
    <row r="273" spans="1:15" ht="15" customHeight="1" x14ac:dyDescent="0.3">
      <c r="A273" s="155" t="s">
        <v>3838</v>
      </c>
      <c r="B273" s="120" t="s">
        <v>4156</v>
      </c>
      <c r="C273" s="174" t="s">
        <v>158</v>
      </c>
      <c r="D273" s="45" t="s">
        <v>948</v>
      </c>
      <c r="E273" s="45" t="s">
        <v>2986</v>
      </c>
      <c r="F273" s="45">
        <v>535</v>
      </c>
      <c r="G273" s="45" t="s">
        <v>3022</v>
      </c>
      <c r="H273" s="98" t="s">
        <v>4466</v>
      </c>
      <c r="I273" s="98" t="s">
        <v>4463</v>
      </c>
      <c r="J273" s="160" t="s">
        <v>4592</v>
      </c>
      <c r="K273" s="166">
        <v>6</v>
      </c>
      <c r="L273" s="239" t="s">
        <v>4685</v>
      </c>
      <c r="M273" s="239" t="s">
        <v>4669</v>
      </c>
      <c r="N273" s="200">
        <v>14</v>
      </c>
      <c r="O273" s="45" t="s">
        <v>4604</v>
      </c>
    </row>
    <row r="274" spans="1:15" ht="15" customHeight="1" x14ac:dyDescent="0.3">
      <c r="A274" s="155" t="s">
        <v>3839</v>
      </c>
      <c r="B274" s="120" t="s">
        <v>4156</v>
      </c>
      <c r="C274" s="174" t="s">
        <v>159</v>
      </c>
      <c r="D274" s="45" t="s">
        <v>948</v>
      </c>
      <c r="E274" s="45" t="s">
        <v>2986</v>
      </c>
      <c r="F274" s="45">
        <v>535</v>
      </c>
      <c r="G274" s="45" t="s">
        <v>3022</v>
      </c>
      <c r="H274" s="98" t="s">
        <v>4466</v>
      </c>
      <c r="I274" s="98" t="s">
        <v>4463</v>
      </c>
      <c r="J274" s="160" t="s">
        <v>4592</v>
      </c>
      <c r="K274" s="166">
        <v>7</v>
      </c>
      <c r="L274" s="239" t="s">
        <v>4685</v>
      </c>
      <c r="M274" s="239" t="s">
        <v>4669</v>
      </c>
      <c r="N274" s="200">
        <v>14</v>
      </c>
      <c r="O274" s="45" t="s">
        <v>4604</v>
      </c>
    </row>
    <row r="275" spans="1:15" ht="15" customHeight="1" x14ac:dyDescent="0.3">
      <c r="A275" s="147" t="s">
        <v>4362</v>
      </c>
      <c r="B275" s="120" t="s">
        <v>4172</v>
      </c>
      <c r="C275" s="157" t="s">
        <v>3037</v>
      </c>
      <c r="D275" s="45" t="s">
        <v>948</v>
      </c>
      <c r="E275" s="45" t="s">
        <v>2986</v>
      </c>
      <c r="F275" s="45">
        <v>500</v>
      </c>
      <c r="G275" s="45" t="s">
        <v>3022</v>
      </c>
      <c r="H275" s="98" t="s">
        <v>4474</v>
      </c>
      <c r="I275" s="98" t="s">
        <v>4463</v>
      </c>
      <c r="J275" s="160" t="s">
        <v>4618</v>
      </c>
      <c r="K275" s="166">
        <v>1</v>
      </c>
      <c r="L275" s="239" t="s">
        <v>4696</v>
      </c>
      <c r="M275" s="239" t="s">
        <v>4697</v>
      </c>
      <c r="N275" s="200">
        <v>11</v>
      </c>
      <c r="O275" s="45" t="s">
        <v>4604</v>
      </c>
    </row>
    <row r="276" spans="1:15" ht="15" customHeight="1" x14ac:dyDescent="0.3">
      <c r="A276" s="147" t="s">
        <v>4363</v>
      </c>
      <c r="B276" s="120" t="s">
        <v>4172</v>
      </c>
      <c r="C276" s="157" t="s">
        <v>3037</v>
      </c>
      <c r="D276" s="45" t="s">
        <v>948</v>
      </c>
      <c r="E276" s="45" t="s">
        <v>2986</v>
      </c>
      <c r="F276" s="45">
        <v>500</v>
      </c>
      <c r="G276" s="45" t="s">
        <v>3022</v>
      </c>
      <c r="H276" s="98" t="s">
        <v>4474</v>
      </c>
      <c r="I276" s="98" t="s">
        <v>4463</v>
      </c>
      <c r="J276" s="160" t="s">
        <v>4618</v>
      </c>
      <c r="K276" s="166">
        <v>2</v>
      </c>
      <c r="L276" s="239" t="s">
        <v>4696</v>
      </c>
      <c r="M276" s="239" t="s">
        <v>4697</v>
      </c>
      <c r="N276" s="200">
        <v>11</v>
      </c>
      <c r="O276" s="45" t="s">
        <v>4604</v>
      </c>
    </row>
    <row r="277" spans="1:15" ht="15" customHeight="1" x14ac:dyDescent="0.3">
      <c r="A277" s="147" t="s">
        <v>4364</v>
      </c>
      <c r="B277" s="120" t="s">
        <v>4172</v>
      </c>
      <c r="C277" s="157" t="s">
        <v>3038</v>
      </c>
      <c r="D277" s="45" t="s">
        <v>948</v>
      </c>
      <c r="E277" s="45" t="s">
        <v>2986</v>
      </c>
      <c r="F277" s="45">
        <v>500</v>
      </c>
      <c r="G277" s="45" t="s">
        <v>3022</v>
      </c>
      <c r="H277" s="98" t="s">
        <v>4474</v>
      </c>
      <c r="I277" s="98" t="s">
        <v>4463</v>
      </c>
      <c r="J277" s="160" t="s">
        <v>4618</v>
      </c>
      <c r="K277" s="166">
        <v>3</v>
      </c>
      <c r="L277" s="239" t="s">
        <v>4696</v>
      </c>
      <c r="M277" s="239" t="s">
        <v>4697</v>
      </c>
      <c r="N277" s="200">
        <v>11</v>
      </c>
      <c r="O277" s="45" t="s">
        <v>4604</v>
      </c>
    </row>
    <row r="278" spans="1:15" ht="15" customHeight="1" x14ac:dyDescent="0.3">
      <c r="A278" s="147" t="s">
        <v>4365</v>
      </c>
      <c r="B278" s="120" t="s">
        <v>4172</v>
      </c>
      <c r="C278" s="157" t="s">
        <v>3038</v>
      </c>
      <c r="D278" s="45" t="s">
        <v>948</v>
      </c>
      <c r="E278" s="45" t="s">
        <v>2986</v>
      </c>
      <c r="F278" s="45">
        <v>500</v>
      </c>
      <c r="G278" s="45" t="s">
        <v>3022</v>
      </c>
      <c r="H278" s="98" t="s">
        <v>4474</v>
      </c>
      <c r="I278" s="98" t="s">
        <v>4463</v>
      </c>
      <c r="J278" s="160" t="s">
        <v>4618</v>
      </c>
      <c r="K278" s="166">
        <v>4</v>
      </c>
      <c r="L278" s="239" t="s">
        <v>4696</v>
      </c>
      <c r="M278" s="239" t="s">
        <v>4697</v>
      </c>
      <c r="N278" s="200">
        <v>11</v>
      </c>
      <c r="O278" s="45" t="s">
        <v>4604</v>
      </c>
    </row>
    <row r="279" spans="1:15" ht="15" customHeight="1" x14ac:dyDescent="0.3">
      <c r="A279" s="100" t="s">
        <v>4366</v>
      </c>
      <c r="B279" s="120" t="s">
        <v>4475</v>
      </c>
      <c r="C279" s="157" t="s">
        <v>3039</v>
      </c>
      <c r="D279" s="45" t="s">
        <v>948</v>
      </c>
      <c r="E279" s="45" t="s">
        <v>2986</v>
      </c>
      <c r="F279" s="45">
        <v>500</v>
      </c>
      <c r="G279" s="45" t="s">
        <v>3022</v>
      </c>
      <c r="H279" s="98" t="s">
        <v>4476</v>
      </c>
      <c r="I279" s="98" t="s">
        <v>4463</v>
      </c>
      <c r="J279" s="160" t="s">
        <v>4618</v>
      </c>
      <c r="K279" s="166">
        <v>5</v>
      </c>
      <c r="L279" s="239" t="s">
        <v>4698</v>
      </c>
      <c r="M279" s="239" t="s">
        <v>4697</v>
      </c>
      <c r="N279" s="200">
        <v>11</v>
      </c>
      <c r="O279" s="45" t="s">
        <v>4604</v>
      </c>
    </row>
    <row r="280" spans="1:15" ht="15" customHeight="1" x14ac:dyDescent="0.3">
      <c r="A280" s="100" t="s">
        <v>4367</v>
      </c>
      <c r="B280" s="120" t="s">
        <v>4475</v>
      </c>
      <c r="C280" s="157" t="s">
        <v>3039</v>
      </c>
      <c r="D280" s="45" t="s">
        <v>948</v>
      </c>
      <c r="E280" s="45" t="s">
        <v>2986</v>
      </c>
      <c r="F280" s="45">
        <v>500</v>
      </c>
      <c r="G280" s="45" t="s">
        <v>3022</v>
      </c>
      <c r="H280" s="98" t="s">
        <v>4476</v>
      </c>
      <c r="I280" s="98" t="s">
        <v>4463</v>
      </c>
      <c r="J280" s="160" t="s">
        <v>4618</v>
      </c>
      <c r="K280" s="166">
        <v>6</v>
      </c>
      <c r="L280" s="239" t="s">
        <v>4698</v>
      </c>
      <c r="M280" s="239" t="s">
        <v>4697</v>
      </c>
      <c r="N280" s="200">
        <v>11</v>
      </c>
      <c r="O280" s="45" t="s">
        <v>4604</v>
      </c>
    </row>
    <row r="281" spans="1:15" ht="15" customHeight="1" x14ac:dyDescent="0.3">
      <c r="A281" s="100" t="s">
        <v>4368</v>
      </c>
      <c r="B281" s="120" t="s">
        <v>4475</v>
      </c>
      <c r="C281" s="157" t="s">
        <v>3040</v>
      </c>
      <c r="D281" s="45" t="s">
        <v>948</v>
      </c>
      <c r="E281" s="45" t="s">
        <v>2986</v>
      </c>
      <c r="F281" s="45">
        <v>500</v>
      </c>
      <c r="G281" s="45" t="s">
        <v>3022</v>
      </c>
      <c r="H281" s="98" t="s">
        <v>4476</v>
      </c>
      <c r="I281" s="98" t="s">
        <v>4463</v>
      </c>
      <c r="J281" s="160" t="s">
        <v>4618</v>
      </c>
      <c r="K281" s="166">
        <v>7</v>
      </c>
      <c r="L281" s="239" t="s">
        <v>4698</v>
      </c>
      <c r="M281" s="239" t="s">
        <v>4697</v>
      </c>
      <c r="N281" s="200">
        <v>11</v>
      </c>
      <c r="O281" s="45" t="s">
        <v>4604</v>
      </c>
    </row>
    <row r="282" spans="1:15" ht="15" customHeight="1" x14ac:dyDescent="0.3">
      <c r="A282" s="100" t="s">
        <v>4369</v>
      </c>
      <c r="B282" s="120" t="s">
        <v>4475</v>
      </c>
      <c r="C282" s="157" t="s">
        <v>3040</v>
      </c>
      <c r="D282" s="45" t="s">
        <v>948</v>
      </c>
      <c r="E282" s="45" t="s">
        <v>2986</v>
      </c>
      <c r="F282" s="45">
        <v>500</v>
      </c>
      <c r="G282" s="45" t="s">
        <v>3022</v>
      </c>
      <c r="H282" s="98" t="s">
        <v>4476</v>
      </c>
      <c r="I282" s="98" t="s">
        <v>4463</v>
      </c>
      <c r="J282" s="160" t="s">
        <v>4618</v>
      </c>
      <c r="K282" s="166">
        <v>8</v>
      </c>
      <c r="L282" s="239" t="s">
        <v>4698</v>
      </c>
      <c r="M282" s="239" t="s">
        <v>4697</v>
      </c>
      <c r="N282" s="200">
        <v>11</v>
      </c>
      <c r="O282" s="45" t="s">
        <v>4604</v>
      </c>
    </row>
    <row r="283" spans="1:15" ht="15" customHeight="1" x14ac:dyDescent="0.3">
      <c r="A283" s="192" t="s">
        <v>4095</v>
      </c>
      <c r="B283" s="120" t="s">
        <v>4161</v>
      </c>
      <c r="C283" s="174" t="s">
        <v>161</v>
      </c>
      <c r="D283" s="45" t="s">
        <v>948</v>
      </c>
      <c r="E283" s="45" t="s">
        <v>2986</v>
      </c>
      <c r="F283" s="45">
        <v>180</v>
      </c>
      <c r="G283" s="45" t="s">
        <v>3041</v>
      </c>
      <c r="H283" s="98" t="s">
        <v>4468</v>
      </c>
      <c r="I283" s="98" t="s">
        <v>4470</v>
      </c>
      <c r="J283" s="160" t="s">
        <v>4614</v>
      </c>
      <c r="K283" s="166">
        <v>1</v>
      </c>
      <c r="L283" s="239" t="s">
        <v>4691</v>
      </c>
      <c r="M283" s="239" t="s">
        <v>4661</v>
      </c>
      <c r="N283" s="200">
        <v>22</v>
      </c>
      <c r="O283" s="45" t="s">
        <v>4604</v>
      </c>
    </row>
    <row r="284" spans="1:15" ht="15" customHeight="1" x14ac:dyDescent="0.3">
      <c r="A284" s="192" t="s">
        <v>4099</v>
      </c>
      <c r="B284" s="155" t="s">
        <v>4471</v>
      </c>
      <c r="C284" s="174" t="s">
        <v>160</v>
      </c>
      <c r="D284" s="45" t="s">
        <v>948</v>
      </c>
      <c r="E284" s="45" t="s">
        <v>2986</v>
      </c>
      <c r="F284" s="45">
        <v>180</v>
      </c>
      <c r="G284" s="45" t="s">
        <v>3041</v>
      </c>
      <c r="H284" s="98" t="s">
        <v>4472</v>
      </c>
      <c r="I284" s="98" t="s">
        <v>4470</v>
      </c>
      <c r="J284" s="160" t="s">
        <v>4614</v>
      </c>
      <c r="K284" s="166">
        <v>2</v>
      </c>
      <c r="L284" s="239" t="s">
        <v>4694</v>
      </c>
      <c r="M284" s="239" t="s">
        <v>4661</v>
      </c>
      <c r="N284" s="200">
        <v>22</v>
      </c>
      <c r="O284" s="45" t="s">
        <v>4604</v>
      </c>
    </row>
    <row r="285" spans="1:15" ht="15" customHeight="1" x14ac:dyDescent="0.3">
      <c r="A285" s="192" t="s">
        <v>4096</v>
      </c>
      <c r="B285" s="120" t="s">
        <v>4161</v>
      </c>
      <c r="C285" s="174" t="s">
        <v>163</v>
      </c>
      <c r="D285" s="45" t="s">
        <v>948</v>
      </c>
      <c r="E285" s="45" t="s">
        <v>2986</v>
      </c>
      <c r="F285" s="45">
        <v>180</v>
      </c>
      <c r="G285" s="45" t="s">
        <v>3041</v>
      </c>
      <c r="H285" s="98" t="s">
        <v>4468</v>
      </c>
      <c r="I285" s="98" t="s">
        <v>4470</v>
      </c>
      <c r="J285" s="160" t="s">
        <v>4614</v>
      </c>
      <c r="K285" s="166">
        <v>3</v>
      </c>
      <c r="L285" s="239" t="s">
        <v>4691</v>
      </c>
      <c r="M285" s="239" t="s">
        <v>4661</v>
      </c>
      <c r="N285" s="200">
        <v>22</v>
      </c>
      <c r="O285" s="45" t="s">
        <v>4604</v>
      </c>
    </row>
    <row r="286" spans="1:15" ht="15" customHeight="1" x14ac:dyDescent="0.3">
      <c r="A286" s="192" t="s">
        <v>4100</v>
      </c>
      <c r="B286" s="155" t="s">
        <v>4471</v>
      </c>
      <c r="C286" s="174" t="s">
        <v>162</v>
      </c>
      <c r="D286" s="45" t="s">
        <v>948</v>
      </c>
      <c r="E286" s="45" t="s">
        <v>2986</v>
      </c>
      <c r="F286" s="45">
        <v>180</v>
      </c>
      <c r="G286" s="45" t="s">
        <v>3041</v>
      </c>
      <c r="H286" s="98" t="s">
        <v>4472</v>
      </c>
      <c r="I286" s="98" t="s">
        <v>4470</v>
      </c>
      <c r="J286" s="160" t="s">
        <v>4614</v>
      </c>
      <c r="K286" s="166">
        <v>4</v>
      </c>
      <c r="L286" s="239" t="s">
        <v>4694</v>
      </c>
      <c r="M286" s="239" t="s">
        <v>4661</v>
      </c>
      <c r="N286" s="200">
        <v>22</v>
      </c>
      <c r="O286" s="45" t="s">
        <v>4604</v>
      </c>
    </row>
    <row r="287" spans="1:15" ht="15" customHeight="1" x14ac:dyDescent="0.3">
      <c r="A287" s="155" t="s">
        <v>4098</v>
      </c>
      <c r="B287" s="155" t="s">
        <v>4328</v>
      </c>
      <c r="C287" s="218" t="s">
        <v>168</v>
      </c>
      <c r="D287" s="45" t="s">
        <v>948</v>
      </c>
      <c r="E287" s="45" t="s">
        <v>2986</v>
      </c>
      <c r="F287" s="45">
        <v>460</v>
      </c>
      <c r="G287" s="45" t="s">
        <v>3063</v>
      </c>
      <c r="H287" s="98" t="s">
        <v>4511</v>
      </c>
      <c r="I287" s="98" t="s">
        <v>4470</v>
      </c>
      <c r="J287" s="160" t="s">
        <v>4614</v>
      </c>
      <c r="K287" s="166">
        <v>7</v>
      </c>
      <c r="L287" s="239" t="s">
        <v>4762</v>
      </c>
      <c r="M287" s="239" t="s">
        <v>4669</v>
      </c>
      <c r="N287" s="200">
        <v>16</v>
      </c>
      <c r="O287" s="45" t="s">
        <v>4604</v>
      </c>
    </row>
    <row r="288" spans="1:15" ht="15" customHeight="1" x14ac:dyDescent="0.3">
      <c r="A288" s="155" t="s">
        <v>4102</v>
      </c>
      <c r="B288" s="192" t="s">
        <v>4328</v>
      </c>
      <c r="C288" s="218" t="s">
        <v>166</v>
      </c>
      <c r="D288" s="45" t="s">
        <v>948</v>
      </c>
      <c r="E288" s="45" t="s">
        <v>2986</v>
      </c>
      <c r="F288" s="45">
        <v>460</v>
      </c>
      <c r="G288" s="45" t="s">
        <v>3063</v>
      </c>
      <c r="H288" s="98" t="s">
        <v>4511</v>
      </c>
      <c r="I288" s="98" t="s">
        <v>4470</v>
      </c>
      <c r="J288" s="160" t="s">
        <v>4614</v>
      </c>
      <c r="K288" s="166">
        <v>8</v>
      </c>
      <c r="L288" s="239" t="s">
        <v>4762</v>
      </c>
      <c r="M288" s="239" t="s">
        <v>4669</v>
      </c>
      <c r="N288" s="200">
        <v>16</v>
      </c>
      <c r="O288" s="45" t="s">
        <v>4604</v>
      </c>
    </row>
    <row r="289" spans="1:15" ht="15" customHeight="1" x14ac:dyDescent="0.3">
      <c r="A289" s="155" t="s">
        <v>4130</v>
      </c>
      <c r="B289" s="155" t="s">
        <v>4328</v>
      </c>
      <c r="C289" s="218" t="s">
        <v>169</v>
      </c>
      <c r="D289" s="45" t="s">
        <v>948</v>
      </c>
      <c r="E289" s="45" t="s">
        <v>2986</v>
      </c>
      <c r="F289" s="45">
        <v>460</v>
      </c>
      <c r="G289" s="45" t="s">
        <v>3063</v>
      </c>
      <c r="H289" s="98" t="s">
        <v>4511</v>
      </c>
      <c r="I289" s="98" t="s">
        <v>4470</v>
      </c>
      <c r="J289" s="160" t="s">
        <v>4642</v>
      </c>
      <c r="K289" s="166">
        <v>3</v>
      </c>
      <c r="L289" s="239" t="s">
        <v>4762</v>
      </c>
      <c r="M289" s="239" t="s">
        <v>4669</v>
      </c>
      <c r="N289" s="200">
        <v>16</v>
      </c>
      <c r="O289" s="45" t="s">
        <v>4604</v>
      </c>
    </row>
    <row r="290" spans="1:15" ht="15" customHeight="1" x14ac:dyDescent="0.3">
      <c r="A290" s="155" t="s">
        <v>4137</v>
      </c>
      <c r="B290" s="192" t="s">
        <v>4328</v>
      </c>
      <c r="C290" s="218" t="s">
        <v>167</v>
      </c>
      <c r="D290" s="45" t="s">
        <v>948</v>
      </c>
      <c r="E290" s="45" t="s">
        <v>2986</v>
      </c>
      <c r="F290" s="45">
        <v>460</v>
      </c>
      <c r="G290" s="45" t="s">
        <v>3063</v>
      </c>
      <c r="H290" s="98" t="s">
        <v>4511</v>
      </c>
      <c r="I290" s="98" t="s">
        <v>4470</v>
      </c>
      <c r="J290" s="160" t="s">
        <v>4642</v>
      </c>
      <c r="K290" s="166">
        <v>6</v>
      </c>
      <c r="L290" s="239" t="s">
        <v>4762</v>
      </c>
      <c r="M290" s="239" t="s">
        <v>4669</v>
      </c>
      <c r="N290" s="200">
        <v>16</v>
      </c>
      <c r="O290" s="45" t="s">
        <v>4604</v>
      </c>
    </row>
    <row r="291" spans="1:15" ht="15" customHeight="1" x14ac:dyDescent="0.3">
      <c r="A291" s="155" t="s">
        <v>4128</v>
      </c>
      <c r="B291" s="192" t="s">
        <v>4328</v>
      </c>
      <c r="C291" s="174" t="s">
        <v>171</v>
      </c>
      <c r="D291" s="45" t="s">
        <v>948</v>
      </c>
      <c r="E291" s="45" t="s">
        <v>2986</v>
      </c>
      <c r="F291" s="45">
        <v>460</v>
      </c>
      <c r="G291" s="45" t="s">
        <v>3063</v>
      </c>
      <c r="H291" s="98" t="s">
        <v>4511</v>
      </c>
      <c r="I291" s="98" t="s">
        <v>4470</v>
      </c>
      <c r="J291" s="160" t="s">
        <v>4642</v>
      </c>
      <c r="K291" s="166">
        <v>1</v>
      </c>
      <c r="L291" s="239" t="s">
        <v>4762</v>
      </c>
      <c r="M291" s="239" t="s">
        <v>4669</v>
      </c>
      <c r="N291" s="200">
        <v>16</v>
      </c>
      <c r="O291" s="45" t="s">
        <v>4604</v>
      </c>
    </row>
    <row r="292" spans="1:15" ht="15" customHeight="1" x14ac:dyDescent="0.3">
      <c r="A292" s="155" t="s">
        <v>4135</v>
      </c>
      <c r="B292" s="192" t="s">
        <v>4328</v>
      </c>
      <c r="C292" s="174" t="s">
        <v>170</v>
      </c>
      <c r="D292" s="45" t="s">
        <v>948</v>
      </c>
      <c r="E292" s="45" t="s">
        <v>2986</v>
      </c>
      <c r="F292" s="45">
        <v>460</v>
      </c>
      <c r="G292" s="45" t="s">
        <v>3063</v>
      </c>
      <c r="H292" s="98" t="s">
        <v>4511</v>
      </c>
      <c r="I292" s="98" t="s">
        <v>4470</v>
      </c>
      <c r="J292" s="160" t="s">
        <v>4642</v>
      </c>
      <c r="K292" s="166">
        <v>4</v>
      </c>
      <c r="L292" s="239" t="s">
        <v>4762</v>
      </c>
      <c r="M292" s="239" t="s">
        <v>4669</v>
      </c>
      <c r="N292" s="200">
        <v>16</v>
      </c>
      <c r="O292" s="45" t="s">
        <v>4604</v>
      </c>
    </row>
    <row r="293" spans="1:15" ht="15" customHeight="1" x14ac:dyDescent="0.3">
      <c r="A293" s="155" t="s">
        <v>4129</v>
      </c>
      <c r="B293" s="192" t="s">
        <v>4328</v>
      </c>
      <c r="C293" s="218" t="s">
        <v>947</v>
      </c>
      <c r="D293" s="45" t="s">
        <v>948</v>
      </c>
      <c r="E293" s="45" t="s">
        <v>2986</v>
      </c>
      <c r="F293" s="45">
        <v>460</v>
      </c>
      <c r="G293" s="45" t="s">
        <v>3063</v>
      </c>
      <c r="H293" s="98" t="s">
        <v>4511</v>
      </c>
      <c r="I293" s="98" t="s">
        <v>4470</v>
      </c>
      <c r="J293" s="160" t="s">
        <v>4642</v>
      </c>
      <c r="K293" s="166">
        <v>2</v>
      </c>
      <c r="L293" s="239" t="s">
        <v>4762</v>
      </c>
      <c r="M293" s="239" t="s">
        <v>4669</v>
      </c>
      <c r="N293" s="200">
        <v>16</v>
      </c>
      <c r="O293" s="45" t="s">
        <v>4604</v>
      </c>
    </row>
    <row r="294" spans="1:15" ht="15" customHeight="1" x14ac:dyDescent="0.3">
      <c r="A294" s="155" t="s">
        <v>4136</v>
      </c>
      <c r="B294" s="192" t="s">
        <v>4328</v>
      </c>
      <c r="C294" s="218" t="s">
        <v>946</v>
      </c>
      <c r="D294" s="45" t="s">
        <v>948</v>
      </c>
      <c r="E294" s="45" t="s">
        <v>2986</v>
      </c>
      <c r="F294" s="45">
        <v>460</v>
      </c>
      <c r="G294" s="45" t="s">
        <v>3063</v>
      </c>
      <c r="H294" s="98" t="s">
        <v>4511</v>
      </c>
      <c r="I294" s="98" t="s">
        <v>4470</v>
      </c>
      <c r="J294" s="160" t="s">
        <v>4642</v>
      </c>
      <c r="K294" s="166">
        <v>5</v>
      </c>
      <c r="L294" s="239" t="s">
        <v>4762</v>
      </c>
      <c r="M294" s="239" t="s">
        <v>4669</v>
      </c>
      <c r="N294" s="200">
        <v>16</v>
      </c>
      <c r="O294" s="45" t="s">
        <v>4604</v>
      </c>
    </row>
    <row r="295" spans="1:15" ht="15" customHeight="1" x14ac:dyDescent="0.3">
      <c r="A295" s="155" t="s">
        <v>4097</v>
      </c>
      <c r="B295" s="192" t="s">
        <v>4328</v>
      </c>
      <c r="C295" s="218" t="s">
        <v>173</v>
      </c>
      <c r="D295" s="45" t="s">
        <v>948</v>
      </c>
      <c r="E295" s="45" t="s">
        <v>2986</v>
      </c>
      <c r="F295" s="45">
        <v>460</v>
      </c>
      <c r="G295" s="45" t="s">
        <v>3041</v>
      </c>
      <c r="H295" s="98" t="s">
        <v>4511</v>
      </c>
      <c r="I295" s="98" t="s">
        <v>4470</v>
      </c>
      <c r="J295" s="160" t="s">
        <v>4614</v>
      </c>
      <c r="K295" s="166">
        <v>5</v>
      </c>
      <c r="L295" s="239" t="s">
        <v>4763</v>
      </c>
      <c r="M295" s="239" t="s">
        <v>4669</v>
      </c>
      <c r="N295" s="200">
        <v>12</v>
      </c>
      <c r="O295" s="45" t="s">
        <v>4604</v>
      </c>
    </row>
    <row r="296" spans="1:15" ht="15" customHeight="1" x14ac:dyDescent="0.3">
      <c r="A296" s="155" t="s">
        <v>4101</v>
      </c>
      <c r="B296" s="192" t="s">
        <v>4328</v>
      </c>
      <c r="C296" s="218" t="s">
        <v>172</v>
      </c>
      <c r="D296" s="45" t="s">
        <v>948</v>
      </c>
      <c r="E296" s="45" t="s">
        <v>2986</v>
      </c>
      <c r="F296" s="45">
        <v>460</v>
      </c>
      <c r="G296" s="45" t="s">
        <v>3041</v>
      </c>
      <c r="H296" s="98" t="s">
        <v>4511</v>
      </c>
      <c r="I296" s="98" t="s">
        <v>4470</v>
      </c>
      <c r="J296" s="160" t="s">
        <v>4614</v>
      </c>
      <c r="K296" s="166">
        <v>6</v>
      </c>
      <c r="L296" s="239" t="s">
        <v>4763</v>
      </c>
      <c r="M296" s="239" t="s">
        <v>4669</v>
      </c>
      <c r="N296" s="200">
        <v>12</v>
      </c>
      <c r="O296" s="45" t="s">
        <v>4604</v>
      </c>
    </row>
    <row r="297" spans="1:15" ht="15" customHeight="1" x14ac:dyDescent="0.3">
      <c r="A297" s="155" t="s">
        <v>4066</v>
      </c>
      <c r="B297" s="192" t="s">
        <v>4328</v>
      </c>
      <c r="C297" s="218" t="s">
        <v>925</v>
      </c>
      <c r="D297" s="45" t="s">
        <v>948</v>
      </c>
      <c r="E297" s="45" t="s">
        <v>2986</v>
      </c>
      <c r="F297" s="45">
        <v>461</v>
      </c>
      <c r="G297" s="45" t="s">
        <v>3041</v>
      </c>
      <c r="H297" s="98" t="s">
        <v>4511</v>
      </c>
      <c r="I297" s="98" t="s">
        <v>4470</v>
      </c>
      <c r="J297" s="160" t="s">
        <v>4643</v>
      </c>
      <c r="K297" s="166">
        <v>1</v>
      </c>
      <c r="L297" s="239" t="s">
        <v>4763</v>
      </c>
      <c r="M297" s="239" t="s">
        <v>4669</v>
      </c>
      <c r="N297" s="200">
        <v>12</v>
      </c>
      <c r="O297" s="45" t="s">
        <v>4604</v>
      </c>
    </row>
    <row r="298" spans="1:15" ht="15" customHeight="1" x14ac:dyDescent="0.3">
      <c r="A298" s="155" t="s">
        <v>4125</v>
      </c>
      <c r="B298" s="192" t="s">
        <v>4328</v>
      </c>
      <c r="C298" s="218" t="s">
        <v>924</v>
      </c>
      <c r="D298" s="45" t="s">
        <v>948</v>
      </c>
      <c r="E298" s="45" t="s">
        <v>2986</v>
      </c>
      <c r="F298" s="45">
        <v>462</v>
      </c>
      <c r="G298" s="45" t="s">
        <v>3041</v>
      </c>
      <c r="H298" s="98" t="s">
        <v>4511</v>
      </c>
      <c r="I298" s="98" t="s">
        <v>4470</v>
      </c>
      <c r="J298" s="160" t="s">
        <v>4643</v>
      </c>
      <c r="K298" s="166">
        <v>2</v>
      </c>
      <c r="L298" s="239" t="s">
        <v>4763</v>
      </c>
      <c r="M298" s="239" t="s">
        <v>4669</v>
      </c>
      <c r="N298" s="200">
        <v>12</v>
      </c>
      <c r="O298" s="45" t="s">
        <v>4604</v>
      </c>
    </row>
    <row r="299" spans="1:15" ht="15" customHeight="1" x14ac:dyDescent="0.3">
      <c r="A299" s="155" t="s">
        <v>4131</v>
      </c>
      <c r="B299" s="192" t="s">
        <v>4328</v>
      </c>
      <c r="C299" s="218" t="s">
        <v>922</v>
      </c>
      <c r="D299" s="45" t="s">
        <v>948</v>
      </c>
      <c r="E299" s="45" t="s">
        <v>2986</v>
      </c>
      <c r="F299" s="45">
        <v>463</v>
      </c>
      <c r="G299" s="45" t="s">
        <v>3041</v>
      </c>
      <c r="H299" s="98" t="s">
        <v>4511</v>
      </c>
      <c r="I299" s="98" t="s">
        <v>4470</v>
      </c>
      <c r="J299" s="160" t="s">
        <v>4643</v>
      </c>
      <c r="K299" s="166">
        <v>5</v>
      </c>
      <c r="L299" s="239" t="s">
        <v>4763</v>
      </c>
      <c r="M299" s="239" t="s">
        <v>4669</v>
      </c>
      <c r="N299" s="200">
        <v>12</v>
      </c>
      <c r="O299" s="45" t="s">
        <v>4604</v>
      </c>
    </row>
    <row r="300" spans="1:15" ht="15" customHeight="1" x14ac:dyDescent="0.3">
      <c r="A300" s="155" t="s">
        <v>4132</v>
      </c>
      <c r="B300" s="192" t="s">
        <v>4328</v>
      </c>
      <c r="C300" s="218" t="s">
        <v>923</v>
      </c>
      <c r="D300" s="45" t="s">
        <v>948</v>
      </c>
      <c r="E300" s="45" t="s">
        <v>2986</v>
      </c>
      <c r="F300" s="45">
        <v>464</v>
      </c>
      <c r="G300" s="45" t="s">
        <v>3041</v>
      </c>
      <c r="H300" s="98" t="s">
        <v>4511</v>
      </c>
      <c r="I300" s="98" t="s">
        <v>4470</v>
      </c>
      <c r="J300" s="160" t="s">
        <v>4643</v>
      </c>
      <c r="K300" s="166">
        <v>6</v>
      </c>
      <c r="L300" s="239" t="s">
        <v>4763</v>
      </c>
      <c r="M300" s="239" t="s">
        <v>4669</v>
      </c>
      <c r="N300" s="200">
        <v>12</v>
      </c>
      <c r="O300" s="45" t="s">
        <v>4604</v>
      </c>
    </row>
    <row r="301" spans="1:15" ht="15" customHeight="1" x14ac:dyDescent="0.3">
      <c r="A301" s="155" t="s">
        <v>4126</v>
      </c>
      <c r="B301" s="192" t="s">
        <v>4328</v>
      </c>
      <c r="C301" s="218" t="s">
        <v>929</v>
      </c>
      <c r="D301" s="45" t="s">
        <v>948</v>
      </c>
      <c r="E301" s="45" t="s">
        <v>2986</v>
      </c>
      <c r="F301" s="45">
        <v>465</v>
      </c>
      <c r="G301" s="45" t="s">
        <v>3041</v>
      </c>
      <c r="H301" s="98" t="s">
        <v>4511</v>
      </c>
      <c r="I301" s="98" t="s">
        <v>4470</v>
      </c>
      <c r="J301" s="160" t="s">
        <v>4643</v>
      </c>
      <c r="K301" s="166">
        <v>3</v>
      </c>
      <c r="L301" s="239" t="s">
        <v>4764</v>
      </c>
      <c r="M301" s="239" t="s">
        <v>4669</v>
      </c>
      <c r="N301" s="200">
        <v>14</v>
      </c>
      <c r="O301" s="45" t="s">
        <v>4604</v>
      </c>
    </row>
    <row r="302" spans="1:15" ht="13.8" customHeight="1" x14ac:dyDescent="0.3">
      <c r="A302" s="155" t="s">
        <v>4127</v>
      </c>
      <c r="B302" s="192" t="s">
        <v>4328</v>
      </c>
      <c r="C302" s="218" t="s">
        <v>928</v>
      </c>
      <c r="D302" s="45" t="s">
        <v>948</v>
      </c>
      <c r="E302" s="45" t="s">
        <v>2986</v>
      </c>
      <c r="F302" s="45">
        <v>466</v>
      </c>
      <c r="G302" s="45" t="s">
        <v>3041</v>
      </c>
      <c r="H302" s="98" t="s">
        <v>4511</v>
      </c>
      <c r="I302" s="98" t="s">
        <v>4470</v>
      </c>
      <c r="J302" s="160" t="s">
        <v>4643</v>
      </c>
      <c r="K302" s="166">
        <v>4</v>
      </c>
      <c r="L302" s="239" t="s">
        <v>4764</v>
      </c>
      <c r="M302" s="239" t="s">
        <v>4669</v>
      </c>
      <c r="N302" s="200">
        <v>14</v>
      </c>
      <c r="O302" s="45" t="s">
        <v>4604</v>
      </c>
    </row>
    <row r="303" spans="1:15" ht="15" customHeight="1" x14ac:dyDescent="0.3">
      <c r="A303" s="155" t="s">
        <v>4133</v>
      </c>
      <c r="B303" s="192" t="s">
        <v>4328</v>
      </c>
      <c r="C303" s="218" t="s">
        <v>926</v>
      </c>
      <c r="D303" s="45" t="s">
        <v>948</v>
      </c>
      <c r="E303" s="45" t="s">
        <v>2986</v>
      </c>
      <c r="F303" s="45">
        <v>467</v>
      </c>
      <c r="G303" s="45" t="s">
        <v>3041</v>
      </c>
      <c r="H303" s="98" t="s">
        <v>4511</v>
      </c>
      <c r="I303" s="98" t="s">
        <v>4470</v>
      </c>
      <c r="J303" s="160" t="s">
        <v>4643</v>
      </c>
      <c r="K303" s="166">
        <v>7</v>
      </c>
      <c r="L303" s="239" t="s">
        <v>4764</v>
      </c>
      <c r="M303" s="239" t="s">
        <v>4669</v>
      </c>
      <c r="N303" s="200">
        <v>14</v>
      </c>
      <c r="O303" s="45" t="s">
        <v>4604</v>
      </c>
    </row>
    <row r="304" spans="1:15" ht="15" customHeight="1" x14ac:dyDescent="0.3">
      <c r="A304" s="155" t="s">
        <v>4134</v>
      </c>
      <c r="B304" s="192" t="s">
        <v>4328</v>
      </c>
      <c r="C304" s="218" t="s">
        <v>927</v>
      </c>
      <c r="D304" s="45" t="s">
        <v>948</v>
      </c>
      <c r="E304" s="45" t="s">
        <v>2986</v>
      </c>
      <c r="F304" s="45">
        <v>468</v>
      </c>
      <c r="G304" s="45" t="s">
        <v>3041</v>
      </c>
      <c r="H304" s="98" t="s">
        <v>4511</v>
      </c>
      <c r="I304" s="98" t="s">
        <v>4470</v>
      </c>
      <c r="J304" s="160" t="s">
        <v>4643</v>
      </c>
      <c r="K304" s="166">
        <v>8</v>
      </c>
      <c r="L304" s="239" t="s">
        <v>4764</v>
      </c>
      <c r="M304" s="239" t="s">
        <v>4669</v>
      </c>
      <c r="N304" s="200">
        <v>14</v>
      </c>
      <c r="O304" s="45" t="s">
        <v>4604</v>
      </c>
    </row>
    <row r="305" spans="1:23" ht="15" customHeight="1" x14ac:dyDescent="0.3">
      <c r="A305" s="155" t="s">
        <v>4077</v>
      </c>
      <c r="B305" s="119" t="s">
        <v>4173</v>
      </c>
      <c r="C305" s="218" t="s">
        <v>175</v>
      </c>
      <c r="D305" s="45" t="s">
        <v>948</v>
      </c>
      <c r="E305" s="45" t="s">
        <v>2986</v>
      </c>
      <c r="F305" s="99">
        <v>200</v>
      </c>
      <c r="G305" s="45" t="s">
        <v>3064</v>
      </c>
      <c r="H305" s="98" t="s">
        <v>4478</v>
      </c>
      <c r="I305" s="33" t="s">
        <v>4470</v>
      </c>
      <c r="J305" s="178" t="s">
        <v>4620</v>
      </c>
      <c r="K305" s="179">
        <v>7</v>
      </c>
      <c r="L305" s="202" t="s">
        <v>4699</v>
      </c>
      <c r="M305" s="202" t="s">
        <v>4697</v>
      </c>
      <c r="N305" s="197">
        <v>11</v>
      </c>
      <c r="O305" s="180" t="s">
        <v>4604</v>
      </c>
    </row>
    <row r="306" spans="1:23" ht="15" customHeight="1" x14ac:dyDescent="0.3">
      <c r="A306" s="155" t="s">
        <v>4078</v>
      </c>
      <c r="B306" s="119" t="s">
        <v>4178</v>
      </c>
      <c r="C306" s="218" t="s">
        <v>174</v>
      </c>
      <c r="D306" s="45" t="s">
        <v>948</v>
      </c>
      <c r="E306" s="45" t="s">
        <v>2986</v>
      </c>
      <c r="F306" s="99">
        <v>201</v>
      </c>
      <c r="G306" s="45" t="s">
        <v>3064</v>
      </c>
      <c r="H306" s="33" t="s">
        <v>4481</v>
      </c>
      <c r="I306" s="33" t="s">
        <v>4470</v>
      </c>
      <c r="J306" s="178" t="s">
        <v>4622</v>
      </c>
      <c r="K306" s="179">
        <v>7</v>
      </c>
      <c r="L306" s="202" t="s">
        <v>4704</v>
      </c>
      <c r="M306" s="202" t="s">
        <v>4697</v>
      </c>
      <c r="N306" s="197">
        <v>11</v>
      </c>
      <c r="O306" s="180" t="s">
        <v>4604</v>
      </c>
    </row>
    <row r="307" spans="1:23" ht="15" customHeight="1" x14ac:dyDescent="0.3">
      <c r="A307" s="232" t="s">
        <v>4142</v>
      </c>
      <c r="B307" s="192" t="s">
        <v>4329</v>
      </c>
      <c r="C307" s="233" t="s">
        <v>4210</v>
      </c>
      <c r="D307" s="45" t="s">
        <v>948</v>
      </c>
      <c r="E307" s="45" t="s">
        <v>2986</v>
      </c>
      <c r="F307" s="45">
        <v>130</v>
      </c>
      <c r="G307" s="45" t="s">
        <v>3065</v>
      </c>
      <c r="H307" s="98" t="s">
        <v>4512</v>
      </c>
      <c r="I307" s="144" t="s">
        <v>4480</v>
      </c>
      <c r="J307" s="144" t="s">
        <v>4480</v>
      </c>
      <c r="K307" s="144" t="s">
        <v>4480</v>
      </c>
      <c r="L307" s="239" t="s">
        <v>4765</v>
      </c>
      <c r="M307" s="239" t="s">
        <v>4697</v>
      </c>
      <c r="N307" s="200">
        <v>11</v>
      </c>
      <c r="O307" s="144" t="s">
        <v>4480</v>
      </c>
    </row>
    <row r="308" spans="1:23" ht="15" customHeight="1" x14ac:dyDescent="0.3">
      <c r="A308" s="232" t="s">
        <v>4143</v>
      </c>
      <c r="B308" s="192" t="s">
        <v>4329</v>
      </c>
      <c r="C308" s="233" t="s">
        <v>4211</v>
      </c>
      <c r="D308" s="45" t="s">
        <v>948</v>
      </c>
      <c r="E308" s="45" t="s">
        <v>2986</v>
      </c>
      <c r="F308" s="45">
        <v>130</v>
      </c>
      <c r="G308" s="45" t="s">
        <v>3065</v>
      </c>
      <c r="H308" s="98" t="s">
        <v>4512</v>
      </c>
      <c r="I308" s="144" t="s">
        <v>4480</v>
      </c>
      <c r="J308" s="144" t="s">
        <v>4480</v>
      </c>
      <c r="K308" s="144" t="s">
        <v>4480</v>
      </c>
      <c r="L308" s="239" t="s">
        <v>4765</v>
      </c>
      <c r="M308" s="239" t="s">
        <v>4697</v>
      </c>
      <c r="N308" s="200">
        <v>11</v>
      </c>
      <c r="O308" s="144" t="s">
        <v>4480</v>
      </c>
    </row>
    <row r="309" spans="1:23" ht="15" customHeight="1" x14ac:dyDescent="0.3">
      <c r="A309" s="232" t="s">
        <v>4148</v>
      </c>
      <c r="B309" s="192" t="s">
        <v>4329</v>
      </c>
      <c r="C309" s="233" t="s">
        <v>4212</v>
      </c>
      <c r="D309" s="45" t="s">
        <v>948</v>
      </c>
      <c r="E309" s="45" t="s">
        <v>2986</v>
      </c>
      <c r="F309" s="45">
        <v>130</v>
      </c>
      <c r="G309" s="45" t="s">
        <v>3065</v>
      </c>
      <c r="H309" s="98" t="s">
        <v>4512</v>
      </c>
      <c r="I309" s="144" t="s">
        <v>4480</v>
      </c>
      <c r="J309" s="144" t="s">
        <v>4480</v>
      </c>
      <c r="K309" s="144" t="s">
        <v>4480</v>
      </c>
      <c r="L309" s="239" t="s">
        <v>4765</v>
      </c>
      <c r="M309" s="239" t="s">
        <v>4697</v>
      </c>
      <c r="N309" s="200">
        <v>11</v>
      </c>
      <c r="O309" s="144" t="s">
        <v>4480</v>
      </c>
    </row>
    <row r="310" spans="1:23" ht="15" customHeight="1" x14ac:dyDescent="0.3">
      <c r="A310" s="232" t="s">
        <v>4149</v>
      </c>
      <c r="B310" s="192" t="s">
        <v>4329</v>
      </c>
      <c r="C310" s="233" t="s">
        <v>4213</v>
      </c>
      <c r="D310" s="45" t="s">
        <v>948</v>
      </c>
      <c r="E310" s="45" t="s">
        <v>2986</v>
      </c>
      <c r="F310" s="45">
        <v>130</v>
      </c>
      <c r="G310" s="45" t="s">
        <v>3065</v>
      </c>
      <c r="H310" s="98" t="s">
        <v>4512</v>
      </c>
      <c r="I310" s="144" t="s">
        <v>4480</v>
      </c>
      <c r="J310" s="144" t="s">
        <v>4480</v>
      </c>
      <c r="K310" s="144" t="s">
        <v>4480</v>
      </c>
      <c r="L310" s="239" t="s">
        <v>4765</v>
      </c>
      <c r="M310" s="239" t="s">
        <v>4697</v>
      </c>
      <c r="N310" s="200">
        <v>11</v>
      </c>
      <c r="O310" s="144" t="s">
        <v>4480</v>
      </c>
    </row>
    <row r="311" spans="1:23" ht="15" customHeight="1" x14ac:dyDescent="0.3">
      <c r="A311" s="232" t="s">
        <v>4146</v>
      </c>
      <c r="B311" s="155" t="s">
        <v>4330</v>
      </c>
      <c r="C311" s="233" t="s">
        <v>4214</v>
      </c>
      <c r="D311" s="45" t="s">
        <v>948</v>
      </c>
      <c r="E311" s="45" t="s">
        <v>2986</v>
      </c>
      <c r="F311" s="45">
        <v>100</v>
      </c>
      <c r="G311" s="45" t="s">
        <v>3066</v>
      </c>
      <c r="H311" s="98" t="s">
        <v>4513</v>
      </c>
      <c r="I311" s="144" t="s">
        <v>4480</v>
      </c>
      <c r="J311" s="144" t="s">
        <v>4480</v>
      </c>
      <c r="K311" s="144" t="s">
        <v>4480</v>
      </c>
      <c r="L311" s="239" t="s">
        <v>4766</v>
      </c>
      <c r="M311" s="239" t="s">
        <v>4697</v>
      </c>
      <c r="N311" s="200">
        <v>11</v>
      </c>
      <c r="O311" s="144" t="s">
        <v>4480</v>
      </c>
    </row>
    <row r="312" spans="1:23" ht="15" customHeight="1" x14ac:dyDescent="0.3">
      <c r="A312" s="232" t="s">
        <v>4144</v>
      </c>
      <c r="B312" s="155" t="s">
        <v>4330</v>
      </c>
      <c r="C312" s="233" t="s">
        <v>4215</v>
      </c>
      <c r="D312" s="45" t="s">
        <v>948</v>
      </c>
      <c r="E312" s="45" t="s">
        <v>2986</v>
      </c>
      <c r="F312" s="45">
        <v>100</v>
      </c>
      <c r="G312" s="45" t="s">
        <v>3066</v>
      </c>
      <c r="H312" s="98" t="s">
        <v>4513</v>
      </c>
      <c r="I312" s="144" t="s">
        <v>4480</v>
      </c>
      <c r="J312" s="144" t="s">
        <v>4480</v>
      </c>
      <c r="K312" s="144" t="s">
        <v>4480</v>
      </c>
      <c r="L312" s="239" t="s">
        <v>4766</v>
      </c>
      <c r="M312" s="239" t="s">
        <v>4697</v>
      </c>
      <c r="N312" s="200">
        <v>11</v>
      </c>
      <c r="O312" s="144" t="s">
        <v>4480</v>
      </c>
    </row>
    <row r="313" spans="1:23" ht="15" customHeight="1" x14ac:dyDescent="0.3">
      <c r="A313" s="232" t="s">
        <v>4145</v>
      </c>
      <c r="B313" s="192" t="s">
        <v>4330</v>
      </c>
      <c r="C313" s="233" t="s">
        <v>4216</v>
      </c>
      <c r="D313" s="45" t="s">
        <v>948</v>
      </c>
      <c r="E313" s="45" t="s">
        <v>2986</v>
      </c>
      <c r="F313" s="45">
        <v>100</v>
      </c>
      <c r="G313" s="45" t="s">
        <v>3066</v>
      </c>
      <c r="H313" s="98" t="s">
        <v>4513</v>
      </c>
      <c r="I313" s="144" t="s">
        <v>4480</v>
      </c>
      <c r="J313" s="144" t="s">
        <v>4480</v>
      </c>
      <c r="K313" s="144" t="s">
        <v>4480</v>
      </c>
      <c r="L313" s="239" t="s">
        <v>4766</v>
      </c>
      <c r="M313" s="239" t="s">
        <v>4697</v>
      </c>
      <c r="N313" s="200">
        <v>11</v>
      </c>
      <c r="O313" s="144" t="s">
        <v>4480</v>
      </c>
    </row>
    <row r="314" spans="1:23" ht="15" customHeight="1" x14ac:dyDescent="0.3">
      <c r="A314" s="232" t="s">
        <v>4147</v>
      </c>
      <c r="B314" s="192" t="s">
        <v>4330</v>
      </c>
      <c r="C314" s="233" t="s">
        <v>4217</v>
      </c>
      <c r="D314" s="45" t="s">
        <v>948</v>
      </c>
      <c r="E314" s="45" t="s">
        <v>2986</v>
      </c>
      <c r="F314" s="45">
        <v>100</v>
      </c>
      <c r="G314" s="45" t="s">
        <v>3066</v>
      </c>
      <c r="H314" s="98" t="s">
        <v>4513</v>
      </c>
      <c r="I314" s="144" t="s">
        <v>4480</v>
      </c>
      <c r="J314" s="144" t="s">
        <v>4480</v>
      </c>
      <c r="K314" s="144" t="s">
        <v>4480</v>
      </c>
      <c r="L314" s="239" t="s">
        <v>4766</v>
      </c>
      <c r="M314" s="239" t="s">
        <v>4697</v>
      </c>
      <c r="N314" s="200">
        <v>11</v>
      </c>
      <c r="O314" s="144" t="s">
        <v>4480</v>
      </c>
    </row>
    <row r="315" spans="1:23" ht="15" customHeight="1" x14ac:dyDescent="0.3">
      <c r="A315" s="155" t="s">
        <v>3767</v>
      </c>
      <c r="B315" s="192" t="s">
        <v>4401</v>
      </c>
      <c r="C315" s="218" t="s">
        <v>176</v>
      </c>
      <c r="D315" s="45" t="s">
        <v>948</v>
      </c>
      <c r="E315" s="45" t="s">
        <v>2987</v>
      </c>
      <c r="F315" s="45">
        <v>120</v>
      </c>
      <c r="G315" s="45" t="s">
        <v>3067</v>
      </c>
      <c r="H315" s="98" t="s">
        <v>4541</v>
      </c>
      <c r="I315" s="98" t="s">
        <v>4523</v>
      </c>
      <c r="J315" s="160" t="s">
        <v>4616</v>
      </c>
      <c r="K315" s="166">
        <v>2</v>
      </c>
      <c r="L315" s="202" t="s">
        <v>4827</v>
      </c>
      <c r="M315" s="202" t="s">
        <v>4690</v>
      </c>
      <c r="N315" s="197">
        <v>4</v>
      </c>
      <c r="O315" s="45" t="s">
        <v>4604</v>
      </c>
    </row>
    <row r="316" spans="1:23" ht="15" customHeight="1" x14ac:dyDescent="0.3">
      <c r="A316" s="155" t="s">
        <v>3767</v>
      </c>
      <c r="B316" s="192" t="s">
        <v>4402</v>
      </c>
      <c r="C316" s="218" t="s">
        <v>177</v>
      </c>
      <c r="D316" s="45" t="s">
        <v>948</v>
      </c>
      <c r="E316" s="45" t="s">
        <v>2987</v>
      </c>
      <c r="F316" s="45">
        <v>120</v>
      </c>
      <c r="G316" s="45" t="s">
        <v>3067</v>
      </c>
      <c r="H316" s="98" t="s">
        <v>4542</v>
      </c>
      <c r="I316" s="98" t="s">
        <v>4523</v>
      </c>
      <c r="J316" s="160" t="s">
        <v>4617</v>
      </c>
      <c r="K316" s="166">
        <v>1</v>
      </c>
      <c r="L316" s="239" t="s">
        <v>4829</v>
      </c>
      <c r="M316" s="239" t="s">
        <v>4690</v>
      </c>
      <c r="N316" s="200">
        <v>8</v>
      </c>
      <c r="O316" s="45" t="s">
        <v>4604</v>
      </c>
    </row>
    <row r="317" spans="1:23" s="126" customFormat="1" ht="15" customHeight="1" x14ac:dyDescent="0.3">
      <c r="A317" s="155" t="s">
        <v>3360</v>
      </c>
      <c r="B317" s="192" t="s">
        <v>4402</v>
      </c>
      <c r="C317" s="218" t="s">
        <v>3053</v>
      </c>
      <c r="D317" s="45" t="s">
        <v>948</v>
      </c>
      <c r="E317" s="45" t="s">
        <v>2987</v>
      </c>
      <c r="F317" s="45">
        <v>160</v>
      </c>
      <c r="G317" s="45" t="s">
        <v>3068</v>
      </c>
      <c r="H317" s="98" t="s">
        <v>4542</v>
      </c>
      <c r="I317" s="98" t="s">
        <v>4523</v>
      </c>
      <c r="J317" s="160" t="s">
        <v>4616</v>
      </c>
      <c r="K317" s="166">
        <v>1</v>
      </c>
      <c r="L317" s="239" t="s">
        <v>4829</v>
      </c>
      <c r="M317" s="239" t="s">
        <v>4690</v>
      </c>
      <c r="N317" s="200">
        <v>8</v>
      </c>
      <c r="O317" s="45" t="s">
        <v>4604</v>
      </c>
      <c r="P317" s="116"/>
      <c r="Q317" s="116"/>
      <c r="R317" s="116"/>
      <c r="S317" s="116"/>
      <c r="T317" s="116"/>
      <c r="U317" s="116"/>
      <c r="V317" s="116"/>
      <c r="W317" s="116"/>
    </row>
    <row r="318" spans="1:23" s="126" customFormat="1" x14ac:dyDescent="0.3">
      <c r="A318" s="155" t="s">
        <v>4053</v>
      </c>
      <c r="B318" s="192" t="s">
        <v>4403</v>
      </c>
      <c r="C318" s="218" t="s">
        <v>181</v>
      </c>
      <c r="D318" s="45" t="s">
        <v>948</v>
      </c>
      <c r="E318" s="45" t="s">
        <v>2987</v>
      </c>
      <c r="F318" s="45">
        <v>540</v>
      </c>
      <c r="G318" s="45" t="s">
        <v>3069</v>
      </c>
      <c r="H318" s="98" t="s">
        <v>4543</v>
      </c>
      <c r="I318" s="98" t="s">
        <v>4523</v>
      </c>
      <c r="J318" s="160" t="s">
        <v>4644</v>
      </c>
      <c r="K318" s="166">
        <v>3</v>
      </c>
      <c r="L318" s="239" t="s">
        <v>4833</v>
      </c>
      <c r="M318" s="239" t="s">
        <v>4669</v>
      </c>
      <c r="N318" s="200">
        <v>14</v>
      </c>
      <c r="O318" s="45" t="s">
        <v>4604</v>
      </c>
      <c r="P318" s="116"/>
      <c r="Q318" s="116"/>
      <c r="R318" s="116"/>
      <c r="S318" s="116"/>
      <c r="T318" s="116"/>
      <c r="U318" s="116"/>
      <c r="V318" s="116"/>
      <c r="W318" s="116"/>
    </row>
    <row r="319" spans="1:23" s="126" customFormat="1" ht="15" customHeight="1" x14ac:dyDescent="0.3">
      <c r="A319" s="155" t="s">
        <v>3971</v>
      </c>
      <c r="B319" s="192" t="s">
        <v>4403</v>
      </c>
      <c r="C319" s="218" t="s">
        <v>183</v>
      </c>
      <c r="D319" s="45" t="s">
        <v>948</v>
      </c>
      <c r="E319" s="45" t="s">
        <v>2987</v>
      </c>
      <c r="F319" s="45">
        <v>540</v>
      </c>
      <c r="G319" s="45" t="s">
        <v>3074</v>
      </c>
      <c r="H319" s="98" t="s">
        <v>4543</v>
      </c>
      <c r="I319" s="98" t="s">
        <v>4523</v>
      </c>
      <c r="J319" s="160" t="s">
        <v>4644</v>
      </c>
      <c r="K319" s="166">
        <v>4</v>
      </c>
      <c r="L319" s="239" t="s">
        <v>4833</v>
      </c>
      <c r="M319" s="239" t="s">
        <v>4669</v>
      </c>
      <c r="N319" s="200">
        <v>14</v>
      </c>
      <c r="O319" s="45" t="s">
        <v>4604</v>
      </c>
      <c r="P319" s="116"/>
      <c r="Q319" s="116"/>
      <c r="R319" s="116"/>
      <c r="S319" s="116"/>
      <c r="T319" s="116"/>
      <c r="U319" s="116"/>
      <c r="V319" s="116"/>
      <c r="W319" s="116"/>
    </row>
    <row r="320" spans="1:23" s="126" customFormat="1" ht="15" customHeight="1" x14ac:dyDescent="0.3">
      <c r="A320" s="155" t="s">
        <v>4572</v>
      </c>
      <c r="B320" s="192" t="s">
        <v>4346</v>
      </c>
      <c r="C320" s="218" t="s">
        <v>4571</v>
      </c>
      <c r="D320" s="45"/>
      <c r="E320" s="45"/>
      <c r="F320" s="45"/>
      <c r="G320" s="45"/>
      <c r="H320" s="148" t="s">
        <v>4346</v>
      </c>
      <c r="I320" s="98" t="s">
        <v>4523</v>
      </c>
      <c r="J320" s="160" t="s">
        <v>4616</v>
      </c>
      <c r="K320" s="166">
        <v>3</v>
      </c>
      <c r="L320" s="239" t="s">
        <v>4788</v>
      </c>
      <c r="M320" s="239" t="s">
        <v>4464</v>
      </c>
      <c r="N320" s="200">
        <v>2</v>
      </c>
      <c r="O320" s="45" t="s">
        <v>4604</v>
      </c>
      <c r="P320" s="116"/>
      <c r="Q320" s="116"/>
      <c r="R320" s="116"/>
      <c r="S320" s="116"/>
      <c r="T320" s="116"/>
      <c r="U320" s="116"/>
      <c r="V320" s="116"/>
      <c r="W320" s="116"/>
    </row>
    <row r="321" spans="1:23" s="126" customFormat="1" ht="15" customHeight="1" x14ac:dyDescent="0.3">
      <c r="A321" s="155" t="s">
        <v>4057</v>
      </c>
      <c r="B321" s="192" t="s">
        <v>4403</v>
      </c>
      <c r="C321" s="218" t="s">
        <v>4550</v>
      </c>
      <c r="D321" s="45" t="s">
        <v>948</v>
      </c>
      <c r="E321" s="45" t="s">
        <v>2987</v>
      </c>
      <c r="F321" s="45">
        <v>215</v>
      </c>
      <c r="G321" s="45" t="s">
        <v>3070</v>
      </c>
      <c r="H321" s="98" t="s">
        <v>4543</v>
      </c>
      <c r="I321" s="98" t="s">
        <v>4523</v>
      </c>
      <c r="J321" s="160" t="s">
        <v>4612</v>
      </c>
      <c r="K321" s="166">
        <v>5</v>
      </c>
      <c r="L321" s="239" t="s">
        <v>4833</v>
      </c>
      <c r="M321" s="239" t="s">
        <v>4669</v>
      </c>
      <c r="N321" s="200">
        <v>14</v>
      </c>
      <c r="O321" s="45" t="s">
        <v>4602</v>
      </c>
      <c r="P321" s="116"/>
      <c r="Q321" s="116"/>
      <c r="R321" s="116"/>
      <c r="S321" s="116"/>
      <c r="T321" s="116"/>
      <c r="U321" s="116"/>
      <c r="V321" s="116"/>
      <c r="W321" s="116"/>
    </row>
    <row r="322" spans="1:23" ht="15" customHeight="1" x14ac:dyDescent="0.3">
      <c r="A322" s="192" t="s">
        <v>4055</v>
      </c>
      <c r="B322" s="192" t="s">
        <v>4403</v>
      </c>
      <c r="C322" s="218" t="s">
        <v>179</v>
      </c>
      <c r="D322" s="45" t="s">
        <v>948</v>
      </c>
      <c r="E322" s="45" t="s">
        <v>2987</v>
      </c>
      <c r="F322" s="45">
        <v>370</v>
      </c>
      <c r="G322" s="45" t="s">
        <v>3071</v>
      </c>
      <c r="H322" s="98" t="s">
        <v>4543</v>
      </c>
      <c r="I322" s="98" t="s">
        <v>4523</v>
      </c>
      <c r="J322" s="160" t="s">
        <v>4644</v>
      </c>
      <c r="K322" s="166">
        <v>5</v>
      </c>
      <c r="L322" s="239" t="s">
        <v>4833</v>
      </c>
      <c r="M322" s="239" t="s">
        <v>4669</v>
      </c>
      <c r="N322" s="200">
        <v>14</v>
      </c>
      <c r="O322" s="45" t="s">
        <v>4604</v>
      </c>
    </row>
    <row r="323" spans="1:23" ht="15" customHeight="1" x14ac:dyDescent="0.3">
      <c r="A323" s="192" t="s">
        <v>4056</v>
      </c>
      <c r="B323" s="192" t="s">
        <v>4403</v>
      </c>
      <c r="C323" s="218" t="s">
        <v>178</v>
      </c>
      <c r="D323" s="45" t="s">
        <v>948</v>
      </c>
      <c r="E323" s="45" t="s">
        <v>2987</v>
      </c>
      <c r="F323" s="45">
        <v>370</v>
      </c>
      <c r="G323" s="45" t="s">
        <v>3072</v>
      </c>
      <c r="H323" s="98" t="s">
        <v>4543</v>
      </c>
      <c r="I323" s="98" t="s">
        <v>4523</v>
      </c>
      <c r="J323" s="160" t="s">
        <v>4644</v>
      </c>
      <c r="K323" s="166">
        <v>6</v>
      </c>
      <c r="L323" s="239" t="s">
        <v>4833</v>
      </c>
      <c r="M323" s="239" t="s">
        <v>4669</v>
      </c>
      <c r="N323" s="200">
        <v>14</v>
      </c>
      <c r="O323" s="45" t="s">
        <v>4604</v>
      </c>
    </row>
    <row r="324" spans="1:23" ht="15" customHeight="1" x14ac:dyDescent="0.3">
      <c r="A324" s="192" t="s">
        <v>4060</v>
      </c>
      <c r="B324" s="192" t="s">
        <v>4403</v>
      </c>
      <c r="C324" s="218" t="s">
        <v>180</v>
      </c>
      <c r="D324" s="45" t="s">
        <v>948</v>
      </c>
      <c r="E324" s="45" t="s">
        <v>2987</v>
      </c>
      <c r="F324" s="45">
        <v>540</v>
      </c>
      <c r="G324" s="45" t="s">
        <v>3073</v>
      </c>
      <c r="H324" s="98" t="s">
        <v>4543</v>
      </c>
      <c r="I324" s="98" t="s">
        <v>4523</v>
      </c>
      <c r="J324" s="160" t="s">
        <v>4644</v>
      </c>
      <c r="K324" s="166">
        <v>2</v>
      </c>
      <c r="L324" s="239" t="s">
        <v>4833</v>
      </c>
      <c r="M324" s="239" t="s">
        <v>4669</v>
      </c>
      <c r="N324" s="200">
        <v>14</v>
      </c>
      <c r="O324" s="45" t="s">
        <v>4604</v>
      </c>
    </row>
    <row r="325" spans="1:23" ht="15" customHeight="1" x14ac:dyDescent="0.3">
      <c r="A325" s="192" t="s">
        <v>4430</v>
      </c>
      <c r="B325" s="192" t="s">
        <v>4403</v>
      </c>
      <c r="C325" s="218" t="s">
        <v>182</v>
      </c>
      <c r="D325" s="45" t="s">
        <v>948</v>
      </c>
      <c r="E325" s="45" t="s">
        <v>2987</v>
      </c>
      <c r="F325" s="45">
        <v>540</v>
      </c>
      <c r="G325" s="45" t="s">
        <v>3075</v>
      </c>
      <c r="H325" s="98" t="s">
        <v>4543</v>
      </c>
      <c r="I325" s="98" t="s">
        <v>4523</v>
      </c>
      <c r="J325" s="160" t="s">
        <v>4645</v>
      </c>
      <c r="K325" s="166">
        <v>2</v>
      </c>
      <c r="L325" s="239" t="s">
        <v>4833</v>
      </c>
      <c r="M325" s="239" t="s">
        <v>4669</v>
      </c>
      <c r="N325" s="200">
        <v>14</v>
      </c>
      <c r="O325" s="45" t="s">
        <v>4604</v>
      </c>
    </row>
    <row r="326" spans="1:23" ht="15" customHeight="1" x14ac:dyDescent="0.3">
      <c r="A326" s="192" t="s">
        <v>4054</v>
      </c>
      <c r="B326" s="192" t="s">
        <v>4346</v>
      </c>
      <c r="C326" s="218" t="s">
        <v>181</v>
      </c>
      <c r="D326" s="45" t="s">
        <v>948</v>
      </c>
      <c r="E326" s="45" t="s">
        <v>2987</v>
      </c>
      <c r="F326" s="45">
        <v>540</v>
      </c>
      <c r="G326" s="45" t="s">
        <v>3069</v>
      </c>
      <c r="H326" s="148" t="s">
        <v>4346</v>
      </c>
      <c r="I326" s="98" t="s">
        <v>4523</v>
      </c>
      <c r="J326" s="160" t="s">
        <v>4644</v>
      </c>
      <c r="K326" s="166">
        <v>1</v>
      </c>
      <c r="L326" s="239" t="s">
        <v>4786</v>
      </c>
      <c r="M326" s="239" t="s">
        <v>4464</v>
      </c>
      <c r="N326" s="200">
        <v>2</v>
      </c>
      <c r="O326" s="45" t="s">
        <v>4604</v>
      </c>
    </row>
    <row r="327" spans="1:23" ht="15" customHeight="1" x14ac:dyDescent="0.3">
      <c r="A327" s="192" t="s">
        <v>3972</v>
      </c>
      <c r="B327" s="192" t="s">
        <v>4346</v>
      </c>
      <c r="C327" s="218" t="s">
        <v>183</v>
      </c>
      <c r="D327" s="45" t="s">
        <v>948</v>
      </c>
      <c r="E327" s="45" t="s">
        <v>2987</v>
      </c>
      <c r="F327" s="45">
        <v>540</v>
      </c>
      <c r="G327" s="45" t="s">
        <v>3074</v>
      </c>
      <c r="H327" s="148" t="s">
        <v>4346</v>
      </c>
      <c r="I327" s="98" t="s">
        <v>4523</v>
      </c>
      <c r="J327" s="160" t="s">
        <v>4645</v>
      </c>
      <c r="K327" s="166">
        <v>1</v>
      </c>
      <c r="L327" s="239" t="s">
        <v>4787</v>
      </c>
      <c r="M327" s="239" t="s">
        <v>4464</v>
      </c>
      <c r="N327" s="200">
        <v>2</v>
      </c>
      <c r="O327" s="45" t="s">
        <v>4604</v>
      </c>
    </row>
    <row r="328" spans="1:23" ht="15" customHeight="1" x14ac:dyDescent="0.3">
      <c r="A328" s="155" t="s">
        <v>3768</v>
      </c>
      <c r="B328" s="192" t="s">
        <v>4401</v>
      </c>
      <c r="C328" s="174" t="s">
        <v>185</v>
      </c>
      <c r="D328" s="45" t="s">
        <v>948</v>
      </c>
      <c r="E328" s="45" t="s">
        <v>2987</v>
      </c>
      <c r="F328" s="45">
        <v>60</v>
      </c>
      <c r="G328" s="45" t="s">
        <v>3076</v>
      </c>
      <c r="H328" s="98" t="s">
        <v>4541</v>
      </c>
      <c r="I328" s="98" t="s">
        <v>4523</v>
      </c>
      <c r="J328" s="234" t="s">
        <v>4617</v>
      </c>
      <c r="K328" s="235">
        <v>2</v>
      </c>
      <c r="L328" s="202" t="s">
        <v>4827</v>
      </c>
      <c r="M328" s="202" t="s">
        <v>4690</v>
      </c>
      <c r="N328" s="197">
        <v>4</v>
      </c>
      <c r="O328" s="45" t="s">
        <v>4604</v>
      </c>
    </row>
    <row r="329" spans="1:23" ht="15" customHeight="1" x14ac:dyDescent="0.3">
      <c r="A329" s="228" t="s">
        <v>3769</v>
      </c>
      <c r="B329" s="192" t="s">
        <v>4402</v>
      </c>
      <c r="C329" s="174" t="s">
        <v>184</v>
      </c>
      <c r="D329" s="45" t="s">
        <v>948</v>
      </c>
      <c r="E329" s="45" t="s">
        <v>2987</v>
      </c>
      <c r="F329" s="45">
        <v>60</v>
      </c>
      <c r="G329" s="45" t="s">
        <v>3077</v>
      </c>
      <c r="H329" s="98" t="s">
        <v>4542</v>
      </c>
      <c r="I329" s="98" t="s">
        <v>4523</v>
      </c>
      <c r="J329" s="160" t="s">
        <v>4617</v>
      </c>
      <c r="K329" s="166">
        <v>3</v>
      </c>
      <c r="L329" s="239" t="s">
        <v>4829</v>
      </c>
      <c r="M329" s="239" t="s">
        <v>4690</v>
      </c>
      <c r="N329" s="200">
        <v>8</v>
      </c>
      <c r="O329" s="45" t="s">
        <v>4604</v>
      </c>
    </row>
    <row r="330" spans="1:23" ht="15" customHeight="1" x14ac:dyDescent="0.3">
      <c r="A330" s="155" t="s">
        <v>3322</v>
      </c>
      <c r="B330" s="192" t="s">
        <v>4403</v>
      </c>
      <c r="C330" s="174" t="s">
        <v>188</v>
      </c>
      <c r="D330" s="45" t="s">
        <v>948</v>
      </c>
      <c r="E330" s="45" t="s">
        <v>2987</v>
      </c>
      <c r="F330" s="45">
        <v>540</v>
      </c>
      <c r="G330" s="45" t="s">
        <v>3078</v>
      </c>
      <c r="H330" s="98" t="s">
        <v>4543</v>
      </c>
      <c r="I330" s="98" t="s">
        <v>4529</v>
      </c>
      <c r="J330" s="160" t="s">
        <v>4613</v>
      </c>
      <c r="K330" s="166">
        <v>3</v>
      </c>
      <c r="L330" s="239" t="s">
        <v>4834</v>
      </c>
      <c r="M330" s="239" t="s">
        <v>4661</v>
      </c>
      <c r="N330" s="200">
        <v>21</v>
      </c>
      <c r="O330" s="45" t="s">
        <v>4602</v>
      </c>
    </row>
    <row r="331" spans="1:23" ht="15" customHeight="1" x14ac:dyDescent="0.3">
      <c r="A331" s="155" t="s">
        <v>3323</v>
      </c>
      <c r="B331" s="192" t="s">
        <v>4403</v>
      </c>
      <c r="C331" s="174" t="s">
        <v>186</v>
      </c>
      <c r="D331" s="45" t="s">
        <v>948</v>
      </c>
      <c r="E331" s="45" t="s">
        <v>2987</v>
      </c>
      <c r="F331" s="45">
        <v>540</v>
      </c>
      <c r="G331" s="45" t="s">
        <v>3078</v>
      </c>
      <c r="H331" s="98" t="s">
        <v>4543</v>
      </c>
      <c r="I331" s="98" t="s">
        <v>4529</v>
      </c>
      <c r="J331" s="160" t="s">
        <v>4613</v>
      </c>
      <c r="K331" s="166">
        <v>4</v>
      </c>
      <c r="L331" s="239" t="s">
        <v>4834</v>
      </c>
      <c r="M331" s="239" t="s">
        <v>4661</v>
      </c>
      <c r="N331" s="200">
        <v>21</v>
      </c>
      <c r="O331" s="45" t="s">
        <v>4602</v>
      </c>
    </row>
    <row r="332" spans="1:23" ht="15" customHeight="1" x14ac:dyDescent="0.3">
      <c r="A332" s="236" t="s">
        <v>3324</v>
      </c>
      <c r="B332" s="192" t="s">
        <v>4403</v>
      </c>
      <c r="C332" s="174" t="s">
        <v>187</v>
      </c>
      <c r="D332" s="45" t="s">
        <v>948</v>
      </c>
      <c r="E332" s="45" t="s">
        <v>2987</v>
      </c>
      <c r="F332" s="45">
        <v>540</v>
      </c>
      <c r="G332" s="45" t="s">
        <v>3078</v>
      </c>
      <c r="H332" s="98" t="s">
        <v>4543</v>
      </c>
      <c r="I332" s="98" t="s">
        <v>4529</v>
      </c>
      <c r="J332" s="160" t="s">
        <v>4613</v>
      </c>
      <c r="K332" s="166">
        <v>5</v>
      </c>
      <c r="L332" s="239" t="s">
        <v>4834</v>
      </c>
      <c r="M332" s="239" t="s">
        <v>4661</v>
      </c>
      <c r="N332" s="200">
        <v>21</v>
      </c>
      <c r="O332" s="45" t="s">
        <v>4602</v>
      </c>
    </row>
    <row r="333" spans="1:23" ht="15" customHeight="1" x14ac:dyDescent="0.3">
      <c r="A333" s="155" t="s">
        <v>4058</v>
      </c>
      <c r="B333" s="192" t="s">
        <v>4403</v>
      </c>
      <c r="C333" s="174" t="s">
        <v>189</v>
      </c>
      <c r="D333" s="45" t="s">
        <v>948</v>
      </c>
      <c r="E333" s="45" t="s">
        <v>2987</v>
      </c>
      <c r="F333" s="45">
        <v>540</v>
      </c>
      <c r="G333" s="45" t="s">
        <v>3079</v>
      </c>
      <c r="H333" s="98" t="s">
        <v>4543</v>
      </c>
      <c r="I333" s="98" t="s">
        <v>4529</v>
      </c>
      <c r="J333" s="160" t="s">
        <v>4613</v>
      </c>
      <c r="K333" s="166">
        <v>1</v>
      </c>
      <c r="L333" s="239" t="s">
        <v>4834</v>
      </c>
      <c r="M333" s="239" t="s">
        <v>4661</v>
      </c>
      <c r="N333" s="200">
        <v>21</v>
      </c>
      <c r="O333" s="45" t="s">
        <v>4602</v>
      </c>
    </row>
    <row r="334" spans="1:23" ht="15" customHeight="1" x14ac:dyDescent="0.3">
      <c r="A334" s="155" t="s">
        <v>4059</v>
      </c>
      <c r="B334" s="192" t="s">
        <v>4403</v>
      </c>
      <c r="C334" s="174" t="s">
        <v>190</v>
      </c>
      <c r="D334" s="45" t="s">
        <v>948</v>
      </c>
      <c r="E334" s="45" t="s">
        <v>2987</v>
      </c>
      <c r="F334" s="45">
        <v>540</v>
      </c>
      <c r="G334" s="45" t="s">
        <v>3080</v>
      </c>
      <c r="H334" s="98" t="s">
        <v>4543</v>
      </c>
      <c r="I334" s="98" t="s">
        <v>4529</v>
      </c>
      <c r="J334" s="160" t="s">
        <v>4613</v>
      </c>
      <c r="K334" s="166">
        <v>2</v>
      </c>
      <c r="L334" s="239" t="s">
        <v>4834</v>
      </c>
      <c r="M334" s="239" t="s">
        <v>4661</v>
      </c>
      <c r="N334" s="200">
        <v>21</v>
      </c>
      <c r="O334" s="45" t="s">
        <v>4602</v>
      </c>
    </row>
    <row r="335" spans="1:23" ht="15" customHeight="1" x14ac:dyDescent="0.3">
      <c r="A335" s="155" t="s">
        <v>3325</v>
      </c>
      <c r="B335" s="192" t="s">
        <v>4398</v>
      </c>
      <c r="C335" s="174" t="s">
        <v>191</v>
      </c>
      <c r="D335" s="45" t="s">
        <v>948</v>
      </c>
      <c r="E335" s="45" t="s">
        <v>2987</v>
      </c>
      <c r="F335" s="45">
        <v>540</v>
      </c>
      <c r="G335" s="45" t="s">
        <v>3081</v>
      </c>
      <c r="H335" s="98" t="s">
        <v>4540</v>
      </c>
      <c r="I335" s="98" t="s">
        <v>4529</v>
      </c>
      <c r="J335" s="160" t="s">
        <v>4643</v>
      </c>
      <c r="K335" s="166">
        <v>1</v>
      </c>
      <c r="L335" s="202" t="s">
        <v>4823</v>
      </c>
      <c r="M335" s="202" t="s">
        <v>4669</v>
      </c>
      <c r="N335" s="197">
        <v>16</v>
      </c>
      <c r="O335" s="45" t="s">
        <v>4602</v>
      </c>
    </row>
    <row r="336" spans="1:23" ht="15" customHeight="1" x14ac:dyDescent="0.3">
      <c r="A336" s="155" t="s">
        <v>3326</v>
      </c>
      <c r="B336" s="192" t="s">
        <v>4398</v>
      </c>
      <c r="C336" s="174" t="s">
        <v>192</v>
      </c>
      <c r="D336" s="45" t="s">
        <v>948</v>
      </c>
      <c r="E336" s="45" t="s">
        <v>2987</v>
      </c>
      <c r="F336" s="45">
        <v>540</v>
      </c>
      <c r="G336" s="45" t="s">
        <v>3081</v>
      </c>
      <c r="H336" s="98" t="s">
        <v>4540</v>
      </c>
      <c r="I336" s="98" t="s">
        <v>4529</v>
      </c>
      <c r="J336" s="160" t="s">
        <v>4643</v>
      </c>
      <c r="K336" s="166">
        <v>2</v>
      </c>
      <c r="L336" s="202" t="s">
        <v>4823</v>
      </c>
      <c r="M336" s="202" t="s">
        <v>4669</v>
      </c>
      <c r="N336" s="197">
        <v>16</v>
      </c>
      <c r="O336" s="45" t="s">
        <v>4602</v>
      </c>
    </row>
    <row r="337" spans="1:15" ht="15" customHeight="1" x14ac:dyDescent="0.3">
      <c r="A337" s="155" t="s">
        <v>3327</v>
      </c>
      <c r="B337" s="192" t="s">
        <v>4398</v>
      </c>
      <c r="C337" s="174" t="s">
        <v>193</v>
      </c>
      <c r="D337" s="45" t="s">
        <v>948</v>
      </c>
      <c r="E337" s="45" t="s">
        <v>2987</v>
      </c>
      <c r="F337" s="45">
        <v>370</v>
      </c>
      <c r="G337" s="45" t="s">
        <v>3082</v>
      </c>
      <c r="H337" s="98" t="s">
        <v>4540</v>
      </c>
      <c r="I337" s="98" t="s">
        <v>4529</v>
      </c>
      <c r="J337" s="160" t="s">
        <v>4643</v>
      </c>
      <c r="K337" s="166">
        <v>3</v>
      </c>
      <c r="L337" s="202" t="s">
        <v>4823</v>
      </c>
      <c r="M337" s="202" t="s">
        <v>4669</v>
      </c>
      <c r="N337" s="197">
        <v>16</v>
      </c>
      <c r="O337" s="45" t="s">
        <v>4602</v>
      </c>
    </row>
    <row r="338" spans="1:15" ht="15" customHeight="1" x14ac:dyDescent="0.3">
      <c r="A338" s="155" t="s">
        <v>3328</v>
      </c>
      <c r="B338" s="192" t="s">
        <v>4398</v>
      </c>
      <c r="C338" s="174" t="s">
        <v>194</v>
      </c>
      <c r="D338" s="45" t="s">
        <v>948</v>
      </c>
      <c r="E338" s="45" t="s">
        <v>2987</v>
      </c>
      <c r="F338" s="45">
        <v>370</v>
      </c>
      <c r="G338" s="45" t="s">
        <v>3082</v>
      </c>
      <c r="H338" s="98" t="s">
        <v>4540</v>
      </c>
      <c r="I338" s="98" t="s">
        <v>4529</v>
      </c>
      <c r="J338" s="160" t="s">
        <v>4643</v>
      </c>
      <c r="K338" s="166">
        <v>4</v>
      </c>
      <c r="L338" s="202" t="s">
        <v>4823</v>
      </c>
      <c r="M338" s="202" t="s">
        <v>4669</v>
      </c>
      <c r="N338" s="197">
        <v>16</v>
      </c>
      <c r="O338" s="45" t="s">
        <v>4602</v>
      </c>
    </row>
    <row r="339" spans="1:15" ht="15" customHeight="1" x14ac:dyDescent="0.3">
      <c r="A339" s="155" t="s">
        <v>3329</v>
      </c>
      <c r="B339" s="192" t="s">
        <v>4398</v>
      </c>
      <c r="C339" s="174" t="s">
        <v>195</v>
      </c>
      <c r="D339" s="45" t="s">
        <v>948</v>
      </c>
      <c r="E339" s="45" t="s">
        <v>2987</v>
      </c>
      <c r="F339" s="45">
        <v>370</v>
      </c>
      <c r="G339" s="45" t="s">
        <v>3083</v>
      </c>
      <c r="H339" s="98" t="s">
        <v>4540</v>
      </c>
      <c r="I339" s="98" t="s">
        <v>4529</v>
      </c>
      <c r="J339" s="160" t="s">
        <v>4643</v>
      </c>
      <c r="K339" s="166">
        <v>5</v>
      </c>
      <c r="L339" s="202" t="s">
        <v>4823</v>
      </c>
      <c r="M339" s="202" t="s">
        <v>4669</v>
      </c>
      <c r="N339" s="197">
        <v>16</v>
      </c>
      <c r="O339" s="45" t="s">
        <v>4602</v>
      </c>
    </row>
    <row r="340" spans="1:15" ht="15" customHeight="1" x14ac:dyDescent="0.3">
      <c r="A340" s="155" t="s">
        <v>3330</v>
      </c>
      <c r="B340" s="192" t="s">
        <v>4398</v>
      </c>
      <c r="C340" s="218" t="s">
        <v>196</v>
      </c>
      <c r="D340" s="45" t="s">
        <v>948</v>
      </c>
      <c r="E340" s="45" t="s">
        <v>2987</v>
      </c>
      <c r="F340" s="45">
        <v>370</v>
      </c>
      <c r="G340" s="45" t="s">
        <v>3083</v>
      </c>
      <c r="H340" s="98" t="s">
        <v>4540</v>
      </c>
      <c r="I340" s="98" t="s">
        <v>4529</v>
      </c>
      <c r="J340" s="160" t="s">
        <v>4643</v>
      </c>
      <c r="K340" s="166">
        <v>6</v>
      </c>
      <c r="L340" s="202" t="s">
        <v>4823</v>
      </c>
      <c r="M340" s="202" t="s">
        <v>4669</v>
      </c>
      <c r="N340" s="197">
        <v>16</v>
      </c>
      <c r="O340" s="45" t="s">
        <v>4602</v>
      </c>
    </row>
    <row r="341" spans="1:15" ht="15" customHeight="1" x14ac:dyDescent="0.3">
      <c r="A341" s="155" t="s">
        <v>3331</v>
      </c>
      <c r="B341" s="192" t="s">
        <v>4398</v>
      </c>
      <c r="C341" s="218" t="s">
        <v>197</v>
      </c>
      <c r="D341" s="45" t="s">
        <v>948</v>
      </c>
      <c r="E341" s="45" t="s">
        <v>2987</v>
      </c>
      <c r="F341" s="45">
        <v>370</v>
      </c>
      <c r="G341" s="45" t="s">
        <v>3084</v>
      </c>
      <c r="H341" s="98" t="s">
        <v>4540</v>
      </c>
      <c r="I341" s="98" t="s">
        <v>4529</v>
      </c>
      <c r="J341" s="160" t="s">
        <v>4643</v>
      </c>
      <c r="K341" s="166">
        <v>7</v>
      </c>
      <c r="L341" s="202" t="s">
        <v>4823</v>
      </c>
      <c r="M341" s="202" t="s">
        <v>4669</v>
      </c>
      <c r="N341" s="197">
        <v>16</v>
      </c>
      <c r="O341" s="45" t="s">
        <v>4602</v>
      </c>
    </row>
    <row r="342" spans="1:15" ht="15" customHeight="1" x14ac:dyDescent="0.3">
      <c r="A342" s="155" t="s">
        <v>3332</v>
      </c>
      <c r="B342" s="192" t="s">
        <v>4398</v>
      </c>
      <c r="C342" s="174" t="s">
        <v>198</v>
      </c>
      <c r="D342" s="45" t="s">
        <v>948</v>
      </c>
      <c r="E342" s="45" t="s">
        <v>2987</v>
      </c>
      <c r="F342" s="45">
        <v>370</v>
      </c>
      <c r="G342" s="45" t="s">
        <v>3084</v>
      </c>
      <c r="H342" s="98" t="s">
        <v>4540</v>
      </c>
      <c r="I342" s="98" t="s">
        <v>4529</v>
      </c>
      <c r="J342" s="160" t="s">
        <v>4643</v>
      </c>
      <c r="K342" s="166">
        <v>8</v>
      </c>
      <c r="L342" s="202" t="s">
        <v>4823</v>
      </c>
      <c r="M342" s="202" t="s">
        <v>4669</v>
      </c>
      <c r="N342" s="197">
        <v>16</v>
      </c>
      <c r="O342" s="45" t="s">
        <v>4602</v>
      </c>
    </row>
    <row r="343" spans="1:15" ht="15" customHeight="1" x14ac:dyDescent="0.3">
      <c r="A343" s="220" t="s">
        <v>3340</v>
      </c>
      <c r="B343" s="192" t="s">
        <v>4401</v>
      </c>
      <c r="C343" s="218" t="s">
        <v>931</v>
      </c>
      <c r="D343" s="45" t="s">
        <v>948</v>
      </c>
      <c r="E343" s="45" t="s">
        <v>2987</v>
      </c>
      <c r="F343" s="45">
        <v>370</v>
      </c>
      <c r="G343" s="45" t="s">
        <v>3085</v>
      </c>
      <c r="H343" s="98" t="s">
        <v>4541</v>
      </c>
      <c r="I343" s="98" t="s">
        <v>4529</v>
      </c>
      <c r="J343" s="160" t="s">
        <v>4642</v>
      </c>
      <c r="K343" s="166">
        <v>5</v>
      </c>
      <c r="L343" s="202" t="s">
        <v>4825</v>
      </c>
      <c r="M343" s="202" t="s">
        <v>4669</v>
      </c>
      <c r="N343" s="197">
        <v>16</v>
      </c>
      <c r="O343" s="45" t="s">
        <v>4604</v>
      </c>
    </row>
    <row r="344" spans="1:15" ht="15" customHeight="1" x14ac:dyDescent="0.3">
      <c r="A344" s="220" t="s">
        <v>3341</v>
      </c>
      <c r="B344" s="192" t="s">
        <v>4402</v>
      </c>
      <c r="C344" s="218" t="s">
        <v>930</v>
      </c>
      <c r="D344" s="45" t="s">
        <v>948</v>
      </c>
      <c r="E344" s="45" t="s">
        <v>2987</v>
      </c>
      <c r="F344" s="45">
        <v>370</v>
      </c>
      <c r="G344" s="45" t="s">
        <v>3085</v>
      </c>
      <c r="H344" s="98" t="s">
        <v>4542</v>
      </c>
      <c r="I344" s="98" t="s">
        <v>4523</v>
      </c>
      <c r="J344" s="160" t="s">
        <v>4642</v>
      </c>
      <c r="K344" s="166">
        <v>1</v>
      </c>
      <c r="L344" s="239" t="s">
        <v>4829</v>
      </c>
      <c r="M344" s="239" t="s">
        <v>4690</v>
      </c>
      <c r="N344" s="200">
        <v>8</v>
      </c>
      <c r="O344" s="45" t="s">
        <v>4604</v>
      </c>
    </row>
    <row r="345" spans="1:15" ht="15" customHeight="1" x14ac:dyDescent="0.3">
      <c r="A345" s="220" t="s">
        <v>3344</v>
      </c>
      <c r="B345" s="192" t="s">
        <v>4401</v>
      </c>
      <c r="C345" s="174" t="s">
        <v>201</v>
      </c>
      <c r="D345" s="45" t="s">
        <v>948</v>
      </c>
      <c r="E345" s="45" t="s">
        <v>2987</v>
      </c>
      <c r="F345" s="45">
        <v>370</v>
      </c>
      <c r="G345" s="45" t="s">
        <v>3085</v>
      </c>
      <c r="H345" s="98" t="s">
        <v>4541</v>
      </c>
      <c r="I345" s="98" t="s">
        <v>4529</v>
      </c>
      <c r="J345" s="160" t="s">
        <v>4642</v>
      </c>
      <c r="K345" s="166">
        <v>6</v>
      </c>
      <c r="L345" s="202" t="s">
        <v>4826</v>
      </c>
      <c r="M345" s="202" t="s">
        <v>4697</v>
      </c>
      <c r="N345" s="197">
        <v>12</v>
      </c>
      <c r="O345" s="45" t="s">
        <v>4604</v>
      </c>
    </row>
    <row r="346" spans="1:15" ht="15" customHeight="1" x14ac:dyDescent="0.3">
      <c r="A346" s="220" t="s">
        <v>3345</v>
      </c>
      <c r="B346" s="192" t="s">
        <v>4401</v>
      </c>
      <c r="C346" s="218" t="s">
        <v>202</v>
      </c>
      <c r="D346" s="45" t="s">
        <v>948</v>
      </c>
      <c r="E346" s="45" t="s">
        <v>2987</v>
      </c>
      <c r="F346" s="45">
        <v>370</v>
      </c>
      <c r="G346" s="45" t="s">
        <v>3085</v>
      </c>
      <c r="H346" s="98" t="s">
        <v>4541</v>
      </c>
      <c r="I346" s="98" t="s">
        <v>4529</v>
      </c>
      <c r="J346" s="160" t="s">
        <v>4642</v>
      </c>
      <c r="K346" s="166">
        <v>7</v>
      </c>
      <c r="L346" s="202" t="s">
        <v>4826</v>
      </c>
      <c r="M346" s="202" t="s">
        <v>4697</v>
      </c>
      <c r="N346" s="197">
        <v>12</v>
      </c>
      <c r="O346" s="45" t="s">
        <v>4604</v>
      </c>
    </row>
    <row r="347" spans="1:15" ht="15" customHeight="1" x14ac:dyDescent="0.3">
      <c r="A347" s="237" t="s">
        <v>3346</v>
      </c>
      <c r="B347" s="192" t="s">
        <v>4402</v>
      </c>
      <c r="C347" s="218" t="s">
        <v>199</v>
      </c>
      <c r="D347" s="45" t="s">
        <v>948</v>
      </c>
      <c r="E347" s="45" t="s">
        <v>2987</v>
      </c>
      <c r="F347" s="45">
        <v>370</v>
      </c>
      <c r="G347" s="45" t="s">
        <v>3085</v>
      </c>
      <c r="H347" s="98" t="s">
        <v>4542</v>
      </c>
      <c r="I347" s="98" t="s">
        <v>4529</v>
      </c>
      <c r="J347" s="160" t="s">
        <v>4642</v>
      </c>
      <c r="K347" s="166">
        <v>2</v>
      </c>
      <c r="L347" s="239" t="s">
        <v>4832</v>
      </c>
      <c r="M347" s="239" t="s">
        <v>4661</v>
      </c>
      <c r="N347" s="200">
        <v>21</v>
      </c>
      <c r="O347" s="45" t="s">
        <v>4604</v>
      </c>
    </row>
    <row r="348" spans="1:15" ht="15" customHeight="1" x14ac:dyDescent="0.3">
      <c r="A348" s="147" t="s">
        <v>3347</v>
      </c>
      <c r="B348" s="192" t="s">
        <v>4402</v>
      </c>
      <c r="C348" s="218" t="s">
        <v>200</v>
      </c>
      <c r="D348" s="45" t="s">
        <v>948</v>
      </c>
      <c r="E348" s="45" t="s">
        <v>2987</v>
      </c>
      <c r="F348" s="45">
        <v>370</v>
      </c>
      <c r="G348" s="45" t="s">
        <v>3085</v>
      </c>
      <c r="H348" s="98" t="s">
        <v>4542</v>
      </c>
      <c r="I348" s="98" t="s">
        <v>4529</v>
      </c>
      <c r="J348" s="160" t="s">
        <v>4642</v>
      </c>
      <c r="K348" s="166">
        <v>3</v>
      </c>
      <c r="L348" s="239" t="s">
        <v>4832</v>
      </c>
      <c r="M348" s="239" t="s">
        <v>4661</v>
      </c>
      <c r="N348" s="200">
        <v>21</v>
      </c>
      <c r="O348" s="45" t="s">
        <v>4604</v>
      </c>
    </row>
    <row r="349" spans="1:15" ht="15" customHeight="1" x14ac:dyDescent="0.3">
      <c r="A349" s="155" t="s">
        <v>4060</v>
      </c>
      <c r="B349" s="192" t="s">
        <v>4403</v>
      </c>
      <c r="C349" s="218" t="s">
        <v>203</v>
      </c>
      <c r="D349" s="45" t="s">
        <v>948</v>
      </c>
      <c r="E349" s="45" t="s">
        <v>2987</v>
      </c>
      <c r="F349" s="45">
        <v>540</v>
      </c>
      <c r="G349" s="45" t="s">
        <v>3087</v>
      </c>
      <c r="H349" s="98" t="s">
        <v>4543</v>
      </c>
      <c r="I349" s="98" t="s">
        <v>4529</v>
      </c>
      <c r="J349" s="160" t="s">
        <v>4612</v>
      </c>
      <c r="K349" s="166">
        <v>1</v>
      </c>
      <c r="L349" s="239" t="s">
        <v>4834</v>
      </c>
      <c r="M349" s="239" t="s">
        <v>4661</v>
      </c>
      <c r="N349" s="200">
        <v>21</v>
      </c>
      <c r="O349" s="45" t="s">
        <v>4602</v>
      </c>
    </row>
    <row r="350" spans="1:15" ht="15" customHeight="1" x14ac:dyDescent="0.3">
      <c r="A350" s="155" t="s">
        <v>4061</v>
      </c>
      <c r="B350" s="192" t="s">
        <v>4403</v>
      </c>
      <c r="C350" s="218" t="s">
        <v>204</v>
      </c>
      <c r="D350" s="45" t="s">
        <v>948</v>
      </c>
      <c r="E350" s="45" t="s">
        <v>2987</v>
      </c>
      <c r="F350" s="45">
        <v>540</v>
      </c>
      <c r="G350" s="45" t="s">
        <v>3087</v>
      </c>
      <c r="H350" s="98" t="s">
        <v>4543</v>
      </c>
      <c r="I350" s="98" t="s">
        <v>4529</v>
      </c>
      <c r="J350" s="160" t="s">
        <v>4612</v>
      </c>
      <c r="K350" s="166">
        <v>2</v>
      </c>
      <c r="L350" s="239" t="s">
        <v>4834</v>
      </c>
      <c r="M350" s="239" t="s">
        <v>4661</v>
      </c>
      <c r="N350" s="200">
        <v>21</v>
      </c>
      <c r="O350" s="45" t="s">
        <v>4602</v>
      </c>
    </row>
    <row r="351" spans="1:15" ht="15" customHeight="1" x14ac:dyDescent="0.3">
      <c r="A351" s="155" t="s">
        <v>3346</v>
      </c>
      <c r="B351" s="192" t="s">
        <v>4403</v>
      </c>
      <c r="C351" s="218" t="s">
        <v>206</v>
      </c>
      <c r="D351" s="45" t="s">
        <v>948</v>
      </c>
      <c r="E351" s="45" t="s">
        <v>2987</v>
      </c>
      <c r="F351" s="45">
        <v>540</v>
      </c>
      <c r="G351" s="45" t="s">
        <v>3086</v>
      </c>
      <c r="H351" s="98" t="s">
        <v>4543</v>
      </c>
      <c r="I351" s="98" t="s">
        <v>4529</v>
      </c>
      <c r="J351" s="160" t="s">
        <v>4612</v>
      </c>
      <c r="K351" s="166">
        <v>3</v>
      </c>
      <c r="L351" s="239" t="s">
        <v>4834</v>
      </c>
      <c r="M351" s="239" t="s">
        <v>4661</v>
      </c>
      <c r="N351" s="200">
        <v>21</v>
      </c>
      <c r="O351" s="45" t="s">
        <v>4602</v>
      </c>
    </row>
    <row r="352" spans="1:15" ht="15" customHeight="1" x14ac:dyDescent="0.3">
      <c r="A352" s="155" t="s">
        <v>3347</v>
      </c>
      <c r="B352" s="192" t="s">
        <v>4403</v>
      </c>
      <c r="C352" s="218" t="s">
        <v>205</v>
      </c>
      <c r="D352" s="45" t="s">
        <v>948</v>
      </c>
      <c r="E352" s="45" t="s">
        <v>2987</v>
      </c>
      <c r="F352" s="45">
        <v>540</v>
      </c>
      <c r="G352" s="45" t="s">
        <v>3086</v>
      </c>
      <c r="H352" s="98" t="s">
        <v>4543</v>
      </c>
      <c r="I352" s="98" t="s">
        <v>4529</v>
      </c>
      <c r="J352" s="160" t="s">
        <v>4612</v>
      </c>
      <c r="K352" s="166">
        <v>4</v>
      </c>
      <c r="L352" s="239" t="s">
        <v>4834</v>
      </c>
      <c r="M352" s="239" t="s">
        <v>4661</v>
      </c>
      <c r="N352" s="200">
        <v>21</v>
      </c>
      <c r="O352" s="45" t="s">
        <v>4602</v>
      </c>
    </row>
    <row r="353" spans="1:15" ht="15" customHeight="1" x14ac:dyDescent="0.3">
      <c r="A353" s="155" t="s">
        <v>3337</v>
      </c>
      <c r="B353" s="192" t="s">
        <v>4398</v>
      </c>
      <c r="C353" s="218" t="s">
        <v>207</v>
      </c>
      <c r="D353" s="45" t="s">
        <v>948</v>
      </c>
      <c r="E353" s="45" t="s">
        <v>2987</v>
      </c>
      <c r="F353" s="45">
        <v>400</v>
      </c>
      <c r="G353" s="45" t="s">
        <v>3088</v>
      </c>
      <c r="H353" s="98" t="s">
        <v>4540</v>
      </c>
      <c r="I353" s="98" t="s">
        <v>4529</v>
      </c>
      <c r="J353" s="160" t="s">
        <v>4654</v>
      </c>
      <c r="K353" s="166">
        <v>3</v>
      </c>
      <c r="L353" s="202" t="s">
        <v>4824</v>
      </c>
      <c r="M353" s="202" t="s">
        <v>4661</v>
      </c>
      <c r="N353" s="197">
        <v>23</v>
      </c>
      <c r="O353" s="45" t="s">
        <v>4602</v>
      </c>
    </row>
    <row r="354" spans="1:15" ht="15" customHeight="1" x14ac:dyDescent="0.3">
      <c r="A354" s="236" t="s">
        <v>3338</v>
      </c>
      <c r="B354" s="192" t="s">
        <v>4398</v>
      </c>
      <c r="C354" s="218" t="s">
        <v>208</v>
      </c>
      <c r="D354" s="45" t="s">
        <v>948</v>
      </c>
      <c r="E354" s="45" t="s">
        <v>2987</v>
      </c>
      <c r="F354" s="45">
        <v>400</v>
      </c>
      <c r="G354" s="45" t="s">
        <v>3088</v>
      </c>
      <c r="H354" s="98" t="s">
        <v>4540</v>
      </c>
      <c r="I354" s="98" t="s">
        <v>4529</v>
      </c>
      <c r="J354" s="160" t="s">
        <v>4654</v>
      </c>
      <c r="K354" s="166">
        <v>4</v>
      </c>
      <c r="L354" s="202" t="s">
        <v>4824</v>
      </c>
      <c r="M354" s="202" t="s">
        <v>4661</v>
      </c>
      <c r="N354" s="197">
        <v>23</v>
      </c>
      <c r="O354" s="45" t="s">
        <v>4602</v>
      </c>
    </row>
    <row r="355" spans="1:15" ht="15" customHeight="1" x14ac:dyDescent="0.3">
      <c r="A355" s="155" t="s">
        <v>3613</v>
      </c>
      <c r="B355" s="192" t="s">
        <v>4402</v>
      </c>
      <c r="C355" s="218" t="s">
        <v>210</v>
      </c>
      <c r="D355" s="45" t="s">
        <v>948</v>
      </c>
      <c r="E355" s="45" t="s">
        <v>2987</v>
      </c>
      <c r="F355" s="45">
        <v>140</v>
      </c>
      <c r="G355" s="45" t="s">
        <v>3090</v>
      </c>
      <c r="H355" s="98" t="s">
        <v>4542</v>
      </c>
      <c r="I355" s="98" t="s">
        <v>4529</v>
      </c>
      <c r="J355" s="160" t="s">
        <v>4620</v>
      </c>
      <c r="K355" s="166">
        <v>1</v>
      </c>
      <c r="L355" s="239" t="s">
        <v>4832</v>
      </c>
      <c r="M355" s="239" t="s">
        <v>4661</v>
      </c>
      <c r="N355" s="200">
        <v>21</v>
      </c>
      <c r="O355" s="45" t="s">
        <v>4604</v>
      </c>
    </row>
    <row r="356" spans="1:15" ht="15" customHeight="1" x14ac:dyDescent="0.3">
      <c r="A356" s="155" t="s">
        <v>3757</v>
      </c>
      <c r="B356" s="192" t="s">
        <v>4401</v>
      </c>
      <c r="C356" s="218" t="s">
        <v>209</v>
      </c>
      <c r="D356" s="45" t="s">
        <v>948</v>
      </c>
      <c r="E356" s="45" t="s">
        <v>2987</v>
      </c>
      <c r="F356" s="45">
        <v>140</v>
      </c>
      <c r="G356" s="45" t="s">
        <v>3089</v>
      </c>
      <c r="H356" s="98" t="s">
        <v>4541</v>
      </c>
      <c r="I356" s="98" t="s">
        <v>4529</v>
      </c>
      <c r="J356" s="160" t="s">
        <v>4620</v>
      </c>
      <c r="K356" s="166">
        <v>2</v>
      </c>
      <c r="L356" s="202" t="s">
        <v>4825</v>
      </c>
      <c r="M356" s="202" t="s">
        <v>4669</v>
      </c>
      <c r="N356" s="197">
        <v>16</v>
      </c>
      <c r="O356" s="45" t="s">
        <v>4604</v>
      </c>
    </row>
    <row r="357" spans="1:15" ht="15" customHeight="1" x14ac:dyDescent="0.3">
      <c r="A357" s="154" t="s">
        <v>4381</v>
      </c>
      <c r="B357" s="154" t="s">
        <v>4379</v>
      </c>
      <c r="C357" s="174" t="s">
        <v>431</v>
      </c>
      <c r="D357" s="45" t="s">
        <v>948</v>
      </c>
      <c r="E357" s="45" t="s">
        <v>2987</v>
      </c>
      <c r="F357" s="45"/>
      <c r="G357" s="45" t="s">
        <v>3121</v>
      </c>
      <c r="H357" s="33" t="s">
        <v>4525</v>
      </c>
      <c r="I357" s="33" t="s">
        <v>4523</v>
      </c>
      <c r="J357" s="162" t="s">
        <v>4480</v>
      </c>
      <c r="K357" s="162" t="s">
        <v>4480</v>
      </c>
      <c r="L357" s="202" t="s">
        <v>4809</v>
      </c>
      <c r="M357" s="202" t="s">
        <v>4697</v>
      </c>
      <c r="N357" s="197">
        <v>11</v>
      </c>
      <c r="O357" s="162" t="s">
        <v>4480</v>
      </c>
    </row>
    <row r="358" spans="1:15" ht="15" customHeight="1" x14ac:dyDescent="0.3">
      <c r="A358" s="155" t="s">
        <v>3342</v>
      </c>
      <c r="B358" s="192" t="s">
        <v>4401</v>
      </c>
      <c r="C358" s="218" t="s">
        <v>212</v>
      </c>
      <c r="D358" s="45" t="s">
        <v>948</v>
      </c>
      <c r="E358" s="45" t="s">
        <v>2987</v>
      </c>
      <c r="F358" s="45">
        <v>540</v>
      </c>
      <c r="G358" s="45" t="s">
        <v>3091</v>
      </c>
      <c r="H358" s="98" t="s">
        <v>4541</v>
      </c>
      <c r="I358" s="98" t="s">
        <v>4529</v>
      </c>
      <c r="J358" s="160" t="s">
        <v>4642</v>
      </c>
      <c r="K358" s="166">
        <v>8</v>
      </c>
      <c r="L358" s="202" t="s">
        <v>4825</v>
      </c>
      <c r="M358" s="202" t="s">
        <v>4669</v>
      </c>
      <c r="N358" s="197">
        <v>16</v>
      </c>
      <c r="O358" s="45" t="s">
        <v>4604</v>
      </c>
    </row>
    <row r="359" spans="1:15" ht="15" customHeight="1" x14ac:dyDescent="0.3">
      <c r="A359" s="155" t="s">
        <v>3343</v>
      </c>
      <c r="B359" s="192" t="s">
        <v>4402</v>
      </c>
      <c r="C359" s="218" t="s">
        <v>211</v>
      </c>
      <c r="D359" s="45" t="s">
        <v>948</v>
      </c>
      <c r="E359" s="45" t="s">
        <v>2987</v>
      </c>
      <c r="F359" s="45">
        <v>540</v>
      </c>
      <c r="G359" s="45" t="s">
        <v>3091</v>
      </c>
      <c r="H359" s="98" t="s">
        <v>4542</v>
      </c>
      <c r="I359" s="98" t="s">
        <v>4529</v>
      </c>
      <c r="J359" s="160" t="s">
        <v>4642</v>
      </c>
      <c r="K359" s="166">
        <v>4</v>
      </c>
      <c r="L359" s="239" t="s">
        <v>4832</v>
      </c>
      <c r="M359" s="239" t="s">
        <v>4661</v>
      </c>
      <c r="N359" s="200">
        <v>21</v>
      </c>
      <c r="O359" s="45" t="s">
        <v>4604</v>
      </c>
    </row>
    <row r="360" spans="1:15" ht="15" customHeight="1" x14ac:dyDescent="0.3">
      <c r="A360" s="155" t="s">
        <v>3350</v>
      </c>
      <c r="B360" s="192" t="s">
        <v>4398</v>
      </c>
      <c r="C360" s="174" t="s">
        <v>213</v>
      </c>
      <c r="D360" s="45" t="s">
        <v>948</v>
      </c>
      <c r="E360" s="45" t="s">
        <v>2987</v>
      </c>
      <c r="F360" s="45">
        <v>350</v>
      </c>
      <c r="G360" s="45" t="s">
        <v>3092</v>
      </c>
      <c r="H360" s="98" t="s">
        <v>4540</v>
      </c>
      <c r="I360" s="98" t="s">
        <v>4529</v>
      </c>
      <c r="J360" s="160" t="s">
        <v>4654</v>
      </c>
      <c r="K360" s="166">
        <v>1</v>
      </c>
      <c r="L360" s="202" t="s">
        <v>4824</v>
      </c>
      <c r="M360" s="202" t="s">
        <v>4661</v>
      </c>
      <c r="N360" s="197">
        <v>23</v>
      </c>
      <c r="O360" s="45" t="s">
        <v>4602</v>
      </c>
    </row>
    <row r="361" spans="1:15" ht="15" customHeight="1" x14ac:dyDescent="0.3">
      <c r="A361" s="155" t="s">
        <v>3351</v>
      </c>
      <c r="B361" s="192" t="s">
        <v>4398</v>
      </c>
      <c r="C361" s="174" t="s">
        <v>216</v>
      </c>
      <c r="D361" s="45" t="s">
        <v>948</v>
      </c>
      <c r="E361" s="45" t="s">
        <v>2987</v>
      </c>
      <c r="F361" s="45">
        <v>350</v>
      </c>
      <c r="G361" s="45" t="s">
        <v>3092</v>
      </c>
      <c r="H361" s="98" t="s">
        <v>4540</v>
      </c>
      <c r="I361" s="98" t="s">
        <v>4529</v>
      </c>
      <c r="J361" s="160" t="s">
        <v>4654</v>
      </c>
      <c r="K361" s="166">
        <v>2</v>
      </c>
      <c r="L361" s="202" t="s">
        <v>4824</v>
      </c>
      <c r="M361" s="202" t="s">
        <v>4661</v>
      </c>
      <c r="N361" s="197">
        <v>23</v>
      </c>
      <c r="O361" s="45" t="s">
        <v>4602</v>
      </c>
    </row>
    <row r="362" spans="1:15" ht="15" customHeight="1" x14ac:dyDescent="0.3">
      <c r="A362" s="155" t="s">
        <v>3336</v>
      </c>
      <c r="B362" s="192" t="s">
        <v>4401</v>
      </c>
      <c r="C362" s="174" t="s">
        <v>214</v>
      </c>
      <c r="D362" s="45" t="s">
        <v>948</v>
      </c>
      <c r="E362" s="45" t="s">
        <v>2987</v>
      </c>
      <c r="F362" s="45">
        <v>370</v>
      </c>
      <c r="G362" s="45" t="s">
        <v>3093</v>
      </c>
      <c r="H362" s="98" t="s">
        <v>4541</v>
      </c>
      <c r="I362" s="98" t="s">
        <v>4529</v>
      </c>
      <c r="J362" s="160" t="s">
        <v>4654</v>
      </c>
      <c r="K362" s="166">
        <v>7</v>
      </c>
      <c r="L362" s="202" t="s">
        <v>4826</v>
      </c>
      <c r="M362" s="202" t="s">
        <v>4697</v>
      </c>
      <c r="N362" s="197">
        <v>12</v>
      </c>
      <c r="O362" s="45" t="s">
        <v>4604</v>
      </c>
    </row>
    <row r="363" spans="1:15" ht="15" customHeight="1" x14ac:dyDescent="0.3">
      <c r="A363" s="155" t="s">
        <v>3335</v>
      </c>
      <c r="B363" s="192" t="s">
        <v>4402</v>
      </c>
      <c r="C363" s="174" t="s">
        <v>215</v>
      </c>
      <c r="D363" s="45" t="s">
        <v>948</v>
      </c>
      <c r="E363" s="45" t="s">
        <v>2987</v>
      </c>
      <c r="F363" s="45">
        <v>370</v>
      </c>
      <c r="G363" s="45" t="s">
        <v>3093</v>
      </c>
      <c r="H363" s="98" t="s">
        <v>4542</v>
      </c>
      <c r="I363" s="98" t="s">
        <v>4529</v>
      </c>
      <c r="J363" s="160" t="s">
        <v>4654</v>
      </c>
      <c r="K363" s="166">
        <v>8</v>
      </c>
      <c r="L363" s="239" t="s">
        <v>4832</v>
      </c>
      <c r="M363" s="239" t="s">
        <v>4661</v>
      </c>
      <c r="N363" s="200">
        <v>21</v>
      </c>
      <c r="O363" s="45" t="s">
        <v>4604</v>
      </c>
    </row>
    <row r="364" spans="1:15" ht="15" customHeight="1" x14ac:dyDescent="0.3">
      <c r="A364" s="155" t="s">
        <v>3352</v>
      </c>
      <c r="B364" s="192" t="s">
        <v>4401</v>
      </c>
      <c r="C364" s="174" t="s">
        <v>217</v>
      </c>
      <c r="D364" s="45" t="s">
        <v>948</v>
      </c>
      <c r="E364" s="45" t="s">
        <v>2987</v>
      </c>
      <c r="F364" s="45">
        <v>540</v>
      </c>
      <c r="G364" s="45" t="s">
        <v>3094</v>
      </c>
      <c r="H364" s="98" t="s">
        <v>4541</v>
      </c>
      <c r="I364" s="98" t="s">
        <v>4529</v>
      </c>
      <c r="J364" s="160" t="s">
        <v>4614</v>
      </c>
      <c r="K364" s="166">
        <v>1</v>
      </c>
      <c r="L364" s="202" t="s">
        <v>4826</v>
      </c>
      <c r="M364" s="202" t="s">
        <v>4697</v>
      </c>
      <c r="N364" s="197">
        <v>12</v>
      </c>
      <c r="O364" s="45" t="s">
        <v>4604</v>
      </c>
    </row>
    <row r="365" spans="1:15" ht="15" customHeight="1" x14ac:dyDescent="0.3">
      <c r="A365" s="155" t="s">
        <v>3353</v>
      </c>
      <c r="B365" s="192" t="s">
        <v>4401</v>
      </c>
      <c r="C365" s="174" t="s">
        <v>218</v>
      </c>
      <c r="D365" s="45" t="s">
        <v>948</v>
      </c>
      <c r="E365" s="45" t="s">
        <v>2987</v>
      </c>
      <c r="F365" s="45">
        <v>540</v>
      </c>
      <c r="G365" s="45" t="s">
        <v>3095</v>
      </c>
      <c r="H365" s="98" t="s">
        <v>4541</v>
      </c>
      <c r="I365" s="98" t="s">
        <v>4529</v>
      </c>
      <c r="J365" s="160" t="s">
        <v>4614</v>
      </c>
      <c r="K365" s="166">
        <v>2</v>
      </c>
      <c r="L365" s="202" t="s">
        <v>4826</v>
      </c>
      <c r="M365" s="202" t="s">
        <v>4697</v>
      </c>
      <c r="N365" s="197">
        <v>12</v>
      </c>
      <c r="O365" s="45" t="s">
        <v>4604</v>
      </c>
    </row>
    <row r="366" spans="1:15" ht="15" customHeight="1" x14ac:dyDescent="0.3">
      <c r="A366" s="155" t="s">
        <v>3354</v>
      </c>
      <c r="B366" s="192" t="s">
        <v>4401</v>
      </c>
      <c r="C366" s="174" t="s">
        <v>219</v>
      </c>
      <c r="D366" s="45" t="s">
        <v>948</v>
      </c>
      <c r="E366" s="45" t="s">
        <v>2987</v>
      </c>
      <c r="F366" s="45">
        <v>540</v>
      </c>
      <c r="G366" s="45" t="s">
        <v>3096</v>
      </c>
      <c r="H366" s="98" t="s">
        <v>4541</v>
      </c>
      <c r="I366" s="98" t="s">
        <v>4529</v>
      </c>
      <c r="J366" s="160" t="s">
        <v>4614</v>
      </c>
      <c r="K366" s="166">
        <v>3</v>
      </c>
      <c r="L366" s="202" t="s">
        <v>4826</v>
      </c>
      <c r="M366" s="202" t="s">
        <v>4697</v>
      </c>
      <c r="N366" s="197">
        <v>12</v>
      </c>
      <c r="O366" s="45" t="s">
        <v>4604</v>
      </c>
    </row>
    <row r="367" spans="1:15" ht="15" customHeight="1" x14ac:dyDescent="0.3">
      <c r="A367" s="155" t="s">
        <v>3355</v>
      </c>
      <c r="B367" s="192" t="s">
        <v>4401</v>
      </c>
      <c r="C367" s="174" t="s">
        <v>220</v>
      </c>
      <c r="D367" s="45" t="s">
        <v>948</v>
      </c>
      <c r="E367" s="45" t="s">
        <v>2987</v>
      </c>
      <c r="F367" s="45">
        <v>540</v>
      </c>
      <c r="G367" s="45" t="s">
        <v>3097</v>
      </c>
      <c r="H367" s="98" t="s">
        <v>4541</v>
      </c>
      <c r="I367" s="98" t="s">
        <v>4529</v>
      </c>
      <c r="J367" s="160" t="s">
        <v>4614</v>
      </c>
      <c r="K367" s="166">
        <v>4</v>
      </c>
      <c r="L367" s="202" t="s">
        <v>4826</v>
      </c>
      <c r="M367" s="202" t="s">
        <v>4697</v>
      </c>
      <c r="N367" s="197">
        <v>12</v>
      </c>
      <c r="O367" s="45" t="s">
        <v>4604</v>
      </c>
    </row>
    <row r="368" spans="1:15" ht="15" customHeight="1" x14ac:dyDescent="0.3">
      <c r="A368" s="155" t="s">
        <v>3356</v>
      </c>
      <c r="B368" s="192" t="s">
        <v>4402</v>
      </c>
      <c r="C368" s="174" t="s">
        <v>221</v>
      </c>
      <c r="D368" s="45" t="s">
        <v>948</v>
      </c>
      <c r="E368" s="45" t="s">
        <v>2987</v>
      </c>
      <c r="F368" s="45">
        <v>540</v>
      </c>
      <c r="G368" s="45" t="s">
        <v>3098</v>
      </c>
      <c r="H368" s="98" t="s">
        <v>4542</v>
      </c>
      <c r="I368" s="98" t="s">
        <v>4529</v>
      </c>
      <c r="J368" s="160" t="s">
        <v>4614</v>
      </c>
      <c r="K368" s="166">
        <v>5</v>
      </c>
      <c r="L368" s="239" t="s">
        <v>4832</v>
      </c>
      <c r="M368" s="239" t="s">
        <v>4661</v>
      </c>
      <c r="N368" s="200">
        <v>21</v>
      </c>
      <c r="O368" s="45" t="s">
        <v>4604</v>
      </c>
    </row>
    <row r="369" spans="1:15" ht="15" customHeight="1" x14ac:dyDescent="0.3">
      <c r="A369" s="155" t="s">
        <v>3357</v>
      </c>
      <c r="B369" s="192" t="s">
        <v>4402</v>
      </c>
      <c r="C369" s="174" t="s">
        <v>222</v>
      </c>
      <c r="D369" s="45" t="s">
        <v>948</v>
      </c>
      <c r="E369" s="45" t="s">
        <v>2987</v>
      </c>
      <c r="F369" s="45">
        <v>540</v>
      </c>
      <c r="G369" s="45" t="s">
        <v>3101</v>
      </c>
      <c r="H369" s="98" t="s">
        <v>4542</v>
      </c>
      <c r="I369" s="98" t="s">
        <v>4529</v>
      </c>
      <c r="J369" s="160" t="s">
        <v>4614</v>
      </c>
      <c r="K369" s="166">
        <v>6</v>
      </c>
      <c r="L369" s="239" t="s">
        <v>4832</v>
      </c>
      <c r="M369" s="239" t="s">
        <v>4661</v>
      </c>
      <c r="N369" s="200">
        <v>21</v>
      </c>
      <c r="O369" s="45" t="s">
        <v>4604</v>
      </c>
    </row>
    <row r="370" spans="1:15" ht="15" customHeight="1" x14ac:dyDescent="0.3">
      <c r="A370" s="155" t="s">
        <v>3358</v>
      </c>
      <c r="B370" s="192" t="s">
        <v>4402</v>
      </c>
      <c r="C370" s="174" t="s">
        <v>223</v>
      </c>
      <c r="D370" s="45" t="s">
        <v>948</v>
      </c>
      <c r="E370" s="45" t="s">
        <v>2987</v>
      </c>
      <c r="F370" s="45">
        <v>540</v>
      </c>
      <c r="G370" s="45" t="s">
        <v>3099</v>
      </c>
      <c r="H370" s="98" t="s">
        <v>4542</v>
      </c>
      <c r="I370" s="98" t="s">
        <v>4529</v>
      </c>
      <c r="J370" s="160" t="s">
        <v>4614</v>
      </c>
      <c r="K370" s="166">
        <v>7</v>
      </c>
      <c r="L370" s="239" t="s">
        <v>4832</v>
      </c>
      <c r="M370" s="239" t="s">
        <v>4661</v>
      </c>
      <c r="N370" s="200">
        <v>21</v>
      </c>
      <c r="O370" s="45" t="s">
        <v>4604</v>
      </c>
    </row>
    <row r="371" spans="1:15" ht="15" customHeight="1" x14ac:dyDescent="0.3">
      <c r="A371" s="155" t="s">
        <v>3359</v>
      </c>
      <c r="B371" s="192" t="s">
        <v>4402</v>
      </c>
      <c r="C371" s="174" t="s">
        <v>224</v>
      </c>
      <c r="D371" s="45" t="s">
        <v>948</v>
      </c>
      <c r="E371" s="45" t="s">
        <v>2987</v>
      </c>
      <c r="F371" s="45">
        <v>540</v>
      </c>
      <c r="G371" s="45" t="s">
        <v>3100</v>
      </c>
      <c r="H371" s="98" t="s">
        <v>4542</v>
      </c>
      <c r="I371" s="98" t="s">
        <v>4529</v>
      </c>
      <c r="J371" s="160" t="s">
        <v>4614</v>
      </c>
      <c r="K371" s="166">
        <v>8</v>
      </c>
      <c r="L371" s="239" t="s">
        <v>4832</v>
      </c>
      <c r="M371" s="239" t="s">
        <v>4661</v>
      </c>
      <c r="N371" s="200">
        <v>21</v>
      </c>
      <c r="O371" s="45" t="s">
        <v>4604</v>
      </c>
    </row>
    <row r="372" spans="1:15" ht="15" customHeight="1" x14ac:dyDescent="0.3">
      <c r="A372" s="192" t="s">
        <v>3610</v>
      </c>
      <c r="B372" s="192" t="s">
        <v>4401</v>
      </c>
      <c r="C372" s="218" t="s">
        <v>225</v>
      </c>
      <c r="D372" s="45" t="s">
        <v>948</v>
      </c>
      <c r="E372" s="45" t="s">
        <v>2987</v>
      </c>
      <c r="F372" s="45">
        <v>130</v>
      </c>
      <c r="G372" s="45" t="s">
        <v>3102</v>
      </c>
      <c r="H372" s="98" t="s">
        <v>4541</v>
      </c>
      <c r="I372" s="98" t="s">
        <v>4529</v>
      </c>
      <c r="J372" s="160" t="s">
        <v>4620</v>
      </c>
      <c r="K372" s="166">
        <v>4</v>
      </c>
      <c r="L372" s="202" t="s">
        <v>4825</v>
      </c>
      <c r="M372" s="202" t="s">
        <v>4669</v>
      </c>
      <c r="N372" s="197">
        <v>16</v>
      </c>
      <c r="O372" s="45" t="s">
        <v>4604</v>
      </c>
    </row>
    <row r="373" spans="1:15" ht="15" customHeight="1" x14ac:dyDescent="0.3">
      <c r="A373" s="192" t="s">
        <v>3609</v>
      </c>
      <c r="B373" s="192" t="s">
        <v>4401</v>
      </c>
      <c r="C373" s="218" t="s">
        <v>4460</v>
      </c>
      <c r="D373" s="45" t="s">
        <v>948</v>
      </c>
      <c r="E373" s="45" t="s">
        <v>2987</v>
      </c>
      <c r="F373" s="45">
        <v>120</v>
      </c>
      <c r="G373" s="45" t="s">
        <v>3103</v>
      </c>
      <c r="H373" s="98" t="s">
        <v>4541</v>
      </c>
      <c r="I373" s="98" t="s">
        <v>4529</v>
      </c>
      <c r="J373" s="160" t="s">
        <v>4620</v>
      </c>
      <c r="K373" s="166">
        <v>3</v>
      </c>
      <c r="L373" s="202" t="s">
        <v>4825</v>
      </c>
      <c r="M373" s="202" t="s">
        <v>4669</v>
      </c>
      <c r="N373" s="197">
        <v>16</v>
      </c>
      <c r="O373" s="45" t="s">
        <v>4604</v>
      </c>
    </row>
    <row r="374" spans="1:15" ht="15" customHeight="1" x14ac:dyDescent="0.3">
      <c r="A374" s="155" t="s">
        <v>3611</v>
      </c>
      <c r="B374" s="192" t="s">
        <v>4401</v>
      </c>
      <c r="C374" s="218" t="s">
        <v>4459</v>
      </c>
      <c r="D374" s="45" t="s">
        <v>948</v>
      </c>
      <c r="E374" s="45" t="s">
        <v>2987</v>
      </c>
      <c r="F374" s="45">
        <v>120</v>
      </c>
      <c r="G374" s="45" t="s">
        <v>3104</v>
      </c>
      <c r="H374" s="98" t="s">
        <v>4541</v>
      </c>
      <c r="I374" s="98" t="s">
        <v>4529</v>
      </c>
      <c r="J374" s="160" t="s">
        <v>4620</v>
      </c>
      <c r="K374" s="166">
        <v>5</v>
      </c>
      <c r="L374" s="202" t="s">
        <v>4825</v>
      </c>
      <c r="M374" s="202" t="s">
        <v>4669</v>
      </c>
      <c r="N374" s="197">
        <v>16</v>
      </c>
      <c r="O374" s="45" t="s">
        <v>4604</v>
      </c>
    </row>
    <row r="375" spans="1:15" ht="15" customHeight="1" x14ac:dyDescent="0.3">
      <c r="A375" s="155" t="s">
        <v>3612</v>
      </c>
      <c r="B375" s="192" t="s">
        <v>4401</v>
      </c>
      <c r="C375" s="218" t="s">
        <v>4417</v>
      </c>
      <c r="D375" s="45" t="s">
        <v>948</v>
      </c>
      <c r="E375" s="45" t="s">
        <v>2987</v>
      </c>
      <c r="F375" s="45">
        <v>110</v>
      </c>
      <c r="G375" s="45" t="s">
        <v>3105</v>
      </c>
      <c r="H375" s="98" t="s">
        <v>4541</v>
      </c>
      <c r="I375" s="98" t="s">
        <v>4529</v>
      </c>
      <c r="J375" s="160" t="s">
        <v>4620</v>
      </c>
      <c r="K375" s="166">
        <v>6</v>
      </c>
      <c r="L375" s="202" t="s">
        <v>4825</v>
      </c>
      <c r="M375" s="202" t="s">
        <v>4669</v>
      </c>
      <c r="N375" s="197">
        <v>16</v>
      </c>
      <c r="O375" s="45" t="s">
        <v>4604</v>
      </c>
    </row>
    <row r="376" spans="1:15" ht="14.4" customHeight="1" x14ac:dyDescent="0.3">
      <c r="A376" s="155" t="s">
        <v>3339</v>
      </c>
      <c r="B376" s="192" t="s">
        <v>4398</v>
      </c>
      <c r="C376" s="174" t="s">
        <v>226</v>
      </c>
      <c r="D376" s="152" t="s">
        <v>949</v>
      </c>
      <c r="E376" s="45" t="s">
        <v>2987</v>
      </c>
      <c r="F376" s="45">
        <v>540</v>
      </c>
      <c r="G376" s="45" t="s">
        <v>3106</v>
      </c>
      <c r="H376" s="98" t="s">
        <v>4540</v>
      </c>
      <c r="I376" s="98" t="s">
        <v>4529</v>
      </c>
      <c r="J376" s="160" t="s">
        <v>4654</v>
      </c>
      <c r="K376" s="166">
        <v>5</v>
      </c>
      <c r="L376" s="202" t="s">
        <v>4824</v>
      </c>
      <c r="M376" s="202" t="s">
        <v>4661</v>
      </c>
      <c r="N376" s="197">
        <v>23</v>
      </c>
      <c r="O376" s="45" t="s">
        <v>4602</v>
      </c>
    </row>
    <row r="377" spans="1:15" ht="15" customHeight="1" x14ac:dyDescent="0.3">
      <c r="A377" s="155" t="s">
        <v>3333</v>
      </c>
      <c r="B377" s="192" t="s">
        <v>4398</v>
      </c>
      <c r="C377" s="174" t="s">
        <v>229</v>
      </c>
      <c r="D377" s="45" t="s">
        <v>948</v>
      </c>
      <c r="E377" s="45" t="s">
        <v>2987</v>
      </c>
      <c r="F377" s="45">
        <v>400</v>
      </c>
      <c r="G377" s="45" t="s">
        <v>3107</v>
      </c>
      <c r="H377" s="98" t="s">
        <v>4540</v>
      </c>
      <c r="I377" s="98" t="s">
        <v>4529</v>
      </c>
      <c r="J377" s="160" t="s">
        <v>4622</v>
      </c>
      <c r="K377" s="166">
        <v>3</v>
      </c>
      <c r="L377" s="202" t="s">
        <v>4824</v>
      </c>
      <c r="M377" s="202" t="s">
        <v>4661</v>
      </c>
      <c r="N377" s="197">
        <v>23</v>
      </c>
      <c r="O377" s="45" t="s">
        <v>4602</v>
      </c>
    </row>
    <row r="378" spans="1:15" ht="15" customHeight="1" x14ac:dyDescent="0.3">
      <c r="A378" s="155" t="s">
        <v>3334</v>
      </c>
      <c r="B378" s="192" t="s">
        <v>4398</v>
      </c>
      <c r="C378" s="174" t="s">
        <v>227</v>
      </c>
      <c r="D378" s="45" t="s">
        <v>948</v>
      </c>
      <c r="E378" s="45" t="s">
        <v>2987</v>
      </c>
      <c r="F378" s="45">
        <v>400</v>
      </c>
      <c r="G378" s="45" t="s">
        <v>3107</v>
      </c>
      <c r="H378" s="98" t="s">
        <v>4540</v>
      </c>
      <c r="I378" s="98" t="s">
        <v>4529</v>
      </c>
      <c r="J378" s="160" t="s">
        <v>4654</v>
      </c>
      <c r="K378" s="166">
        <v>6</v>
      </c>
      <c r="L378" s="202" t="s">
        <v>4824</v>
      </c>
      <c r="M378" s="202" t="s">
        <v>4661</v>
      </c>
      <c r="N378" s="197">
        <v>23</v>
      </c>
      <c r="O378" s="45" t="s">
        <v>4602</v>
      </c>
    </row>
    <row r="379" spans="1:15" ht="15" customHeight="1" x14ac:dyDescent="0.3">
      <c r="A379" s="155" t="s">
        <v>3293</v>
      </c>
      <c r="B379" s="192" t="s">
        <v>4398</v>
      </c>
      <c r="C379" s="174" t="s">
        <v>228</v>
      </c>
      <c r="D379" s="152" t="s">
        <v>949</v>
      </c>
      <c r="E379" s="45" t="s">
        <v>2987</v>
      </c>
      <c r="F379" s="45">
        <v>370</v>
      </c>
      <c r="G379" s="45" t="s">
        <v>3108</v>
      </c>
      <c r="H379" s="98" t="s">
        <v>4540</v>
      </c>
      <c r="I379" s="98" t="s">
        <v>4529</v>
      </c>
      <c r="J379" s="160" t="s">
        <v>4622</v>
      </c>
      <c r="K379" s="166">
        <v>4</v>
      </c>
      <c r="L379" s="202" t="s">
        <v>4824</v>
      </c>
      <c r="M379" s="202" t="s">
        <v>4661</v>
      </c>
      <c r="N379" s="197">
        <v>23</v>
      </c>
      <c r="O379" s="45" t="s">
        <v>4602</v>
      </c>
    </row>
    <row r="380" spans="1:15" ht="15" customHeight="1" x14ac:dyDescent="0.3">
      <c r="A380" s="155" t="s">
        <v>3348</v>
      </c>
      <c r="B380" s="192" t="s">
        <v>4398</v>
      </c>
      <c r="C380" s="218" t="s">
        <v>230</v>
      </c>
      <c r="D380" s="45" t="s">
        <v>948</v>
      </c>
      <c r="E380" s="45" t="s">
        <v>2987</v>
      </c>
      <c r="F380" s="99">
        <v>350</v>
      </c>
      <c r="G380" s="99" t="s">
        <v>3092</v>
      </c>
      <c r="H380" s="98" t="s">
        <v>4540</v>
      </c>
      <c r="I380" s="98" t="s">
        <v>4529</v>
      </c>
      <c r="J380" s="160" t="s">
        <v>4622</v>
      </c>
      <c r="K380" s="166">
        <v>1</v>
      </c>
      <c r="L380" s="202" t="s">
        <v>4824</v>
      </c>
      <c r="M380" s="202" t="s">
        <v>4661</v>
      </c>
      <c r="N380" s="197">
        <v>23</v>
      </c>
      <c r="O380" s="45" t="s">
        <v>4602</v>
      </c>
    </row>
    <row r="381" spans="1:15" ht="15" customHeight="1" x14ac:dyDescent="0.3">
      <c r="A381" s="155" t="s">
        <v>3349</v>
      </c>
      <c r="B381" s="192" t="s">
        <v>4398</v>
      </c>
      <c r="C381" s="218" t="s">
        <v>231</v>
      </c>
      <c r="D381" s="45" t="s">
        <v>948</v>
      </c>
      <c r="E381" s="45" t="s">
        <v>2987</v>
      </c>
      <c r="F381" s="45"/>
      <c r="G381" s="45"/>
      <c r="H381" s="98" t="s">
        <v>4540</v>
      </c>
      <c r="I381" s="98" t="s">
        <v>4529</v>
      </c>
      <c r="J381" s="160" t="s">
        <v>4622</v>
      </c>
      <c r="K381" s="166">
        <v>2</v>
      </c>
      <c r="L381" s="202" t="s">
        <v>4824</v>
      </c>
      <c r="M381" s="202" t="s">
        <v>4661</v>
      </c>
      <c r="N381" s="197">
        <v>23</v>
      </c>
      <c r="O381" s="45" t="s">
        <v>4602</v>
      </c>
    </row>
    <row r="382" spans="1:15" ht="15" customHeight="1" x14ac:dyDescent="0.3">
      <c r="A382" s="147" t="s">
        <v>3589</v>
      </c>
      <c r="B382" s="192" t="s">
        <v>4184</v>
      </c>
      <c r="C382" s="238" t="s">
        <v>234</v>
      </c>
      <c r="D382" s="45" t="s">
        <v>948</v>
      </c>
      <c r="E382" s="45" t="s">
        <v>2986</v>
      </c>
      <c r="F382" s="45"/>
      <c r="G382" s="45" t="s">
        <v>3109</v>
      </c>
      <c r="H382" s="98" t="s">
        <v>4488</v>
      </c>
      <c r="I382" s="98" t="s">
        <v>4470</v>
      </c>
      <c r="J382" s="160" t="s">
        <v>4631</v>
      </c>
      <c r="K382" s="166">
        <v>1</v>
      </c>
      <c r="L382" s="202" t="s">
        <v>4716</v>
      </c>
      <c r="M382" s="202" t="s">
        <v>4697</v>
      </c>
      <c r="N382" s="197">
        <v>11</v>
      </c>
      <c r="O382" s="45" t="s">
        <v>4604</v>
      </c>
    </row>
    <row r="383" spans="1:15" ht="15" customHeight="1" x14ac:dyDescent="0.3">
      <c r="A383" s="147" t="s">
        <v>3590</v>
      </c>
      <c r="B383" s="192" t="s">
        <v>4189</v>
      </c>
      <c r="C383" s="238" t="s">
        <v>235</v>
      </c>
      <c r="D383" s="45" t="s">
        <v>948</v>
      </c>
      <c r="E383" s="45" t="s">
        <v>2986</v>
      </c>
      <c r="F383" s="45"/>
      <c r="G383" s="45" t="s">
        <v>3110</v>
      </c>
      <c r="H383" s="98" t="s">
        <v>4492</v>
      </c>
      <c r="I383" s="98" t="s">
        <v>4470</v>
      </c>
      <c r="J383" s="160" t="s">
        <v>4631</v>
      </c>
      <c r="K383" s="166">
        <v>2</v>
      </c>
      <c r="L383" s="202" t="s">
        <v>4725</v>
      </c>
      <c r="M383" s="202" t="s">
        <v>4697</v>
      </c>
      <c r="N383" s="197">
        <v>11</v>
      </c>
      <c r="O383" s="45" t="s">
        <v>4604</v>
      </c>
    </row>
    <row r="384" spans="1:15" ht="15" customHeight="1" x14ac:dyDescent="0.3">
      <c r="A384" s="147" t="s">
        <v>3591</v>
      </c>
      <c r="B384" s="192" t="s">
        <v>4195</v>
      </c>
      <c r="C384" s="238" t="s">
        <v>236</v>
      </c>
      <c r="D384" s="45" t="s">
        <v>948</v>
      </c>
      <c r="E384" s="45" t="s">
        <v>2986</v>
      </c>
      <c r="F384" s="45"/>
      <c r="G384" s="45" t="s">
        <v>3111</v>
      </c>
      <c r="H384" s="98" t="s">
        <v>4496</v>
      </c>
      <c r="I384" s="98" t="s">
        <v>4470</v>
      </c>
      <c r="J384" s="160" t="s">
        <v>4631</v>
      </c>
      <c r="K384" s="166">
        <v>3</v>
      </c>
      <c r="L384" s="202" t="s">
        <v>4734</v>
      </c>
      <c r="M384" s="202" t="s">
        <v>4697</v>
      </c>
      <c r="N384" s="197">
        <v>11</v>
      </c>
      <c r="O384" s="45" t="s">
        <v>4604</v>
      </c>
    </row>
    <row r="385" spans="1:15" ht="15" customHeight="1" x14ac:dyDescent="0.3">
      <c r="A385" s="147" t="s">
        <v>3592</v>
      </c>
      <c r="B385" s="192" t="s">
        <v>4197</v>
      </c>
      <c r="C385" s="238" t="s">
        <v>237</v>
      </c>
      <c r="D385" s="45" t="s">
        <v>948</v>
      </c>
      <c r="E385" s="45" t="s">
        <v>2986</v>
      </c>
      <c r="F385" s="45"/>
      <c r="G385" s="45" t="s">
        <v>3112</v>
      </c>
      <c r="H385" s="98" t="s">
        <v>4500</v>
      </c>
      <c r="I385" s="98" t="s">
        <v>4470</v>
      </c>
      <c r="J385" s="160" t="s">
        <v>4631</v>
      </c>
      <c r="K385" s="166">
        <v>4</v>
      </c>
      <c r="L385" s="202" t="s">
        <v>4743</v>
      </c>
      <c r="M385" s="202" t="s">
        <v>4697</v>
      </c>
      <c r="N385" s="197">
        <v>11</v>
      </c>
      <c r="O385" s="45" t="s">
        <v>4604</v>
      </c>
    </row>
    <row r="386" spans="1:15" ht="15" customHeight="1" x14ac:dyDescent="0.3">
      <c r="A386" s="147" t="s">
        <v>3593</v>
      </c>
      <c r="B386" s="192" t="s">
        <v>4203</v>
      </c>
      <c r="C386" s="238" t="s">
        <v>238</v>
      </c>
      <c r="D386" s="45" t="s">
        <v>948</v>
      </c>
      <c r="E386" s="45" t="s">
        <v>2986</v>
      </c>
      <c r="F386" s="45"/>
      <c r="G386" s="45" t="s">
        <v>3113</v>
      </c>
      <c r="H386" s="98" t="s">
        <v>4504</v>
      </c>
      <c r="I386" s="98" t="s">
        <v>4470</v>
      </c>
      <c r="J386" s="160" t="s">
        <v>4631</v>
      </c>
      <c r="K386" s="166">
        <v>5</v>
      </c>
      <c r="L386" s="202" t="s">
        <v>4752</v>
      </c>
      <c r="M386" s="202" t="s">
        <v>4697</v>
      </c>
      <c r="N386" s="197">
        <v>11</v>
      </c>
      <c r="O386" s="45" t="s">
        <v>4604</v>
      </c>
    </row>
    <row r="387" spans="1:15" ht="15" customHeight="1" x14ac:dyDescent="0.3">
      <c r="A387" s="147" t="s">
        <v>3594</v>
      </c>
      <c r="B387" s="192" t="s">
        <v>4327</v>
      </c>
      <c r="C387" s="238" t="s">
        <v>239</v>
      </c>
      <c r="D387" s="45" t="s">
        <v>948</v>
      </c>
      <c r="E387" s="45" t="s">
        <v>2986</v>
      </c>
      <c r="F387" s="45"/>
      <c r="G387" s="45" t="s">
        <v>3114</v>
      </c>
      <c r="H387" s="98" t="s">
        <v>4508</v>
      </c>
      <c r="I387" s="98" t="s">
        <v>4470</v>
      </c>
      <c r="J387" s="160" t="s">
        <v>4631</v>
      </c>
      <c r="K387" s="166">
        <v>6</v>
      </c>
      <c r="L387" s="202" t="s">
        <v>4761</v>
      </c>
      <c r="M387" s="202" t="s">
        <v>4697</v>
      </c>
      <c r="N387" s="197">
        <v>11</v>
      </c>
      <c r="O387" s="45" t="s">
        <v>4604</v>
      </c>
    </row>
    <row r="388" spans="1:15" ht="15" customHeight="1" x14ac:dyDescent="0.3">
      <c r="A388" s="155" t="s">
        <v>4176</v>
      </c>
      <c r="B388" s="192" t="s">
        <v>4346</v>
      </c>
      <c r="C388" s="157" t="s">
        <v>240</v>
      </c>
      <c r="D388" s="45" t="s">
        <v>948</v>
      </c>
      <c r="E388" s="45" t="s">
        <v>2986</v>
      </c>
      <c r="F388" s="45">
        <v>120</v>
      </c>
      <c r="G388" s="45" t="s">
        <v>3115</v>
      </c>
      <c r="H388" s="148" t="s">
        <v>4346</v>
      </c>
      <c r="I388" s="98" t="s">
        <v>4470</v>
      </c>
      <c r="J388" s="160" t="s">
        <v>4620</v>
      </c>
      <c r="K388" s="166">
        <v>1</v>
      </c>
      <c r="L388" s="239" t="s">
        <v>4789</v>
      </c>
      <c r="M388" s="239" t="s">
        <v>4464</v>
      </c>
      <c r="N388" s="200">
        <v>2</v>
      </c>
      <c r="O388" s="45" t="s">
        <v>4604</v>
      </c>
    </row>
    <row r="389" spans="1:15" ht="15" customHeight="1" x14ac:dyDescent="0.3">
      <c r="A389" s="155" t="s">
        <v>4177</v>
      </c>
      <c r="B389" s="192" t="s">
        <v>4346</v>
      </c>
      <c r="C389" s="157" t="s">
        <v>240</v>
      </c>
      <c r="D389" s="45" t="s">
        <v>948</v>
      </c>
      <c r="E389" s="45" t="s">
        <v>2986</v>
      </c>
      <c r="F389" s="45">
        <v>120</v>
      </c>
      <c r="G389" s="45" t="s">
        <v>3115</v>
      </c>
      <c r="H389" s="148" t="s">
        <v>4346</v>
      </c>
      <c r="I389" s="98" t="s">
        <v>4470</v>
      </c>
      <c r="J389" s="160" t="s">
        <v>4622</v>
      </c>
      <c r="K389" s="166">
        <v>1</v>
      </c>
      <c r="L389" s="239" t="s">
        <v>4790</v>
      </c>
      <c r="M389" s="239" t="s">
        <v>4464</v>
      </c>
      <c r="N389" s="200">
        <v>2</v>
      </c>
      <c r="O389" s="45" t="s">
        <v>4604</v>
      </c>
    </row>
    <row r="390" spans="1:15" ht="15" customHeight="1" x14ac:dyDescent="0.3">
      <c r="A390" s="155" t="s">
        <v>3595</v>
      </c>
      <c r="B390" s="192" t="s">
        <v>4346</v>
      </c>
      <c r="C390" s="157" t="s">
        <v>241</v>
      </c>
      <c r="D390" s="45" t="s">
        <v>948</v>
      </c>
      <c r="E390" s="45" t="s">
        <v>2986</v>
      </c>
      <c r="F390" s="45">
        <v>120</v>
      </c>
      <c r="G390" s="45" t="s">
        <v>3116</v>
      </c>
      <c r="H390" s="148" t="s">
        <v>4346</v>
      </c>
      <c r="I390" s="98" t="s">
        <v>4470</v>
      </c>
      <c r="J390" s="160" t="s">
        <v>4620</v>
      </c>
      <c r="K390" s="166">
        <v>2</v>
      </c>
      <c r="L390" s="239" t="s">
        <v>4796</v>
      </c>
      <c r="M390" s="239" t="s">
        <v>4464</v>
      </c>
      <c r="N390" s="200">
        <v>2</v>
      </c>
      <c r="O390" s="45" t="s">
        <v>4604</v>
      </c>
    </row>
    <row r="391" spans="1:15" ht="15" customHeight="1" x14ac:dyDescent="0.3">
      <c r="A391" s="155" t="s">
        <v>3596</v>
      </c>
      <c r="B391" s="192" t="s">
        <v>4346</v>
      </c>
      <c r="C391" s="157" t="s">
        <v>241</v>
      </c>
      <c r="D391" s="45" t="s">
        <v>948</v>
      </c>
      <c r="E391" s="45" t="s">
        <v>2986</v>
      </c>
      <c r="F391" s="45">
        <v>120</v>
      </c>
      <c r="G391" s="45" t="s">
        <v>3116</v>
      </c>
      <c r="H391" s="148" t="s">
        <v>4346</v>
      </c>
      <c r="I391" s="98" t="s">
        <v>4470</v>
      </c>
      <c r="J391" s="160" t="s">
        <v>4622</v>
      </c>
      <c r="K391" s="166">
        <v>2</v>
      </c>
      <c r="L391" s="239" t="s">
        <v>4791</v>
      </c>
      <c r="M391" s="239" t="s">
        <v>4464</v>
      </c>
      <c r="N391" s="200">
        <v>2</v>
      </c>
      <c r="O391" s="45" t="s">
        <v>4604</v>
      </c>
    </row>
    <row r="392" spans="1:15" ht="15" customHeight="1" x14ac:dyDescent="0.3">
      <c r="A392" s="155" t="s">
        <v>3597</v>
      </c>
      <c r="B392" s="192" t="s">
        <v>4346</v>
      </c>
      <c r="C392" s="157" t="s">
        <v>242</v>
      </c>
      <c r="D392" s="45" t="s">
        <v>948</v>
      </c>
      <c r="E392" s="45" t="s">
        <v>2986</v>
      </c>
      <c r="F392" s="45">
        <v>120</v>
      </c>
      <c r="G392" s="45" t="s">
        <v>3117</v>
      </c>
      <c r="H392" s="148" t="s">
        <v>4346</v>
      </c>
      <c r="I392" s="98" t="s">
        <v>4470</v>
      </c>
      <c r="J392" s="160" t="s">
        <v>4620</v>
      </c>
      <c r="K392" s="166">
        <v>3</v>
      </c>
      <c r="L392" s="239" t="s">
        <v>4792</v>
      </c>
      <c r="M392" s="239" t="s">
        <v>4464</v>
      </c>
      <c r="N392" s="200">
        <v>2</v>
      </c>
      <c r="O392" s="45" t="s">
        <v>4604</v>
      </c>
    </row>
    <row r="393" spans="1:15" ht="15" customHeight="1" x14ac:dyDescent="0.3">
      <c r="A393" s="155" t="s">
        <v>3598</v>
      </c>
      <c r="B393" s="192" t="s">
        <v>4346</v>
      </c>
      <c r="C393" s="157" t="s">
        <v>242</v>
      </c>
      <c r="D393" s="45" t="s">
        <v>948</v>
      </c>
      <c r="E393" s="45" t="s">
        <v>2986</v>
      </c>
      <c r="F393" s="45">
        <v>120</v>
      </c>
      <c r="G393" s="45" t="s">
        <v>3117</v>
      </c>
      <c r="H393" s="148" t="s">
        <v>4346</v>
      </c>
      <c r="I393" s="98" t="s">
        <v>4470</v>
      </c>
      <c r="J393" s="160" t="s">
        <v>4622</v>
      </c>
      <c r="K393" s="166">
        <v>3</v>
      </c>
      <c r="L393" s="239" t="s">
        <v>4793</v>
      </c>
      <c r="M393" s="239" t="s">
        <v>4464</v>
      </c>
      <c r="N393" s="200">
        <v>2</v>
      </c>
      <c r="O393" s="45" t="s">
        <v>4604</v>
      </c>
    </row>
    <row r="394" spans="1:15" ht="15" customHeight="1" x14ac:dyDescent="0.3">
      <c r="A394" s="155" t="s">
        <v>3599</v>
      </c>
      <c r="B394" s="192" t="s">
        <v>4346</v>
      </c>
      <c r="C394" s="157" t="s">
        <v>243</v>
      </c>
      <c r="D394" s="45" t="s">
        <v>948</v>
      </c>
      <c r="E394" s="45" t="s">
        <v>2986</v>
      </c>
      <c r="F394" s="45">
        <v>120</v>
      </c>
      <c r="G394" s="45" t="s">
        <v>3118</v>
      </c>
      <c r="H394" s="148" t="s">
        <v>4346</v>
      </c>
      <c r="I394" s="98" t="s">
        <v>4470</v>
      </c>
      <c r="J394" s="160" t="s">
        <v>4620</v>
      </c>
      <c r="K394" s="166">
        <v>4</v>
      </c>
      <c r="L394" s="239" t="s">
        <v>4794</v>
      </c>
      <c r="M394" s="239" t="s">
        <v>4464</v>
      </c>
      <c r="N394" s="200">
        <v>2</v>
      </c>
      <c r="O394" s="45" t="s">
        <v>4604</v>
      </c>
    </row>
    <row r="395" spans="1:15" ht="15" customHeight="1" x14ac:dyDescent="0.3">
      <c r="A395" s="155" t="s">
        <v>3600</v>
      </c>
      <c r="B395" s="192" t="s">
        <v>4346</v>
      </c>
      <c r="C395" s="157" t="s">
        <v>243</v>
      </c>
      <c r="D395" s="45" t="s">
        <v>948</v>
      </c>
      <c r="E395" s="45" t="s">
        <v>2986</v>
      </c>
      <c r="F395" s="45">
        <v>120</v>
      </c>
      <c r="G395" s="45" t="s">
        <v>3118</v>
      </c>
      <c r="H395" s="148" t="s">
        <v>4346</v>
      </c>
      <c r="I395" s="98" t="s">
        <v>4470</v>
      </c>
      <c r="J395" s="160" t="s">
        <v>4622</v>
      </c>
      <c r="K395" s="166">
        <v>4</v>
      </c>
      <c r="L395" s="239" t="s">
        <v>4795</v>
      </c>
      <c r="M395" s="239" t="s">
        <v>4464</v>
      </c>
      <c r="N395" s="200">
        <v>2</v>
      </c>
      <c r="O395" s="45" t="s">
        <v>4604</v>
      </c>
    </row>
    <row r="396" spans="1:15" ht="15" customHeight="1" x14ac:dyDescent="0.3">
      <c r="A396" s="155" t="s">
        <v>3601</v>
      </c>
      <c r="B396" s="192" t="s">
        <v>4346</v>
      </c>
      <c r="C396" s="157" t="s">
        <v>244</v>
      </c>
      <c r="D396" s="45" t="s">
        <v>948</v>
      </c>
      <c r="E396" s="45" t="s">
        <v>2986</v>
      </c>
      <c r="F396" s="45">
        <v>120</v>
      </c>
      <c r="G396" s="45" t="s">
        <v>3119</v>
      </c>
      <c r="H396" s="148" t="s">
        <v>4346</v>
      </c>
      <c r="I396" s="98" t="s">
        <v>4470</v>
      </c>
      <c r="J396" s="160" t="s">
        <v>4620</v>
      </c>
      <c r="K396" s="166">
        <v>5</v>
      </c>
      <c r="L396" s="239" t="s">
        <v>4797</v>
      </c>
      <c r="M396" s="239" t="s">
        <v>4464</v>
      </c>
      <c r="N396" s="200">
        <v>2</v>
      </c>
      <c r="O396" s="45" t="s">
        <v>4604</v>
      </c>
    </row>
    <row r="397" spans="1:15" ht="15" customHeight="1" x14ac:dyDescent="0.3">
      <c r="A397" s="155" t="s">
        <v>3602</v>
      </c>
      <c r="B397" s="192" t="s">
        <v>4346</v>
      </c>
      <c r="C397" s="157" t="s">
        <v>244</v>
      </c>
      <c r="D397" s="45" t="s">
        <v>948</v>
      </c>
      <c r="E397" s="45" t="s">
        <v>2986</v>
      </c>
      <c r="F397" s="45">
        <v>120</v>
      </c>
      <c r="G397" s="45" t="s">
        <v>3119</v>
      </c>
      <c r="H397" s="148" t="s">
        <v>4346</v>
      </c>
      <c r="I397" s="98" t="s">
        <v>4470</v>
      </c>
      <c r="J397" s="160" t="s">
        <v>4622</v>
      </c>
      <c r="K397" s="166">
        <v>5</v>
      </c>
      <c r="L397" s="239" t="s">
        <v>4798</v>
      </c>
      <c r="M397" s="239" t="s">
        <v>4464</v>
      </c>
      <c r="N397" s="200">
        <v>2</v>
      </c>
      <c r="O397" s="45" t="s">
        <v>4604</v>
      </c>
    </row>
    <row r="398" spans="1:15" ht="15" customHeight="1" x14ac:dyDescent="0.3">
      <c r="A398" s="155" t="s">
        <v>3603</v>
      </c>
      <c r="B398" s="192" t="s">
        <v>4346</v>
      </c>
      <c r="C398" s="157" t="s">
        <v>245</v>
      </c>
      <c r="D398" s="45" t="s">
        <v>948</v>
      </c>
      <c r="E398" s="45" t="s">
        <v>2986</v>
      </c>
      <c r="F398" s="45">
        <v>120</v>
      </c>
      <c r="G398" s="45" t="s">
        <v>3120</v>
      </c>
      <c r="H398" s="148" t="s">
        <v>4346</v>
      </c>
      <c r="I398" s="98" t="s">
        <v>4470</v>
      </c>
      <c r="J398" s="160" t="s">
        <v>4620</v>
      </c>
      <c r="K398" s="166">
        <v>6</v>
      </c>
      <c r="L398" s="239" t="s">
        <v>4799</v>
      </c>
      <c r="M398" s="239" t="s">
        <v>4464</v>
      </c>
      <c r="N398" s="200">
        <v>2</v>
      </c>
      <c r="O398" s="45" t="s">
        <v>4604</v>
      </c>
    </row>
    <row r="399" spans="1:15" ht="15" customHeight="1" x14ac:dyDescent="0.3">
      <c r="A399" s="155" t="s">
        <v>3604</v>
      </c>
      <c r="B399" s="192" t="s">
        <v>4346</v>
      </c>
      <c r="C399" s="157" t="s">
        <v>245</v>
      </c>
      <c r="D399" s="45" t="s">
        <v>948</v>
      </c>
      <c r="E399" s="45" t="s">
        <v>2986</v>
      </c>
      <c r="F399" s="45">
        <v>120</v>
      </c>
      <c r="G399" s="45" t="s">
        <v>3120</v>
      </c>
      <c r="H399" s="148" t="s">
        <v>4346</v>
      </c>
      <c r="I399" s="98" t="s">
        <v>4470</v>
      </c>
      <c r="J399" s="160" t="s">
        <v>4622</v>
      </c>
      <c r="K399" s="166">
        <v>6</v>
      </c>
      <c r="L399" s="239" t="s">
        <v>4800</v>
      </c>
      <c r="M399" s="239" t="s">
        <v>4464</v>
      </c>
      <c r="N399" s="200">
        <v>2</v>
      </c>
      <c r="O399" s="45" t="s">
        <v>4604</v>
      </c>
    </row>
    <row r="400" spans="1:15" ht="15" customHeight="1" x14ac:dyDescent="0.3">
      <c r="A400" s="155" t="s">
        <v>3605</v>
      </c>
      <c r="B400" s="155" t="s">
        <v>4559</v>
      </c>
      <c r="C400" s="157" t="s">
        <v>3042</v>
      </c>
      <c r="D400" s="12" t="s">
        <v>948</v>
      </c>
      <c r="E400" s="12" t="s">
        <v>2987</v>
      </c>
      <c r="F400" s="12"/>
      <c r="G400" s="12" t="s">
        <v>3046</v>
      </c>
      <c r="H400" s="146" t="s">
        <v>4565</v>
      </c>
      <c r="I400" s="146" t="s">
        <v>4526</v>
      </c>
      <c r="J400" s="163" t="s">
        <v>4659</v>
      </c>
      <c r="K400" s="168">
        <v>5</v>
      </c>
      <c r="L400" s="202" t="s">
        <v>4861</v>
      </c>
      <c r="M400" s="202" t="s">
        <v>4669</v>
      </c>
      <c r="N400" s="197">
        <v>15</v>
      </c>
      <c r="O400" s="152" t="s">
        <v>4602</v>
      </c>
    </row>
    <row r="401" spans="1:15" ht="15" customHeight="1" x14ac:dyDescent="0.3">
      <c r="A401" s="155" t="s">
        <v>3606</v>
      </c>
      <c r="B401" s="155" t="s">
        <v>4559</v>
      </c>
      <c r="C401" s="157" t="s">
        <v>3043</v>
      </c>
      <c r="D401" s="12" t="s">
        <v>948</v>
      </c>
      <c r="E401" s="12" t="s">
        <v>2987</v>
      </c>
      <c r="F401" s="12"/>
      <c r="G401" s="12" t="s">
        <v>3047</v>
      </c>
      <c r="H401" s="146" t="s">
        <v>4565</v>
      </c>
      <c r="I401" s="146" t="s">
        <v>4526</v>
      </c>
      <c r="J401" s="163" t="s">
        <v>4659</v>
      </c>
      <c r="K401" s="168">
        <v>6</v>
      </c>
      <c r="L401" s="202" t="s">
        <v>4861</v>
      </c>
      <c r="M401" s="202" t="s">
        <v>4669</v>
      </c>
      <c r="N401" s="197">
        <v>15</v>
      </c>
      <c r="O401" s="152" t="s">
        <v>4602</v>
      </c>
    </row>
    <row r="402" spans="1:15" ht="15" customHeight="1" x14ac:dyDescent="0.3">
      <c r="A402" s="155" t="s">
        <v>3607</v>
      </c>
      <c r="B402" s="155" t="s">
        <v>4559</v>
      </c>
      <c r="C402" s="157" t="s">
        <v>3044</v>
      </c>
      <c r="D402" s="12" t="s">
        <v>948</v>
      </c>
      <c r="E402" s="12" t="s">
        <v>2987</v>
      </c>
      <c r="F402" s="12"/>
      <c r="G402" s="12" t="s">
        <v>3048</v>
      </c>
      <c r="H402" s="146" t="s">
        <v>4565</v>
      </c>
      <c r="I402" s="146" t="s">
        <v>4526</v>
      </c>
      <c r="J402" s="163" t="s">
        <v>4659</v>
      </c>
      <c r="K402" s="168">
        <v>7</v>
      </c>
      <c r="L402" s="202" t="s">
        <v>4861</v>
      </c>
      <c r="M402" s="202" t="s">
        <v>4669</v>
      </c>
      <c r="N402" s="197">
        <v>15</v>
      </c>
      <c r="O402" s="152" t="s">
        <v>4602</v>
      </c>
    </row>
    <row r="403" spans="1:15" ht="15" customHeight="1" x14ac:dyDescent="0.3">
      <c r="A403" s="155" t="s">
        <v>3608</v>
      </c>
      <c r="B403" s="155" t="s">
        <v>4559</v>
      </c>
      <c r="C403" s="157" t="s">
        <v>3045</v>
      </c>
      <c r="D403" s="12" t="s">
        <v>948</v>
      </c>
      <c r="E403" s="12" t="s">
        <v>2987</v>
      </c>
      <c r="F403" s="12"/>
      <c r="G403" s="12" t="s">
        <v>3049</v>
      </c>
      <c r="H403" s="146" t="s">
        <v>4565</v>
      </c>
      <c r="I403" s="146" t="s">
        <v>4526</v>
      </c>
      <c r="J403" s="163" t="s">
        <v>4659</v>
      </c>
      <c r="K403" s="168">
        <v>8</v>
      </c>
      <c r="L403" s="202" t="s">
        <v>4861</v>
      </c>
      <c r="M403" s="202" t="s">
        <v>4669</v>
      </c>
      <c r="N403" s="197">
        <v>15</v>
      </c>
      <c r="O403" s="152" t="s">
        <v>4602</v>
      </c>
    </row>
    <row r="404" spans="1:15" ht="15" customHeight="1" x14ac:dyDescent="0.3">
      <c r="A404" s="155" t="s">
        <v>3614</v>
      </c>
      <c r="B404" s="155" t="s">
        <v>4560</v>
      </c>
      <c r="C404" s="157" t="s">
        <v>3050</v>
      </c>
      <c r="D404" s="12" t="s">
        <v>948</v>
      </c>
      <c r="E404" s="12" t="s">
        <v>2987</v>
      </c>
      <c r="F404" s="12"/>
      <c r="G404" s="12" t="s">
        <v>3054</v>
      </c>
      <c r="H404" s="146" t="s">
        <v>4566</v>
      </c>
      <c r="I404" s="146" t="s">
        <v>4526</v>
      </c>
      <c r="J404" s="163" t="s">
        <v>4659</v>
      </c>
      <c r="K404" s="168">
        <v>2</v>
      </c>
      <c r="L404" s="202" t="s">
        <v>4862</v>
      </c>
      <c r="M404" s="202" t="s">
        <v>4669</v>
      </c>
      <c r="N404" s="197">
        <v>15</v>
      </c>
      <c r="O404" s="152" t="s">
        <v>4602</v>
      </c>
    </row>
    <row r="405" spans="1:15" ht="15" customHeight="1" x14ac:dyDescent="0.3">
      <c r="A405" s="155" t="s">
        <v>3615</v>
      </c>
      <c r="B405" s="155" t="s">
        <v>4560</v>
      </c>
      <c r="C405" s="157" t="s">
        <v>3051</v>
      </c>
      <c r="D405" s="12" t="s">
        <v>948</v>
      </c>
      <c r="E405" s="12" t="s">
        <v>2987</v>
      </c>
      <c r="F405" s="12"/>
      <c r="G405" s="12" t="s">
        <v>3055</v>
      </c>
      <c r="H405" s="146" t="s">
        <v>4566</v>
      </c>
      <c r="I405" s="146" t="s">
        <v>4526</v>
      </c>
      <c r="J405" s="163" t="s">
        <v>4659</v>
      </c>
      <c r="K405" s="168">
        <v>3</v>
      </c>
      <c r="L405" s="202" t="s">
        <v>4862</v>
      </c>
      <c r="M405" s="202" t="s">
        <v>4669</v>
      </c>
      <c r="N405" s="197">
        <v>15</v>
      </c>
      <c r="O405" s="152" t="s">
        <v>4602</v>
      </c>
    </row>
    <row r="406" spans="1:15" ht="15" customHeight="1" x14ac:dyDescent="0.3">
      <c r="A406" s="155" t="s">
        <v>3616</v>
      </c>
      <c r="B406" s="155" t="s">
        <v>4560</v>
      </c>
      <c r="C406" s="157" t="s">
        <v>3052</v>
      </c>
      <c r="D406" s="12" t="s">
        <v>948</v>
      </c>
      <c r="E406" s="12" t="s">
        <v>2987</v>
      </c>
      <c r="F406" s="12"/>
      <c r="G406" s="12" t="s">
        <v>3056</v>
      </c>
      <c r="H406" s="146" t="s">
        <v>4566</v>
      </c>
      <c r="I406" s="146" t="s">
        <v>4526</v>
      </c>
      <c r="J406" s="163" t="s">
        <v>4659</v>
      </c>
      <c r="K406" s="168">
        <v>4</v>
      </c>
      <c r="L406" s="202" t="s">
        <v>4862</v>
      </c>
      <c r="M406" s="202" t="s">
        <v>4669</v>
      </c>
      <c r="N406" s="197">
        <v>15</v>
      </c>
      <c r="O406" s="152" t="s">
        <v>4602</v>
      </c>
    </row>
    <row r="407" spans="1:15" ht="15" customHeight="1" x14ac:dyDescent="0.3">
      <c r="A407" s="147" t="s">
        <v>4415</v>
      </c>
      <c r="B407" s="155" t="s">
        <v>4560</v>
      </c>
      <c r="C407" s="157" t="s">
        <v>3057</v>
      </c>
      <c r="D407" s="12" t="s">
        <v>948</v>
      </c>
      <c r="E407" s="12" t="s">
        <v>2987</v>
      </c>
      <c r="F407" s="12">
        <v>120</v>
      </c>
      <c r="G407" s="12" t="s">
        <v>3058</v>
      </c>
      <c r="H407" s="149" t="s">
        <v>4566</v>
      </c>
      <c r="I407" s="149" t="s">
        <v>4526</v>
      </c>
      <c r="J407" s="163" t="s">
        <v>4659</v>
      </c>
      <c r="K407" s="168">
        <v>1</v>
      </c>
      <c r="L407" s="202" t="s">
        <v>4862</v>
      </c>
      <c r="M407" s="202" t="s">
        <v>4669</v>
      </c>
      <c r="N407" s="197">
        <v>15</v>
      </c>
      <c r="O407" s="152" t="s">
        <v>4602</v>
      </c>
    </row>
    <row r="408" spans="1:15" ht="15" customHeight="1" x14ac:dyDescent="0.3">
      <c r="A408" s="147" t="s">
        <v>4371</v>
      </c>
      <c r="B408" s="155" t="s">
        <v>4346</v>
      </c>
      <c r="C408" s="157" t="s">
        <v>3059</v>
      </c>
      <c r="D408" s="12" t="s">
        <v>948</v>
      </c>
      <c r="E408" s="12" t="s">
        <v>2986</v>
      </c>
      <c r="F408" s="12"/>
      <c r="G408" s="12" t="s">
        <v>3061</v>
      </c>
      <c r="H408" s="148" t="s">
        <v>4346</v>
      </c>
      <c r="I408" s="146" t="s">
        <v>4470</v>
      </c>
      <c r="J408" s="164" t="s">
        <v>4642</v>
      </c>
      <c r="K408" s="169">
        <v>7</v>
      </c>
      <c r="L408" s="242" t="s">
        <v>4784</v>
      </c>
      <c r="M408" s="239" t="s">
        <v>4464</v>
      </c>
      <c r="N408" s="200">
        <v>2</v>
      </c>
      <c r="O408" s="45" t="s">
        <v>4604</v>
      </c>
    </row>
    <row r="409" spans="1:15" ht="15" customHeight="1" x14ac:dyDescent="0.3">
      <c r="A409" s="147" t="s">
        <v>4372</v>
      </c>
      <c r="B409" s="155" t="s">
        <v>4346</v>
      </c>
      <c r="C409" s="157" t="s">
        <v>3060</v>
      </c>
      <c r="D409" s="12" t="s">
        <v>948</v>
      </c>
      <c r="E409" s="12" t="s">
        <v>2986</v>
      </c>
      <c r="F409" s="12"/>
      <c r="G409" s="12" t="s">
        <v>3062</v>
      </c>
      <c r="H409" s="148" t="s">
        <v>4346</v>
      </c>
      <c r="I409" s="146" t="s">
        <v>4470</v>
      </c>
      <c r="J409" s="164" t="s">
        <v>4642</v>
      </c>
      <c r="K409" s="169">
        <v>8</v>
      </c>
      <c r="L409" s="242" t="s">
        <v>4785</v>
      </c>
      <c r="M409" s="239" t="s">
        <v>4464</v>
      </c>
      <c r="N409" s="200">
        <v>2</v>
      </c>
      <c r="O409" s="45" t="s">
        <v>4604</v>
      </c>
    </row>
    <row r="412" spans="1:15" x14ac:dyDescent="0.3">
      <c r="A412" s="116"/>
      <c r="B412" s="171"/>
      <c r="C412" s="172"/>
      <c r="D412" s="99"/>
      <c r="E412" s="99"/>
      <c r="F412" s="99"/>
      <c r="G412" s="99"/>
      <c r="H412" s="25"/>
      <c r="I412" s="25"/>
      <c r="J412" s="28"/>
    </row>
    <row r="413" spans="1:15" s="24" customFormat="1" x14ac:dyDescent="0.3">
      <c r="A413" s="245"/>
      <c r="B413" s="245"/>
      <c r="C413" s="246"/>
      <c r="G413" s="25"/>
      <c r="H413" s="25"/>
      <c r="I413" s="25"/>
      <c r="J413" s="234"/>
      <c r="K413" s="235"/>
      <c r="L413" s="247"/>
      <c r="M413" s="247"/>
      <c r="N413" s="235"/>
      <c r="O413" s="99"/>
    </row>
    <row r="414" spans="1:15" s="24" customFormat="1" x14ac:dyDescent="0.3">
      <c r="A414" s="245"/>
      <c r="B414" s="245"/>
      <c r="C414" s="246"/>
      <c r="G414" s="25"/>
      <c r="H414" s="25"/>
      <c r="I414" s="25"/>
      <c r="J414" s="234"/>
      <c r="K414" s="235"/>
      <c r="L414" s="247"/>
      <c r="M414" s="247"/>
      <c r="N414" s="235"/>
      <c r="O414" s="99"/>
    </row>
    <row r="415" spans="1:15" s="24" customFormat="1" x14ac:dyDescent="0.3">
      <c r="A415" s="245"/>
      <c r="B415" s="245"/>
      <c r="C415" s="246"/>
      <c r="G415" s="25"/>
      <c r="H415" s="25"/>
      <c r="I415" s="25"/>
      <c r="J415" s="234"/>
      <c r="K415" s="235"/>
      <c r="L415" s="247"/>
      <c r="M415" s="247"/>
      <c r="N415" s="235"/>
      <c r="O415" s="99"/>
    </row>
    <row r="416" spans="1:15" s="24" customFormat="1" x14ac:dyDescent="0.3">
      <c r="A416" s="245"/>
      <c r="B416" s="245"/>
      <c r="C416" s="246"/>
      <c r="G416" s="25"/>
      <c r="H416" s="25"/>
      <c r="I416" s="25"/>
      <c r="J416" s="234"/>
      <c r="K416" s="235"/>
      <c r="L416" s="247"/>
      <c r="M416" s="247"/>
      <c r="N416" s="235"/>
      <c r="O416" s="99"/>
    </row>
    <row r="417" spans="1:15" s="24" customFormat="1" x14ac:dyDescent="0.3">
      <c r="A417" s="245"/>
      <c r="B417" s="245"/>
      <c r="C417" s="246"/>
      <c r="G417" s="25"/>
      <c r="H417" s="25"/>
      <c r="I417" s="25"/>
      <c r="J417" s="234"/>
      <c r="K417" s="235"/>
      <c r="L417" s="247"/>
      <c r="M417" s="247"/>
      <c r="N417" s="235"/>
      <c r="O417" s="99"/>
    </row>
    <row r="418" spans="1:15" s="24" customFormat="1" x14ac:dyDescent="0.3">
      <c r="A418" s="245"/>
      <c r="B418" s="245"/>
      <c r="C418" s="246"/>
      <c r="G418" s="25"/>
      <c r="H418" s="25"/>
      <c r="I418" s="25"/>
      <c r="J418" s="234"/>
      <c r="K418" s="235"/>
      <c r="L418" s="247"/>
      <c r="M418" s="247"/>
      <c r="N418" s="235"/>
      <c r="O418" s="99"/>
    </row>
    <row r="419" spans="1:15" s="24" customFormat="1" x14ac:dyDescent="0.3">
      <c r="A419" s="245"/>
      <c r="B419" s="245"/>
      <c r="C419" s="246"/>
      <c r="G419" s="25"/>
      <c r="H419" s="25"/>
      <c r="I419" s="25"/>
      <c r="J419" s="234"/>
      <c r="K419" s="235"/>
      <c r="L419" s="247"/>
      <c r="M419" s="247"/>
      <c r="N419" s="235"/>
      <c r="O419" s="99"/>
    </row>
    <row r="420" spans="1:15" s="24" customFormat="1" x14ac:dyDescent="0.3">
      <c r="A420" s="245"/>
      <c r="B420" s="245"/>
      <c r="C420" s="246"/>
      <c r="G420" s="25"/>
      <c r="H420" s="25"/>
      <c r="I420" s="25"/>
      <c r="J420" s="234"/>
      <c r="K420" s="235"/>
      <c r="L420" s="247"/>
      <c r="M420" s="247"/>
      <c r="N420" s="235"/>
      <c r="O420" s="99"/>
    </row>
    <row r="421" spans="1:15" s="24" customFormat="1" x14ac:dyDescent="0.3">
      <c r="A421" s="245"/>
      <c r="B421" s="245"/>
      <c r="C421" s="246"/>
      <c r="G421" s="25"/>
      <c r="H421" s="25"/>
      <c r="I421" s="25"/>
      <c r="J421" s="234"/>
      <c r="K421" s="235"/>
      <c r="L421" s="247"/>
      <c r="M421" s="247"/>
      <c r="N421" s="235"/>
      <c r="O421" s="99"/>
    </row>
    <row r="422" spans="1:15" s="24" customFormat="1" ht="15" customHeight="1" x14ac:dyDescent="0.3">
      <c r="A422" s="192"/>
      <c r="B422" s="192"/>
      <c r="C422" s="248"/>
      <c r="D422" s="45"/>
      <c r="E422" s="45"/>
      <c r="F422" s="99"/>
      <c r="G422" s="45"/>
      <c r="H422" s="142"/>
      <c r="I422" s="142"/>
      <c r="J422" s="163"/>
      <c r="K422" s="168"/>
      <c r="L422" s="243"/>
      <c r="M422" s="243"/>
      <c r="N422" s="168"/>
      <c r="O422" s="152"/>
    </row>
    <row r="423" spans="1:15" s="24" customFormat="1" x14ac:dyDescent="0.3">
      <c r="A423" s="245"/>
      <c r="B423" s="245"/>
      <c r="C423" s="246"/>
      <c r="G423" s="25"/>
      <c r="H423" s="25"/>
      <c r="I423" s="25"/>
      <c r="J423" s="234"/>
      <c r="K423" s="235"/>
      <c r="L423" s="247"/>
      <c r="M423" s="247"/>
      <c r="N423" s="235"/>
      <c r="O423" s="99"/>
    </row>
    <row r="424" spans="1:15" s="24" customFormat="1" x14ac:dyDescent="0.3">
      <c r="A424" s="245"/>
      <c r="B424" s="245"/>
      <c r="C424" s="246"/>
      <c r="G424" s="25"/>
      <c r="H424" s="25"/>
      <c r="I424" s="25"/>
      <c r="J424" s="234"/>
      <c r="K424" s="235"/>
      <c r="L424" s="247"/>
      <c r="M424" s="247"/>
      <c r="N424" s="235"/>
      <c r="O424" s="99"/>
    </row>
    <row r="425" spans="1:15" s="24" customFormat="1" x14ac:dyDescent="0.3">
      <c r="A425" s="245"/>
      <c r="B425" s="245"/>
      <c r="C425" s="246"/>
      <c r="G425" s="25"/>
      <c r="H425" s="25"/>
      <c r="I425" s="25"/>
      <c r="J425" s="234"/>
      <c r="K425" s="235"/>
      <c r="L425" s="247"/>
      <c r="M425" s="247"/>
      <c r="N425" s="235"/>
      <c r="O425" s="99"/>
    </row>
    <row r="426" spans="1:15" s="24" customFormat="1" x14ac:dyDescent="0.3">
      <c r="A426" s="245"/>
      <c r="B426" s="245"/>
      <c r="C426" s="246"/>
      <c r="G426" s="25"/>
      <c r="H426" s="25"/>
      <c r="I426" s="25"/>
      <c r="J426" s="234"/>
      <c r="K426" s="235"/>
      <c r="L426" s="247"/>
      <c r="M426" s="247"/>
      <c r="N426" s="235"/>
      <c r="O426" s="99"/>
    </row>
    <row r="427" spans="1:15" s="24" customFormat="1" x14ac:dyDescent="0.3">
      <c r="A427" s="245"/>
      <c r="B427" s="245"/>
      <c r="C427" s="246"/>
      <c r="G427" s="25"/>
      <c r="H427" s="25"/>
      <c r="I427" s="25"/>
      <c r="J427" s="234"/>
      <c r="K427" s="235"/>
      <c r="L427" s="247"/>
      <c r="M427" s="247"/>
      <c r="N427" s="235"/>
      <c r="O427" s="99"/>
    </row>
    <row r="428" spans="1:15" s="24" customFormat="1" x14ac:dyDescent="0.3">
      <c r="A428" s="245"/>
      <c r="B428" s="245"/>
      <c r="C428" s="246"/>
      <c r="G428" s="25"/>
      <c r="H428" s="25"/>
      <c r="I428" s="25"/>
      <c r="J428" s="234"/>
      <c r="K428" s="235"/>
      <c r="L428" s="247"/>
      <c r="M428" s="247"/>
      <c r="N428" s="235"/>
      <c r="O428" s="99"/>
    </row>
    <row r="429" spans="1:15" s="24" customFormat="1" x14ac:dyDescent="0.3">
      <c r="A429" s="245"/>
      <c r="B429" s="245"/>
      <c r="C429" s="246"/>
      <c r="G429" s="25"/>
      <c r="H429" s="25"/>
      <c r="I429" s="25"/>
      <c r="J429" s="234"/>
      <c r="K429" s="235"/>
      <c r="L429" s="247"/>
      <c r="M429" s="247"/>
      <c r="N429" s="235"/>
      <c r="O429" s="99"/>
    </row>
    <row r="430" spans="1:15" s="24" customFormat="1" x14ac:dyDescent="0.3">
      <c r="A430" s="245"/>
      <c r="B430" s="245"/>
      <c r="C430" s="246"/>
      <c r="G430" s="25"/>
      <c r="H430" s="25"/>
      <c r="I430" s="25"/>
      <c r="J430" s="234"/>
      <c r="K430" s="235"/>
      <c r="L430" s="247"/>
      <c r="M430" s="247"/>
      <c r="N430" s="235"/>
      <c r="O430" s="99"/>
    </row>
    <row r="431" spans="1:15" s="24" customFormat="1" x14ac:dyDescent="0.3">
      <c r="A431" s="245"/>
      <c r="B431" s="245"/>
      <c r="C431" s="246"/>
      <c r="G431" s="25"/>
      <c r="H431" s="25"/>
      <c r="I431" s="25"/>
      <c r="J431" s="234"/>
      <c r="K431" s="235"/>
      <c r="L431" s="247"/>
      <c r="M431" s="247"/>
      <c r="N431" s="235"/>
      <c r="O431" s="99"/>
    </row>
    <row r="432" spans="1:15" s="24" customFormat="1" x14ac:dyDescent="0.3">
      <c r="A432" s="245"/>
      <c r="B432" s="245"/>
      <c r="C432" s="246"/>
      <c r="G432" s="25"/>
      <c r="H432" s="25"/>
      <c r="I432" s="25"/>
      <c r="J432" s="234"/>
      <c r="K432" s="235"/>
      <c r="L432" s="247"/>
      <c r="M432" s="247"/>
      <c r="N432" s="235"/>
      <c r="O432" s="99"/>
    </row>
    <row r="433" spans="1:15" s="24" customFormat="1" x14ac:dyDescent="0.3">
      <c r="A433" s="245"/>
      <c r="B433" s="245"/>
      <c r="C433" s="246"/>
      <c r="G433" s="25"/>
      <c r="H433" s="25"/>
      <c r="I433" s="25"/>
      <c r="J433" s="234"/>
      <c r="K433" s="235"/>
      <c r="L433" s="247"/>
      <c r="M433" s="247"/>
      <c r="N433" s="235"/>
      <c r="O433" s="99"/>
    </row>
    <row r="434" spans="1:15" s="24" customFormat="1" x14ac:dyDescent="0.3">
      <c r="A434" s="245"/>
      <c r="B434" s="245"/>
      <c r="C434" s="246"/>
      <c r="G434" s="25"/>
      <c r="H434" s="25"/>
      <c r="I434" s="25"/>
      <c r="J434" s="234"/>
      <c r="K434" s="235"/>
      <c r="L434" s="247"/>
      <c r="M434" s="247"/>
      <c r="N434" s="235"/>
      <c r="O434" s="99"/>
    </row>
    <row r="435" spans="1:15" s="24" customFormat="1" x14ac:dyDescent="0.3">
      <c r="A435" s="245"/>
      <c r="B435" s="245"/>
      <c r="C435" s="246"/>
      <c r="G435" s="25"/>
      <c r="H435" s="25"/>
      <c r="I435" s="25"/>
      <c r="J435" s="234"/>
      <c r="K435" s="235"/>
      <c r="L435" s="247"/>
      <c r="M435" s="247"/>
      <c r="N435" s="235"/>
      <c r="O435" s="99"/>
    </row>
    <row r="436" spans="1:15" s="24" customFormat="1" x14ac:dyDescent="0.3">
      <c r="A436" s="245"/>
      <c r="B436" s="245"/>
      <c r="C436" s="246"/>
      <c r="G436" s="25"/>
      <c r="H436" s="25"/>
      <c r="I436" s="25"/>
      <c r="J436" s="234"/>
      <c r="K436" s="235"/>
      <c r="L436" s="247"/>
      <c r="M436" s="247"/>
      <c r="N436" s="235"/>
      <c r="O436" s="99"/>
    </row>
    <row r="437" spans="1:15" s="24" customFormat="1" x14ac:dyDescent="0.3">
      <c r="A437" s="245"/>
      <c r="B437" s="245"/>
      <c r="C437" s="246"/>
      <c r="G437" s="25"/>
      <c r="H437" s="25"/>
      <c r="I437" s="25"/>
      <c r="J437" s="234"/>
      <c r="K437" s="235"/>
      <c r="L437" s="247"/>
      <c r="M437" s="247"/>
      <c r="N437" s="235"/>
      <c r="O437" s="99"/>
    </row>
    <row r="438" spans="1:15" s="24" customFormat="1" x14ac:dyDescent="0.3">
      <c r="A438" s="245"/>
      <c r="B438" s="245"/>
      <c r="C438" s="246"/>
      <c r="G438" s="25"/>
      <c r="H438" s="25"/>
      <c r="I438" s="25"/>
      <c r="J438" s="234"/>
      <c r="K438" s="235"/>
      <c r="L438" s="247"/>
      <c r="M438" s="247"/>
      <c r="N438" s="235"/>
      <c r="O438" s="99"/>
    </row>
    <row r="439" spans="1:15" s="24" customFormat="1" x14ac:dyDescent="0.3">
      <c r="A439" s="245"/>
      <c r="B439" s="245"/>
      <c r="C439" s="246"/>
      <c r="G439" s="25"/>
      <c r="H439" s="25"/>
      <c r="I439" s="25"/>
      <c r="J439" s="234"/>
      <c r="K439" s="235"/>
      <c r="L439" s="247"/>
      <c r="M439" s="247"/>
      <c r="N439" s="235"/>
      <c r="O439" s="99"/>
    </row>
    <row r="440" spans="1:15" s="24" customFormat="1" x14ac:dyDescent="0.3">
      <c r="A440" s="245"/>
      <c r="B440" s="245"/>
      <c r="C440" s="246"/>
      <c r="G440" s="25"/>
      <c r="H440" s="25"/>
      <c r="I440" s="25"/>
      <c r="J440" s="234"/>
      <c r="K440" s="235"/>
      <c r="L440" s="247"/>
      <c r="M440" s="247"/>
      <c r="N440" s="235"/>
      <c r="O440" s="99"/>
    </row>
    <row r="441" spans="1:15" s="24" customFormat="1" x14ac:dyDescent="0.3">
      <c r="A441" s="245"/>
      <c r="B441" s="245"/>
      <c r="C441" s="246"/>
      <c r="G441" s="25"/>
      <c r="H441" s="25"/>
      <c r="I441" s="25"/>
      <c r="J441" s="234"/>
      <c r="K441" s="235"/>
      <c r="L441" s="247"/>
      <c r="M441" s="247"/>
      <c r="N441" s="235"/>
      <c r="O441" s="99"/>
    </row>
    <row r="442" spans="1:15" s="24" customFormat="1" x14ac:dyDescent="0.3">
      <c r="A442" s="245"/>
      <c r="B442" s="245"/>
      <c r="C442" s="246"/>
      <c r="G442" s="25"/>
      <c r="H442" s="25"/>
      <c r="I442" s="25"/>
      <c r="J442" s="234"/>
      <c r="K442" s="235"/>
      <c r="L442" s="247"/>
      <c r="M442" s="247"/>
      <c r="N442" s="235"/>
      <c r="O442" s="99"/>
    </row>
    <row r="443" spans="1:15" s="24" customFormat="1" x14ac:dyDescent="0.3">
      <c r="A443" s="245"/>
      <c r="B443" s="245"/>
      <c r="C443" s="246"/>
      <c r="G443" s="25"/>
      <c r="H443" s="25"/>
      <c r="I443" s="25"/>
      <c r="J443" s="234"/>
      <c r="K443" s="235"/>
      <c r="L443" s="247"/>
      <c r="M443" s="247"/>
      <c r="N443" s="235"/>
      <c r="O443" s="99"/>
    </row>
    <row r="444" spans="1:15" s="24" customFormat="1" x14ac:dyDescent="0.3">
      <c r="A444" s="245"/>
      <c r="B444" s="245"/>
      <c r="C444" s="246"/>
      <c r="G444" s="25"/>
      <c r="H444" s="25"/>
      <c r="I444" s="25"/>
      <c r="J444" s="234"/>
      <c r="K444" s="235"/>
      <c r="L444" s="247"/>
      <c r="M444" s="247"/>
      <c r="N444" s="235"/>
      <c r="O444" s="99"/>
    </row>
    <row r="445" spans="1:15" s="24" customFormat="1" x14ac:dyDescent="0.3">
      <c r="A445" s="245"/>
      <c r="B445" s="245"/>
      <c r="C445" s="246"/>
      <c r="G445" s="25"/>
      <c r="H445" s="25"/>
      <c r="I445" s="25"/>
      <c r="J445" s="234"/>
      <c r="K445" s="235"/>
      <c r="L445" s="247"/>
      <c r="M445" s="247"/>
      <c r="N445" s="235"/>
      <c r="O445" s="99"/>
    </row>
    <row r="446" spans="1:15" s="24" customFormat="1" x14ac:dyDescent="0.3">
      <c r="A446" s="245"/>
      <c r="B446" s="245"/>
      <c r="C446" s="246"/>
      <c r="G446" s="25"/>
      <c r="H446" s="25"/>
      <c r="I446" s="25"/>
      <c r="J446" s="234"/>
      <c r="K446" s="235"/>
      <c r="L446" s="247"/>
      <c r="M446" s="247"/>
      <c r="N446" s="235"/>
      <c r="O446" s="99"/>
    </row>
    <row r="447" spans="1:15" s="24" customFormat="1" x14ac:dyDescent="0.3">
      <c r="A447" s="245"/>
      <c r="B447" s="245"/>
      <c r="C447" s="246"/>
      <c r="G447" s="25"/>
      <c r="H447" s="25"/>
      <c r="I447" s="25"/>
      <c r="J447" s="234"/>
      <c r="K447" s="235"/>
      <c r="L447" s="247"/>
      <c r="M447" s="247"/>
      <c r="N447" s="235"/>
      <c r="O447" s="99"/>
    </row>
    <row r="448" spans="1:15" s="24" customFormat="1" x14ac:dyDescent="0.3">
      <c r="A448" s="245"/>
      <c r="B448" s="245"/>
      <c r="C448" s="246"/>
      <c r="G448" s="25"/>
      <c r="H448" s="25"/>
      <c r="I448" s="25"/>
      <c r="J448" s="234"/>
      <c r="K448" s="235"/>
      <c r="L448" s="247"/>
      <c r="M448" s="247"/>
      <c r="N448" s="235"/>
      <c r="O448" s="99"/>
    </row>
    <row r="449" spans="1:15" s="24" customFormat="1" x14ac:dyDescent="0.3">
      <c r="A449" s="245"/>
      <c r="B449" s="245"/>
      <c r="C449" s="246"/>
      <c r="G449" s="25"/>
      <c r="H449" s="25"/>
      <c r="I449" s="25"/>
      <c r="J449" s="234"/>
      <c r="K449" s="235"/>
      <c r="L449" s="247"/>
      <c r="M449" s="247"/>
      <c r="N449" s="235"/>
      <c r="O449" s="99"/>
    </row>
    <row r="450" spans="1:15" s="24" customFormat="1" x14ac:dyDescent="0.3">
      <c r="A450" s="245"/>
      <c r="B450" s="245"/>
      <c r="C450" s="246"/>
      <c r="G450" s="25"/>
      <c r="H450" s="25"/>
      <c r="I450" s="25"/>
      <c r="J450" s="234"/>
      <c r="K450" s="235"/>
      <c r="L450" s="247"/>
      <c r="M450" s="247"/>
      <c r="N450" s="235"/>
      <c r="O450" s="99"/>
    </row>
    <row r="451" spans="1:15" s="24" customFormat="1" x14ac:dyDescent="0.3">
      <c r="A451" s="245"/>
      <c r="B451" s="245"/>
      <c r="C451" s="246"/>
      <c r="G451" s="25"/>
      <c r="H451" s="25"/>
      <c r="I451" s="25"/>
      <c r="J451" s="234"/>
      <c r="K451" s="235"/>
      <c r="L451" s="247"/>
      <c r="M451" s="247"/>
      <c r="N451" s="235"/>
      <c r="O451" s="99"/>
    </row>
    <row r="452" spans="1:15" s="24" customFormat="1" x14ac:dyDescent="0.3">
      <c r="A452" s="245"/>
      <c r="B452" s="245"/>
      <c r="C452" s="246"/>
      <c r="G452" s="25"/>
      <c r="H452" s="25"/>
      <c r="I452" s="25"/>
      <c r="J452" s="234"/>
      <c r="K452" s="235"/>
      <c r="L452" s="247"/>
      <c r="M452" s="247"/>
      <c r="N452" s="235"/>
      <c r="O452" s="99"/>
    </row>
    <row r="453" spans="1:15" s="24" customFormat="1" x14ac:dyDescent="0.3">
      <c r="A453" s="245"/>
      <c r="B453" s="245"/>
      <c r="C453" s="246"/>
      <c r="G453" s="25"/>
      <c r="H453" s="25"/>
      <c r="I453" s="25"/>
      <c r="J453" s="234"/>
      <c r="K453" s="235"/>
      <c r="L453" s="247"/>
      <c r="M453" s="247"/>
      <c r="N453" s="235"/>
      <c r="O453" s="99"/>
    </row>
    <row r="454" spans="1:15" s="24" customFormat="1" x14ac:dyDescent="0.3">
      <c r="A454" s="245"/>
      <c r="B454" s="245"/>
      <c r="C454" s="246"/>
      <c r="G454" s="25"/>
      <c r="H454" s="25"/>
      <c r="I454" s="25"/>
      <c r="J454" s="234"/>
      <c r="K454" s="235"/>
      <c r="L454" s="247"/>
      <c r="M454" s="247"/>
      <c r="N454" s="235"/>
      <c r="O454" s="99"/>
    </row>
    <row r="455" spans="1:15" s="24" customFormat="1" x14ac:dyDescent="0.3">
      <c r="A455" s="245"/>
      <c r="B455" s="245"/>
      <c r="C455" s="246"/>
      <c r="G455" s="25"/>
      <c r="H455" s="25"/>
      <c r="I455" s="25"/>
      <c r="J455" s="234"/>
      <c r="K455" s="235"/>
      <c r="L455" s="247"/>
      <c r="M455" s="247"/>
      <c r="N455" s="235"/>
      <c r="O455" s="99"/>
    </row>
    <row r="456" spans="1:15" s="24" customFormat="1" x14ac:dyDescent="0.3">
      <c r="A456" s="245"/>
      <c r="B456" s="245"/>
      <c r="C456" s="246"/>
      <c r="G456" s="25"/>
      <c r="H456" s="25"/>
      <c r="I456" s="25"/>
      <c r="J456" s="234"/>
      <c r="K456" s="235"/>
      <c r="L456" s="247"/>
      <c r="M456" s="247"/>
      <c r="N456" s="235"/>
      <c r="O456" s="99"/>
    </row>
    <row r="457" spans="1:15" s="24" customFormat="1" x14ac:dyDescent="0.3">
      <c r="A457" s="245"/>
      <c r="B457" s="245"/>
      <c r="C457" s="246"/>
      <c r="G457" s="25"/>
      <c r="H457" s="25"/>
      <c r="I457" s="25"/>
      <c r="J457" s="234"/>
      <c r="K457" s="235"/>
      <c r="L457" s="247"/>
      <c r="M457" s="247"/>
      <c r="N457" s="235"/>
      <c r="O457" s="99"/>
    </row>
  </sheetData>
  <phoneticPr fontId="14" type="noConversion"/>
  <conditionalFormatting sqref="A217:A230">
    <cfRule type="duplicateValues" dxfId="36" priority="1167"/>
  </conditionalFormatting>
  <conditionalFormatting sqref="A178:A195">
    <cfRule type="duplicateValues" dxfId="35" priority="1168"/>
  </conditionalFormatting>
  <conditionalFormatting sqref="A196:A209">
    <cfRule type="duplicateValues" dxfId="34" priority="1169"/>
  </conditionalFormatting>
  <conditionalFormatting sqref="A135:A141">
    <cfRule type="duplicateValues" dxfId="33" priority="1170"/>
  </conditionalFormatting>
  <conditionalFormatting sqref="A102">
    <cfRule type="duplicateValues" dxfId="32" priority="1172"/>
  </conditionalFormatting>
  <conditionalFormatting sqref="A3:A6">
    <cfRule type="duplicateValues" dxfId="31" priority="1173"/>
  </conditionalFormatting>
  <conditionalFormatting sqref="A9">
    <cfRule type="duplicateValues" dxfId="30" priority="1174"/>
  </conditionalFormatting>
  <conditionalFormatting sqref="A11">
    <cfRule type="duplicateValues" dxfId="29" priority="1175"/>
  </conditionalFormatting>
  <conditionalFormatting sqref="A13">
    <cfRule type="duplicateValues" dxfId="28" priority="1176"/>
  </conditionalFormatting>
  <conditionalFormatting sqref="A10">
    <cfRule type="duplicateValues" dxfId="27" priority="1177"/>
  </conditionalFormatting>
  <conditionalFormatting sqref="A12">
    <cfRule type="duplicateValues" dxfId="26" priority="1178"/>
  </conditionalFormatting>
  <conditionalFormatting sqref="A14">
    <cfRule type="duplicateValues" dxfId="25" priority="1179"/>
  </conditionalFormatting>
  <conditionalFormatting sqref="A7:A8">
    <cfRule type="duplicateValues" dxfId="24" priority="1180"/>
  </conditionalFormatting>
  <conditionalFormatting sqref="A279:A286">
    <cfRule type="duplicateValues" dxfId="23" priority="1181"/>
  </conditionalFormatting>
  <conditionalFormatting sqref="A15:A18">
    <cfRule type="duplicateValues" dxfId="22" priority="1182"/>
  </conditionalFormatting>
  <conditionalFormatting sqref="A164:A177">
    <cfRule type="duplicateValues" dxfId="21" priority="1273"/>
  </conditionalFormatting>
  <conditionalFormatting sqref="A423:B1048576 A1:B2 A372:A373 A322:A327">
    <cfRule type="duplicateValues" dxfId="20" priority="1283"/>
  </conditionalFormatting>
  <conditionalFormatting sqref="A408:A409">
    <cfRule type="duplicateValues" dxfId="19" priority="1287"/>
  </conditionalFormatting>
  <conditionalFormatting sqref="A407">
    <cfRule type="duplicateValues" dxfId="18" priority="1288"/>
  </conditionalFormatting>
  <conditionalFormatting sqref="A357:B357">
    <cfRule type="duplicateValues" dxfId="17" priority="1289"/>
  </conditionalFormatting>
  <pageMargins left="0.31496062992125984" right="0.31496062992125984" top="0.39370078740157483" bottom="0.55118110236220474" header="0.31496062992125984" footer="0.31496062992125984"/>
  <pageSetup paperSize="9" scale="49" orientation="portrait" r:id="rId1"/>
  <customProperties>
    <customPr name="EpmWorksheetKeyString_GUID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tabColor theme="1" tint="0.14999847407452621"/>
  </sheetPr>
  <dimension ref="A2:AN535"/>
  <sheetViews>
    <sheetView tabSelected="1" zoomScale="70" zoomScaleNormal="70" workbookViewId="0">
      <pane ySplit="2" topLeftCell="A3" activePane="bottomLeft" state="frozen"/>
      <selection activeCell="C1" sqref="C1"/>
      <selection pane="bottomLeft" activeCell="C514" sqref="C514"/>
    </sheetView>
  </sheetViews>
  <sheetFormatPr defaultRowHeight="14.4" x14ac:dyDescent="0.3"/>
  <cols>
    <col min="1" max="1" width="21.44140625" style="122" customWidth="1"/>
    <col min="2" max="2" width="9.88671875" style="122" hidden="1" customWidth="1"/>
    <col min="3" max="3" width="66" style="42" customWidth="1"/>
    <col min="4" max="4" width="11.109375" style="39" customWidth="1"/>
    <col min="5" max="5" width="15.44140625" style="39" customWidth="1"/>
    <col min="6" max="6" width="15.77734375" style="39" customWidth="1"/>
    <col min="7" max="7" width="42.44140625" customWidth="1"/>
    <col min="8" max="8" width="17.44140625" style="101" customWidth="1"/>
    <col min="9" max="9" width="13.77734375" style="101" customWidth="1"/>
    <col min="10" max="10" width="13.77734375" style="182" customWidth="1"/>
    <col min="11" max="13" width="13.77734375" style="187" customWidth="1"/>
    <col min="14" max="15" width="13.77734375" style="101" customWidth="1"/>
    <col min="16" max="40" width="8.88671875" style="24"/>
  </cols>
  <sheetData>
    <row r="2" spans="1:40" ht="51.45" customHeight="1" x14ac:dyDescent="0.3">
      <c r="A2" s="123" t="s">
        <v>4150</v>
      </c>
      <c r="B2" s="123" t="s">
        <v>4151</v>
      </c>
      <c r="C2" s="41" t="s">
        <v>508</v>
      </c>
      <c r="D2" s="127" t="s">
        <v>4220</v>
      </c>
      <c r="E2" s="44" t="s">
        <v>2985</v>
      </c>
      <c r="F2" s="44" t="s">
        <v>2988</v>
      </c>
      <c r="G2" s="97" t="s">
        <v>2989</v>
      </c>
      <c r="H2" s="141" t="s">
        <v>4319</v>
      </c>
      <c r="I2" s="141" t="s">
        <v>3254</v>
      </c>
      <c r="J2" s="183" t="s">
        <v>4574</v>
      </c>
      <c r="K2" s="188" t="s">
        <v>4575</v>
      </c>
      <c r="L2" s="44" t="s">
        <v>4664</v>
      </c>
      <c r="M2" s="44" t="s">
        <v>4665</v>
      </c>
      <c r="N2" s="127" t="s">
        <v>4663</v>
      </c>
      <c r="O2" s="141" t="s">
        <v>4573</v>
      </c>
    </row>
    <row r="3" spans="1:40" ht="15" customHeight="1" x14ac:dyDescent="0.3">
      <c r="A3" s="250" t="s">
        <v>4073</v>
      </c>
      <c r="B3" s="192" t="s">
        <v>4335</v>
      </c>
      <c r="C3" s="248" t="s">
        <v>247</v>
      </c>
      <c r="D3" s="251" t="s">
        <v>3124</v>
      </c>
      <c r="E3" s="45" t="s">
        <v>2986</v>
      </c>
      <c r="F3" s="45">
        <v>50</v>
      </c>
      <c r="G3" s="24" t="s">
        <v>3125</v>
      </c>
      <c r="H3" s="33" t="s">
        <v>4520</v>
      </c>
      <c r="I3" s="33" t="s">
        <v>4470</v>
      </c>
      <c r="J3" s="177" t="s">
        <v>4621</v>
      </c>
      <c r="K3" s="179">
        <v>5</v>
      </c>
      <c r="L3" s="197" t="s">
        <v>4773</v>
      </c>
      <c r="M3" s="197" t="s">
        <v>4697</v>
      </c>
      <c r="N3" s="202">
        <v>12</v>
      </c>
      <c r="O3" s="31" t="s">
        <v>4604</v>
      </c>
    </row>
    <row r="4" spans="1:40" ht="15" customHeight="1" x14ac:dyDescent="0.3">
      <c r="A4" s="250" t="s">
        <v>4074</v>
      </c>
      <c r="B4" s="192" t="s">
        <v>4335</v>
      </c>
      <c r="C4" s="248" t="s">
        <v>246</v>
      </c>
      <c r="D4" s="251" t="s">
        <v>3124</v>
      </c>
      <c r="E4" s="45" t="s">
        <v>2986</v>
      </c>
      <c r="F4" s="45">
        <v>50</v>
      </c>
      <c r="G4" s="24" t="s">
        <v>3125</v>
      </c>
      <c r="H4" s="33" t="s">
        <v>4520</v>
      </c>
      <c r="I4" s="33" t="s">
        <v>4470</v>
      </c>
      <c r="J4" s="177" t="s">
        <v>4621</v>
      </c>
      <c r="K4" s="179">
        <v>6</v>
      </c>
      <c r="L4" s="197" t="s">
        <v>4773</v>
      </c>
      <c r="M4" s="197" t="s">
        <v>4697</v>
      </c>
      <c r="N4" s="202">
        <v>12</v>
      </c>
      <c r="O4" s="31" t="s">
        <v>4604</v>
      </c>
    </row>
    <row r="5" spans="1:40" ht="15" customHeight="1" x14ac:dyDescent="0.3">
      <c r="A5" s="252" t="s">
        <v>4339</v>
      </c>
      <c r="B5" s="192" t="s">
        <v>4335</v>
      </c>
      <c r="C5" s="248" t="s">
        <v>951</v>
      </c>
      <c r="D5" s="251" t="s">
        <v>3124</v>
      </c>
      <c r="E5" s="45" t="s">
        <v>2986</v>
      </c>
      <c r="F5" s="45">
        <v>50</v>
      </c>
      <c r="G5" s="24" t="s">
        <v>3126</v>
      </c>
      <c r="H5" s="33" t="s">
        <v>4520</v>
      </c>
      <c r="I5" s="33" t="s">
        <v>4470</v>
      </c>
      <c r="J5" s="177" t="s">
        <v>4621</v>
      </c>
      <c r="K5" s="179">
        <v>7</v>
      </c>
      <c r="L5" s="197" t="s">
        <v>4773</v>
      </c>
      <c r="M5" s="197" t="s">
        <v>4697</v>
      </c>
      <c r="N5" s="202">
        <v>12</v>
      </c>
      <c r="O5" s="31" t="s">
        <v>4604</v>
      </c>
    </row>
    <row r="6" spans="1:40" ht="15" customHeight="1" x14ac:dyDescent="0.3">
      <c r="A6" s="252" t="s">
        <v>4340</v>
      </c>
      <c r="B6" s="192" t="s">
        <v>4335</v>
      </c>
      <c r="C6" s="248" t="s">
        <v>248</v>
      </c>
      <c r="D6" s="251" t="s">
        <v>3124</v>
      </c>
      <c r="E6" s="45" t="s">
        <v>2986</v>
      </c>
      <c r="F6" s="45">
        <v>50</v>
      </c>
      <c r="G6" s="24" t="s">
        <v>3126</v>
      </c>
      <c r="H6" s="33" t="s">
        <v>4520</v>
      </c>
      <c r="I6" s="33" t="s">
        <v>4470</v>
      </c>
      <c r="J6" s="177" t="s">
        <v>4621</v>
      </c>
      <c r="K6" s="179">
        <v>8</v>
      </c>
      <c r="L6" s="197" t="s">
        <v>4773</v>
      </c>
      <c r="M6" s="197" t="s">
        <v>4697</v>
      </c>
      <c r="N6" s="202">
        <v>12</v>
      </c>
      <c r="O6" s="31" t="s">
        <v>4604</v>
      </c>
    </row>
    <row r="7" spans="1:40" s="116" customFormat="1" ht="15" customHeight="1" x14ac:dyDescent="0.3">
      <c r="A7" s="250" t="s">
        <v>4117</v>
      </c>
      <c r="B7" s="192" t="s">
        <v>4360</v>
      </c>
      <c r="C7" s="248" t="s">
        <v>4221</v>
      </c>
      <c r="D7" s="251"/>
      <c r="E7" s="45" t="s">
        <v>2986</v>
      </c>
      <c r="F7" s="45"/>
      <c r="G7" s="24"/>
      <c r="H7" s="33" t="s">
        <v>4518</v>
      </c>
      <c r="I7" s="143" t="s">
        <v>4480</v>
      </c>
      <c r="J7" s="143" t="s">
        <v>4480</v>
      </c>
      <c r="K7" s="143" t="s">
        <v>4480</v>
      </c>
      <c r="L7" s="197" t="s">
        <v>4771</v>
      </c>
      <c r="M7" s="197" t="s">
        <v>4669</v>
      </c>
      <c r="N7" s="202">
        <v>18</v>
      </c>
      <c r="O7" s="143" t="s">
        <v>4480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</row>
    <row r="8" spans="1:40" s="116" customFormat="1" ht="15" customHeight="1" x14ac:dyDescent="0.3">
      <c r="A8" s="250" t="s">
        <v>4119</v>
      </c>
      <c r="B8" s="192" t="s">
        <v>4360</v>
      </c>
      <c r="C8" s="248" t="s">
        <v>4222</v>
      </c>
      <c r="D8" s="251"/>
      <c r="E8" s="45" t="s">
        <v>2986</v>
      </c>
      <c r="F8" s="45"/>
      <c r="G8" s="24"/>
      <c r="H8" s="33" t="s">
        <v>4518</v>
      </c>
      <c r="I8" s="143" t="s">
        <v>4480</v>
      </c>
      <c r="J8" s="143" t="s">
        <v>4480</v>
      </c>
      <c r="K8" s="143" t="s">
        <v>4480</v>
      </c>
      <c r="L8" s="197" t="s">
        <v>4771</v>
      </c>
      <c r="M8" s="197" t="s">
        <v>4669</v>
      </c>
      <c r="N8" s="202">
        <v>18</v>
      </c>
      <c r="O8" s="143" t="s">
        <v>4480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</row>
    <row r="9" spans="1:40" s="116" customFormat="1" ht="15" customHeight="1" x14ac:dyDescent="0.3">
      <c r="A9" s="250" t="s">
        <v>4121</v>
      </c>
      <c r="B9" s="192" t="s">
        <v>4360</v>
      </c>
      <c r="C9" s="248" t="s">
        <v>4223</v>
      </c>
      <c r="D9" s="251"/>
      <c r="E9" s="45" t="s">
        <v>2986</v>
      </c>
      <c r="F9" s="45"/>
      <c r="G9" s="24"/>
      <c r="H9" s="33" t="s">
        <v>4518</v>
      </c>
      <c r="I9" s="143" t="s">
        <v>4480</v>
      </c>
      <c r="J9" s="143" t="s">
        <v>4480</v>
      </c>
      <c r="K9" s="143" t="s">
        <v>4480</v>
      </c>
      <c r="L9" s="197" t="s">
        <v>4771</v>
      </c>
      <c r="M9" s="197" t="s">
        <v>4669</v>
      </c>
      <c r="N9" s="202">
        <v>18</v>
      </c>
      <c r="O9" s="143" t="s">
        <v>4480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</row>
    <row r="10" spans="1:40" s="116" customFormat="1" ht="15" customHeight="1" x14ac:dyDescent="0.3">
      <c r="A10" s="250" t="s">
        <v>4118</v>
      </c>
      <c r="B10" s="192" t="s">
        <v>4360</v>
      </c>
      <c r="C10" s="248" t="s">
        <v>4224</v>
      </c>
      <c r="D10" s="251"/>
      <c r="E10" s="45" t="s">
        <v>2986</v>
      </c>
      <c r="F10" s="45"/>
      <c r="G10" s="24"/>
      <c r="H10" s="33" t="s">
        <v>4518</v>
      </c>
      <c r="I10" s="143" t="s">
        <v>4480</v>
      </c>
      <c r="J10" s="143" t="s">
        <v>4480</v>
      </c>
      <c r="K10" s="143" t="s">
        <v>4480</v>
      </c>
      <c r="L10" s="197" t="s">
        <v>4771</v>
      </c>
      <c r="M10" s="197" t="s">
        <v>4669</v>
      </c>
      <c r="N10" s="202">
        <v>18</v>
      </c>
      <c r="O10" s="143" t="s">
        <v>4480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</row>
    <row r="11" spans="1:40" s="116" customFormat="1" ht="15" customHeight="1" x14ac:dyDescent="0.3">
      <c r="A11" s="250" t="s">
        <v>4120</v>
      </c>
      <c r="B11" s="192" t="s">
        <v>4360</v>
      </c>
      <c r="C11" s="248" t="s">
        <v>4225</v>
      </c>
      <c r="D11" s="251"/>
      <c r="E11" s="45" t="s">
        <v>2986</v>
      </c>
      <c r="F11" s="45"/>
      <c r="G11" s="24"/>
      <c r="H11" s="33" t="s">
        <v>4518</v>
      </c>
      <c r="I11" s="143" t="s">
        <v>4480</v>
      </c>
      <c r="J11" s="143" t="s">
        <v>4480</v>
      </c>
      <c r="K11" s="143" t="s">
        <v>4480</v>
      </c>
      <c r="L11" s="197" t="s">
        <v>4771</v>
      </c>
      <c r="M11" s="197" t="s">
        <v>4669</v>
      </c>
      <c r="N11" s="202">
        <v>18</v>
      </c>
      <c r="O11" s="143" t="s">
        <v>4480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</row>
    <row r="12" spans="1:40" s="116" customFormat="1" ht="15" customHeight="1" x14ac:dyDescent="0.3">
      <c r="A12" s="250" t="s">
        <v>4122</v>
      </c>
      <c r="B12" s="192" t="s">
        <v>4360</v>
      </c>
      <c r="C12" s="248" t="s">
        <v>4226</v>
      </c>
      <c r="D12" s="251"/>
      <c r="E12" s="45" t="s">
        <v>2986</v>
      </c>
      <c r="F12" s="45"/>
      <c r="G12" s="24"/>
      <c r="H12" s="33" t="s">
        <v>4518</v>
      </c>
      <c r="I12" s="143" t="s">
        <v>4480</v>
      </c>
      <c r="J12" s="143" t="s">
        <v>4480</v>
      </c>
      <c r="K12" s="143" t="s">
        <v>4480</v>
      </c>
      <c r="L12" s="197" t="s">
        <v>4771</v>
      </c>
      <c r="M12" s="197" t="s">
        <v>4669</v>
      </c>
      <c r="N12" s="202">
        <v>18</v>
      </c>
      <c r="O12" s="143" t="s">
        <v>4480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</row>
    <row r="13" spans="1:40" s="116" customFormat="1" ht="15" customHeight="1" x14ac:dyDescent="0.3">
      <c r="A13" s="250" t="s">
        <v>4123</v>
      </c>
      <c r="B13" s="192" t="s">
        <v>4334</v>
      </c>
      <c r="C13" s="248" t="s">
        <v>4221</v>
      </c>
      <c r="D13" s="251"/>
      <c r="E13" s="45" t="s">
        <v>2986</v>
      </c>
      <c r="F13" s="45"/>
      <c r="G13" s="24"/>
      <c r="H13" s="33" t="s">
        <v>4519</v>
      </c>
      <c r="I13" s="143" t="s">
        <v>4480</v>
      </c>
      <c r="J13" s="143" t="s">
        <v>4480</v>
      </c>
      <c r="K13" s="143" t="s">
        <v>4480</v>
      </c>
      <c r="L13" s="197" t="s">
        <v>4772</v>
      </c>
      <c r="M13" s="197" t="s">
        <v>4669</v>
      </c>
      <c r="N13" s="202">
        <v>18</v>
      </c>
      <c r="O13" s="143" t="s">
        <v>4480</v>
      </c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</row>
    <row r="14" spans="1:40" s="116" customFormat="1" ht="15" customHeight="1" x14ac:dyDescent="0.3">
      <c r="A14" s="250" t="s">
        <v>4062</v>
      </c>
      <c r="B14" s="192" t="s">
        <v>4334</v>
      </c>
      <c r="C14" s="248" t="s">
        <v>4222</v>
      </c>
      <c r="D14" s="251"/>
      <c r="E14" s="45" t="s">
        <v>2986</v>
      </c>
      <c r="F14" s="45"/>
      <c r="G14" s="24"/>
      <c r="H14" s="33" t="s">
        <v>4519</v>
      </c>
      <c r="I14" s="143" t="s">
        <v>4480</v>
      </c>
      <c r="J14" s="143" t="s">
        <v>4480</v>
      </c>
      <c r="K14" s="143" t="s">
        <v>4480</v>
      </c>
      <c r="L14" s="197" t="s">
        <v>4772</v>
      </c>
      <c r="M14" s="197" t="s">
        <v>4669</v>
      </c>
      <c r="N14" s="202">
        <v>18</v>
      </c>
      <c r="O14" s="143" t="s">
        <v>4480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</row>
    <row r="15" spans="1:40" s="116" customFormat="1" ht="15" customHeight="1" x14ac:dyDescent="0.3">
      <c r="A15" s="250" t="s">
        <v>4064</v>
      </c>
      <c r="B15" s="192" t="s">
        <v>4334</v>
      </c>
      <c r="C15" s="248" t="s">
        <v>4223</v>
      </c>
      <c r="D15" s="251"/>
      <c r="E15" s="45" t="s">
        <v>2986</v>
      </c>
      <c r="F15" s="45"/>
      <c r="G15" s="24"/>
      <c r="H15" s="33" t="s">
        <v>4519</v>
      </c>
      <c r="I15" s="143" t="s">
        <v>4480</v>
      </c>
      <c r="J15" s="143" t="s">
        <v>4480</v>
      </c>
      <c r="K15" s="143" t="s">
        <v>4480</v>
      </c>
      <c r="L15" s="197" t="s">
        <v>4772</v>
      </c>
      <c r="M15" s="197" t="s">
        <v>4669</v>
      </c>
      <c r="N15" s="202">
        <v>18</v>
      </c>
      <c r="O15" s="143" t="s">
        <v>4480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</row>
    <row r="16" spans="1:40" s="116" customFormat="1" ht="15" customHeight="1" x14ac:dyDescent="0.3">
      <c r="A16" s="250" t="s">
        <v>4124</v>
      </c>
      <c r="B16" s="192" t="s">
        <v>4334</v>
      </c>
      <c r="C16" s="248" t="s">
        <v>4224</v>
      </c>
      <c r="D16" s="251"/>
      <c r="E16" s="45" t="s">
        <v>2986</v>
      </c>
      <c r="F16" s="45"/>
      <c r="G16" s="24"/>
      <c r="H16" s="33" t="s">
        <v>4519</v>
      </c>
      <c r="I16" s="143" t="s">
        <v>4480</v>
      </c>
      <c r="J16" s="143" t="s">
        <v>4480</v>
      </c>
      <c r="K16" s="143" t="s">
        <v>4480</v>
      </c>
      <c r="L16" s="197" t="s">
        <v>4772</v>
      </c>
      <c r="M16" s="197" t="s">
        <v>4669</v>
      </c>
      <c r="N16" s="202">
        <v>18</v>
      </c>
      <c r="O16" s="143" t="s">
        <v>4480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</row>
    <row r="17" spans="1:40" s="116" customFormat="1" ht="15" customHeight="1" x14ac:dyDescent="0.3">
      <c r="A17" s="250" t="s">
        <v>4063</v>
      </c>
      <c r="B17" s="192" t="s">
        <v>4334</v>
      </c>
      <c r="C17" s="248" t="s">
        <v>4225</v>
      </c>
      <c r="D17" s="251"/>
      <c r="E17" s="45" t="s">
        <v>2986</v>
      </c>
      <c r="F17" s="45"/>
      <c r="G17" s="24"/>
      <c r="H17" s="33" t="s">
        <v>4519</v>
      </c>
      <c r="I17" s="143" t="s">
        <v>4480</v>
      </c>
      <c r="J17" s="143" t="s">
        <v>4480</v>
      </c>
      <c r="K17" s="143" t="s">
        <v>4480</v>
      </c>
      <c r="L17" s="197" t="s">
        <v>4772</v>
      </c>
      <c r="M17" s="197" t="s">
        <v>4669</v>
      </c>
      <c r="N17" s="202">
        <v>18</v>
      </c>
      <c r="O17" s="143" t="s">
        <v>4480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</row>
    <row r="18" spans="1:40" s="116" customFormat="1" ht="15" customHeight="1" x14ac:dyDescent="0.3">
      <c r="A18" s="250" t="s">
        <v>4065</v>
      </c>
      <c r="B18" s="192" t="s">
        <v>4334</v>
      </c>
      <c r="C18" s="248" t="s">
        <v>4226</v>
      </c>
      <c r="D18" s="251"/>
      <c r="E18" s="45" t="s">
        <v>2986</v>
      </c>
      <c r="F18" s="45"/>
      <c r="G18" s="24"/>
      <c r="H18" s="33" t="s">
        <v>4519</v>
      </c>
      <c r="I18" s="143" t="s">
        <v>4480</v>
      </c>
      <c r="J18" s="143" t="s">
        <v>4480</v>
      </c>
      <c r="K18" s="143" t="s">
        <v>4480</v>
      </c>
      <c r="L18" s="197" t="s">
        <v>4772</v>
      </c>
      <c r="M18" s="197" t="s">
        <v>4669</v>
      </c>
      <c r="N18" s="202">
        <v>18</v>
      </c>
      <c r="O18" s="143" t="s">
        <v>4480</v>
      </c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</row>
    <row r="19" spans="1:40" s="116" customFormat="1" ht="15" customHeight="1" x14ac:dyDescent="0.3">
      <c r="A19" s="253" t="s">
        <v>4480</v>
      </c>
      <c r="B19" s="192" t="s">
        <v>4336</v>
      </c>
      <c r="C19" s="248" t="s">
        <v>4227</v>
      </c>
      <c r="D19" s="251"/>
      <c r="E19" s="45" t="s">
        <v>2986</v>
      </c>
      <c r="F19" s="45"/>
      <c r="G19" s="24"/>
      <c r="H19" s="33" t="s">
        <v>4521</v>
      </c>
      <c r="I19" s="143" t="s">
        <v>4480</v>
      </c>
      <c r="J19" s="143" t="s">
        <v>4480</v>
      </c>
      <c r="K19" s="143" t="s">
        <v>4480</v>
      </c>
      <c r="L19" s="197" t="s">
        <v>4774</v>
      </c>
      <c r="M19" s="197" t="s">
        <v>4690</v>
      </c>
      <c r="N19" s="202">
        <v>8</v>
      </c>
      <c r="O19" s="143" t="s">
        <v>4480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</row>
    <row r="20" spans="1:40" s="116" customFormat="1" ht="15" customHeight="1" x14ac:dyDescent="0.3">
      <c r="A20" s="253" t="s">
        <v>4480</v>
      </c>
      <c r="B20" s="192" t="s">
        <v>4336</v>
      </c>
      <c r="C20" s="248" t="s">
        <v>4228</v>
      </c>
      <c r="D20" s="251"/>
      <c r="E20" s="45" t="s">
        <v>2986</v>
      </c>
      <c r="F20" s="45"/>
      <c r="G20" s="24"/>
      <c r="H20" s="33" t="s">
        <v>4521</v>
      </c>
      <c r="I20" s="143" t="s">
        <v>4480</v>
      </c>
      <c r="J20" s="143" t="s">
        <v>4480</v>
      </c>
      <c r="K20" s="143" t="s">
        <v>4480</v>
      </c>
      <c r="L20" s="197" t="s">
        <v>4774</v>
      </c>
      <c r="M20" s="197" t="s">
        <v>4690</v>
      </c>
      <c r="N20" s="202">
        <v>8</v>
      </c>
      <c r="O20" s="143" t="s">
        <v>4480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</row>
    <row r="21" spans="1:40" ht="15" customHeight="1" x14ac:dyDescent="0.3">
      <c r="A21" s="250" t="s">
        <v>4071</v>
      </c>
      <c r="B21" s="192" t="s">
        <v>4358</v>
      </c>
      <c r="C21" s="248" t="s">
        <v>249</v>
      </c>
      <c r="D21" s="251" t="s">
        <v>3124</v>
      </c>
      <c r="E21" s="45" t="s">
        <v>2986</v>
      </c>
      <c r="F21" s="45">
        <v>50</v>
      </c>
      <c r="G21" s="24" t="s">
        <v>3127</v>
      </c>
      <c r="H21" s="33" t="s">
        <v>4516</v>
      </c>
      <c r="I21" s="31" t="s">
        <v>4470</v>
      </c>
      <c r="J21" s="181" t="s">
        <v>4619</v>
      </c>
      <c r="K21" s="167">
        <v>5</v>
      </c>
      <c r="L21" s="197" t="s">
        <v>4769</v>
      </c>
      <c r="M21" s="197" t="s">
        <v>4697</v>
      </c>
      <c r="N21" s="198">
        <v>12</v>
      </c>
      <c r="O21" s="31" t="s">
        <v>4604</v>
      </c>
    </row>
    <row r="22" spans="1:40" ht="15" customHeight="1" x14ac:dyDescent="0.3">
      <c r="A22" s="250" t="s">
        <v>4072</v>
      </c>
      <c r="B22" s="192" t="s">
        <v>4358</v>
      </c>
      <c r="C22" s="248" t="s">
        <v>250</v>
      </c>
      <c r="D22" s="251" t="s">
        <v>3124</v>
      </c>
      <c r="E22" s="45" t="s">
        <v>2986</v>
      </c>
      <c r="F22" s="45">
        <v>50</v>
      </c>
      <c r="G22" s="24" t="s">
        <v>3127</v>
      </c>
      <c r="H22" s="33" t="s">
        <v>4516</v>
      </c>
      <c r="I22" s="31" t="s">
        <v>4470</v>
      </c>
      <c r="J22" s="181" t="s">
        <v>4619</v>
      </c>
      <c r="K22" s="167">
        <v>6</v>
      </c>
      <c r="L22" s="197" t="s">
        <v>4769</v>
      </c>
      <c r="M22" s="197" t="s">
        <v>4697</v>
      </c>
      <c r="N22" s="198">
        <v>12</v>
      </c>
      <c r="O22" s="31" t="s">
        <v>4604</v>
      </c>
    </row>
    <row r="23" spans="1:40" ht="15" customHeight="1" x14ac:dyDescent="0.3">
      <c r="A23" s="252" t="s">
        <v>4337</v>
      </c>
      <c r="B23" s="192" t="s">
        <v>4358</v>
      </c>
      <c r="C23" s="248" t="s">
        <v>950</v>
      </c>
      <c r="D23" s="251" t="s">
        <v>3124</v>
      </c>
      <c r="E23" s="45" t="s">
        <v>2986</v>
      </c>
      <c r="F23" s="45">
        <v>50</v>
      </c>
      <c r="G23" s="24" t="s">
        <v>3128</v>
      </c>
      <c r="H23" s="33" t="s">
        <v>4516</v>
      </c>
      <c r="I23" s="31" t="s">
        <v>4470</v>
      </c>
      <c r="J23" s="181" t="s">
        <v>4619</v>
      </c>
      <c r="K23" s="167">
        <v>7</v>
      </c>
      <c r="L23" s="197" t="s">
        <v>4769</v>
      </c>
      <c r="M23" s="197" t="s">
        <v>4697</v>
      </c>
      <c r="N23" s="198">
        <v>12</v>
      </c>
      <c r="O23" s="31" t="s">
        <v>4604</v>
      </c>
    </row>
    <row r="24" spans="1:40" ht="15" customHeight="1" x14ac:dyDescent="0.3">
      <c r="A24" s="252" t="s">
        <v>4338</v>
      </c>
      <c r="B24" s="192" t="s">
        <v>4358</v>
      </c>
      <c r="C24" s="248" t="s">
        <v>251</v>
      </c>
      <c r="D24" s="251" t="s">
        <v>3124</v>
      </c>
      <c r="E24" s="45" t="s">
        <v>2986</v>
      </c>
      <c r="F24" s="45">
        <v>50</v>
      </c>
      <c r="G24" s="24" t="s">
        <v>3128</v>
      </c>
      <c r="H24" s="33" t="s">
        <v>4516</v>
      </c>
      <c r="I24" s="31" t="s">
        <v>4470</v>
      </c>
      <c r="J24" s="181" t="s">
        <v>4619</v>
      </c>
      <c r="K24" s="167">
        <v>8</v>
      </c>
      <c r="L24" s="197" t="s">
        <v>4769</v>
      </c>
      <c r="M24" s="197" t="s">
        <v>4697</v>
      </c>
      <c r="N24" s="198">
        <v>12</v>
      </c>
      <c r="O24" s="31" t="s">
        <v>4604</v>
      </c>
    </row>
    <row r="25" spans="1:40" s="116" customFormat="1" ht="15" customHeight="1" x14ac:dyDescent="0.3">
      <c r="A25" s="250" t="s">
        <v>4105</v>
      </c>
      <c r="B25" s="192" t="s">
        <v>4332</v>
      </c>
      <c r="C25" s="248" t="s">
        <v>4229</v>
      </c>
      <c r="D25" s="251"/>
      <c r="E25" s="45" t="s">
        <v>2986</v>
      </c>
      <c r="F25" s="45"/>
      <c r="G25" s="24"/>
      <c r="H25" s="33" t="s">
        <v>4514</v>
      </c>
      <c r="I25" s="137" t="s">
        <v>4480</v>
      </c>
      <c r="J25" s="137" t="s">
        <v>4480</v>
      </c>
      <c r="K25" s="137" t="s">
        <v>4480</v>
      </c>
      <c r="L25" s="201" t="s">
        <v>4767</v>
      </c>
      <c r="M25" s="201" t="s">
        <v>4669</v>
      </c>
      <c r="N25" s="201">
        <v>18</v>
      </c>
      <c r="O25" s="137" t="s">
        <v>4480</v>
      </c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</row>
    <row r="26" spans="1:40" s="116" customFormat="1" ht="15" customHeight="1" x14ac:dyDescent="0.3">
      <c r="A26" s="250" t="s">
        <v>4107</v>
      </c>
      <c r="B26" s="192" t="s">
        <v>4332</v>
      </c>
      <c r="C26" s="248" t="s">
        <v>4230</v>
      </c>
      <c r="D26" s="251"/>
      <c r="E26" s="45" t="s">
        <v>2986</v>
      </c>
      <c r="F26" s="45"/>
      <c r="G26" s="24"/>
      <c r="H26" s="33" t="s">
        <v>4514</v>
      </c>
      <c r="I26" s="137" t="s">
        <v>4480</v>
      </c>
      <c r="J26" s="137" t="s">
        <v>4480</v>
      </c>
      <c r="K26" s="137" t="s">
        <v>4480</v>
      </c>
      <c r="L26" s="201" t="s">
        <v>4767</v>
      </c>
      <c r="M26" s="201" t="s">
        <v>4669</v>
      </c>
      <c r="N26" s="201">
        <v>18</v>
      </c>
      <c r="O26" s="137" t="s">
        <v>4480</v>
      </c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</row>
    <row r="27" spans="1:40" s="116" customFormat="1" ht="15" customHeight="1" x14ac:dyDescent="0.3">
      <c r="A27" s="250" t="s">
        <v>4109</v>
      </c>
      <c r="B27" s="192" t="s">
        <v>4332</v>
      </c>
      <c r="C27" s="248" t="s">
        <v>4231</v>
      </c>
      <c r="D27" s="251"/>
      <c r="E27" s="45" t="s">
        <v>2986</v>
      </c>
      <c r="F27" s="45"/>
      <c r="G27" s="24"/>
      <c r="H27" s="33" t="s">
        <v>4514</v>
      </c>
      <c r="I27" s="137" t="s">
        <v>4480</v>
      </c>
      <c r="J27" s="137" t="s">
        <v>4480</v>
      </c>
      <c r="K27" s="137" t="s">
        <v>4480</v>
      </c>
      <c r="L27" s="201" t="s">
        <v>4767</v>
      </c>
      <c r="M27" s="201" t="s">
        <v>4669</v>
      </c>
      <c r="N27" s="201">
        <v>18</v>
      </c>
      <c r="O27" s="137" t="s">
        <v>4480</v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</row>
    <row r="28" spans="1:40" s="116" customFormat="1" ht="15" customHeight="1" x14ac:dyDescent="0.3">
      <c r="A28" s="250" t="s">
        <v>4106</v>
      </c>
      <c r="B28" s="192" t="s">
        <v>4332</v>
      </c>
      <c r="C28" s="248" t="s">
        <v>4232</v>
      </c>
      <c r="D28" s="251"/>
      <c r="E28" s="45" t="s">
        <v>2986</v>
      </c>
      <c r="F28" s="45"/>
      <c r="G28" s="24"/>
      <c r="H28" s="33" t="s">
        <v>4514</v>
      </c>
      <c r="I28" s="137" t="s">
        <v>4480</v>
      </c>
      <c r="J28" s="137" t="s">
        <v>4480</v>
      </c>
      <c r="K28" s="137" t="s">
        <v>4480</v>
      </c>
      <c r="L28" s="201" t="s">
        <v>4767</v>
      </c>
      <c r="M28" s="201" t="s">
        <v>4669</v>
      </c>
      <c r="N28" s="201">
        <v>18</v>
      </c>
      <c r="O28" s="137" t="s">
        <v>4480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</row>
    <row r="29" spans="1:40" s="116" customFormat="1" ht="15" customHeight="1" x14ac:dyDescent="0.3">
      <c r="A29" s="250" t="s">
        <v>4108</v>
      </c>
      <c r="B29" s="192" t="s">
        <v>4332</v>
      </c>
      <c r="C29" s="248" t="s">
        <v>4233</v>
      </c>
      <c r="D29" s="251"/>
      <c r="E29" s="45" t="s">
        <v>2986</v>
      </c>
      <c r="F29" s="45"/>
      <c r="G29" s="24"/>
      <c r="H29" s="33" t="s">
        <v>4514</v>
      </c>
      <c r="I29" s="137" t="s">
        <v>4480</v>
      </c>
      <c r="J29" s="137" t="s">
        <v>4480</v>
      </c>
      <c r="K29" s="137" t="s">
        <v>4480</v>
      </c>
      <c r="L29" s="201" t="s">
        <v>4767</v>
      </c>
      <c r="M29" s="201" t="s">
        <v>4669</v>
      </c>
      <c r="N29" s="201">
        <v>18</v>
      </c>
      <c r="O29" s="137" t="s">
        <v>4480</v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</row>
    <row r="30" spans="1:40" s="116" customFormat="1" ht="15" customHeight="1" x14ac:dyDescent="0.3">
      <c r="A30" s="250" t="s">
        <v>4110</v>
      </c>
      <c r="B30" s="192" t="s">
        <v>4332</v>
      </c>
      <c r="C30" s="248" t="s">
        <v>4234</v>
      </c>
      <c r="D30" s="251"/>
      <c r="E30" s="45" t="s">
        <v>2986</v>
      </c>
      <c r="F30" s="45"/>
      <c r="G30" s="24"/>
      <c r="H30" s="33" t="s">
        <v>4514</v>
      </c>
      <c r="I30" s="137" t="s">
        <v>4480</v>
      </c>
      <c r="J30" s="137" t="s">
        <v>4480</v>
      </c>
      <c r="K30" s="137" t="s">
        <v>4480</v>
      </c>
      <c r="L30" s="201" t="s">
        <v>4767</v>
      </c>
      <c r="M30" s="201" t="s">
        <v>4669</v>
      </c>
      <c r="N30" s="201">
        <v>18</v>
      </c>
      <c r="O30" s="137" t="s">
        <v>4480</v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</row>
    <row r="31" spans="1:40" s="116" customFormat="1" ht="15" customHeight="1" x14ac:dyDescent="0.3">
      <c r="A31" s="250" t="s">
        <v>4111</v>
      </c>
      <c r="B31" s="192" t="s">
        <v>4333</v>
      </c>
      <c r="C31" s="248" t="s">
        <v>4229</v>
      </c>
      <c r="D31" s="251"/>
      <c r="E31" s="45" t="s">
        <v>2986</v>
      </c>
      <c r="F31" s="45"/>
      <c r="G31" s="24"/>
      <c r="H31" s="33" t="s">
        <v>4515</v>
      </c>
      <c r="I31" s="137" t="s">
        <v>4480</v>
      </c>
      <c r="J31" s="137" t="s">
        <v>4480</v>
      </c>
      <c r="K31" s="137" t="s">
        <v>4480</v>
      </c>
      <c r="L31" s="201" t="s">
        <v>4768</v>
      </c>
      <c r="M31" s="201" t="s">
        <v>4669</v>
      </c>
      <c r="N31" s="201">
        <v>18</v>
      </c>
      <c r="O31" s="137" t="s">
        <v>4480</v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</row>
    <row r="32" spans="1:40" s="116" customFormat="1" ht="15" customHeight="1" x14ac:dyDescent="0.3">
      <c r="A32" s="250" t="s">
        <v>4113</v>
      </c>
      <c r="B32" s="192" t="s">
        <v>4333</v>
      </c>
      <c r="C32" s="248" t="s">
        <v>4230</v>
      </c>
      <c r="D32" s="251"/>
      <c r="E32" s="45" t="s">
        <v>2986</v>
      </c>
      <c r="F32" s="45"/>
      <c r="G32" s="24"/>
      <c r="H32" s="33" t="s">
        <v>4515</v>
      </c>
      <c r="I32" s="137" t="s">
        <v>4480</v>
      </c>
      <c r="J32" s="137" t="s">
        <v>4480</v>
      </c>
      <c r="K32" s="137" t="s">
        <v>4480</v>
      </c>
      <c r="L32" s="201" t="s">
        <v>4768</v>
      </c>
      <c r="M32" s="201" t="s">
        <v>4669</v>
      </c>
      <c r="N32" s="201">
        <v>18</v>
      </c>
      <c r="O32" s="137" t="s">
        <v>4480</v>
      </c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</row>
    <row r="33" spans="1:40" s="116" customFormat="1" ht="15" customHeight="1" x14ac:dyDescent="0.3">
      <c r="A33" s="250" t="s">
        <v>4115</v>
      </c>
      <c r="B33" s="192" t="s">
        <v>4333</v>
      </c>
      <c r="C33" s="248" t="s">
        <v>4231</v>
      </c>
      <c r="D33" s="251"/>
      <c r="E33" s="45" t="s">
        <v>2986</v>
      </c>
      <c r="F33" s="45"/>
      <c r="G33" s="24"/>
      <c r="H33" s="33" t="s">
        <v>4515</v>
      </c>
      <c r="I33" s="137" t="s">
        <v>4480</v>
      </c>
      <c r="J33" s="137" t="s">
        <v>4480</v>
      </c>
      <c r="K33" s="137" t="s">
        <v>4480</v>
      </c>
      <c r="L33" s="201" t="s">
        <v>4768</v>
      </c>
      <c r="M33" s="201" t="s">
        <v>4669</v>
      </c>
      <c r="N33" s="201">
        <v>18</v>
      </c>
      <c r="O33" s="137" t="s">
        <v>4480</v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</row>
    <row r="34" spans="1:40" s="116" customFormat="1" ht="15" customHeight="1" x14ac:dyDescent="0.3">
      <c r="A34" s="250" t="s">
        <v>4112</v>
      </c>
      <c r="B34" s="192" t="s">
        <v>4333</v>
      </c>
      <c r="C34" s="248" t="s">
        <v>4232</v>
      </c>
      <c r="D34" s="251"/>
      <c r="E34" s="45" t="s">
        <v>2986</v>
      </c>
      <c r="F34" s="45"/>
      <c r="G34" s="24"/>
      <c r="H34" s="33" t="s">
        <v>4515</v>
      </c>
      <c r="I34" s="137" t="s">
        <v>4480</v>
      </c>
      <c r="J34" s="137" t="s">
        <v>4480</v>
      </c>
      <c r="K34" s="137" t="s">
        <v>4480</v>
      </c>
      <c r="L34" s="201" t="s">
        <v>4768</v>
      </c>
      <c r="M34" s="201" t="s">
        <v>4669</v>
      </c>
      <c r="N34" s="201">
        <v>18</v>
      </c>
      <c r="O34" s="137" t="s">
        <v>4480</v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</row>
    <row r="35" spans="1:40" s="116" customFormat="1" ht="15" customHeight="1" x14ac:dyDescent="0.3">
      <c r="A35" s="250" t="s">
        <v>4114</v>
      </c>
      <c r="B35" s="192" t="s">
        <v>4333</v>
      </c>
      <c r="C35" s="248" t="s">
        <v>4233</v>
      </c>
      <c r="D35" s="251"/>
      <c r="E35" s="45" t="s">
        <v>2986</v>
      </c>
      <c r="F35" s="45"/>
      <c r="G35" s="24"/>
      <c r="H35" s="33" t="s">
        <v>4515</v>
      </c>
      <c r="I35" s="137" t="s">
        <v>4480</v>
      </c>
      <c r="J35" s="137" t="s">
        <v>4480</v>
      </c>
      <c r="K35" s="137" t="s">
        <v>4480</v>
      </c>
      <c r="L35" s="201" t="s">
        <v>4768</v>
      </c>
      <c r="M35" s="201" t="s">
        <v>4669</v>
      </c>
      <c r="N35" s="201">
        <v>18</v>
      </c>
      <c r="O35" s="137" t="s">
        <v>4480</v>
      </c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</row>
    <row r="36" spans="1:40" s="116" customFormat="1" ht="15" customHeight="1" x14ac:dyDescent="0.3">
      <c r="A36" s="250" t="s">
        <v>4116</v>
      </c>
      <c r="B36" s="192" t="s">
        <v>4333</v>
      </c>
      <c r="C36" s="248" t="s">
        <v>4234</v>
      </c>
      <c r="D36" s="251"/>
      <c r="E36" s="45" t="s">
        <v>2986</v>
      </c>
      <c r="F36" s="45"/>
      <c r="G36" s="24"/>
      <c r="H36" s="33" t="s">
        <v>4515</v>
      </c>
      <c r="I36" s="137" t="s">
        <v>4480</v>
      </c>
      <c r="J36" s="137" t="s">
        <v>4480</v>
      </c>
      <c r="K36" s="137" t="s">
        <v>4480</v>
      </c>
      <c r="L36" s="201" t="s">
        <v>4768</v>
      </c>
      <c r="M36" s="201" t="s">
        <v>4669</v>
      </c>
      <c r="N36" s="201">
        <v>18</v>
      </c>
      <c r="O36" s="137" t="s">
        <v>4480</v>
      </c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</row>
    <row r="37" spans="1:40" s="116" customFormat="1" ht="15" customHeight="1" x14ac:dyDescent="0.3">
      <c r="A37" s="253" t="s">
        <v>4480</v>
      </c>
      <c r="B37" s="121" t="s">
        <v>4359</v>
      </c>
      <c r="C37" s="248" t="s">
        <v>4235</v>
      </c>
      <c r="D37" s="251"/>
      <c r="E37" s="45" t="s">
        <v>2986</v>
      </c>
      <c r="F37" s="45"/>
      <c r="G37" s="24"/>
      <c r="H37" s="33" t="s">
        <v>4517</v>
      </c>
      <c r="I37" s="143" t="s">
        <v>4480</v>
      </c>
      <c r="J37" s="143" t="s">
        <v>4480</v>
      </c>
      <c r="K37" s="143" t="s">
        <v>4480</v>
      </c>
      <c r="L37" s="197" t="s">
        <v>4770</v>
      </c>
      <c r="M37" s="197" t="s">
        <v>4690</v>
      </c>
      <c r="N37" s="202">
        <v>8</v>
      </c>
      <c r="O37" s="143" t="s">
        <v>4480</v>
      </c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</row>
    <row r="38" spans="1:40" s="116" customFormat="1" ht="15" customHeight="1" x14ac:dyDescent="0.3">
      <c r="A38" s="253" t="s">
        <v>4480</v>
      </c>
      <c r="B38" s="121" t="s">
        <v>4359</v>
      </c>
      <c r="C38" s="248" t="s">
        <v>4236</v>
      </c>
      <c r="D38" s="251"/>
      <c r="E38" s="45" t="s">
        <v>2986</v>
      </c>
      <c r="F38" s="45"/>
      <c r="G38" s="24"/>
      <c r="H38" s="33" t="s">
        <v>4517</v>
      </c>
      <c r="I38" s="143" t="s">
        <v>4480</v>
      </c>
      <c r="J38" s="143" t="s">
        <v>4480</v>
      </c>
      <c r="K38" s="143" t="s">
        <v>4480</v>
      </c>
      <c r="L38" s="197" t="s">
        <v>4770</v>
      </c>
      <c r="M38" s="197" t="s">
        <v>4690</v>
      </c>
      <c r="N38" s="202">
        <v>8</v>
      </c>
      <c r="O38" s="143" t="s">
        <v>4480</v>
      </c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</row>
    <row r="39" spans="1:40" ht="15" customHeight="1" x14ac:dyDescent="0.3">
      <c r="A39" s="254" t="s">
        <v>4069</v>
      </c>
      <c r="B39" s="192" t="s">
        <v>4179</v>
      </c>
      <c r="C39" s="248" t="s">
        <v>252</v>
      </c>
      <c r="D39" s="251" t="s">
        <v>3124</v>
      </c>
      <c r="E39" s="45" t="s">
        <v>2986</v>
      </c>
      <c r="F39" s="45">
        <v>50</v>
      </c>
      <c r="G39" s="24" t="s">
        <v>3129</v>
      </c>
      <c r="H39" s="33" t="s">
        <v>4482</v>
      </c>
      <c r="I39" s="33" t="s">
        <v>4470</v>
      </c>
      <c r="J39" s="181" t="s">
        <v>4621</v>
      </c>
      <c r="K39" s="167">
        <v>1</v>
      </c>
      <c r="L39" s="197" t="s">
        <v>4705</v>
      </c>
      <c r="M39" s="197" t="s">
        <v>4690</v>
      </c>
      <c r="N39" s="198">
        <v>6</v>
      </c>
      <c r="O39" s="31" t="s">
        <v>4604</v>
      </c>
    </row>
    <row r="40" spans="1:40" ht="15" customHeight="1" x14ac:dyDescent="0.3">
      <c r="A40" s="254" t="s">
        <v>4070</v>
      </c>
      <c r="B40" s="192" t="s">
        <v>4179</v>
      </c>
      <c r="C40" s="248" t="s">
        <v>253</v>
      </c>
      <c r="D40" s="251" t="s">
        <v>3124</v>
      </c>
      <c r="E40" s="45" t="s">
        <v>2986</v>
      </c>
      <c r="F40" s="45">
        <v>50</v>
      </c>
      <c r="G40" s="24" t="s">
        <v>3129</v>
      </c>
      <c r="H40" s="33" t="s">
        <v>4482</v>
      </c>
      <c r="I40" s="33" t="s">
        <v>4470</v>
      </c>
      <c r="J40" s="181" t="s">
        <v>4621</v>
      </c>
      <c r="K40" s="167">
        <v>2</v>
      </c>
      <c r="L40" s="197" t="s">
        <v>4705</v>
      </c>
      <c r="M40" s="197" t="s">
        <v>4690</v>
      </c>
      <c r="N40" s="198">
        <v>6</v>
      </c>
      <c r="O40" s="31" t="s">
        <v>4604</v>
      </c>
    </row>
    <row r="41" spans="1:40" ht="15" customHeight="1" x14ac:dyDescent="0.3">
      <c r="A41" s="254" t="s">
        <v>4087</v>
      </c>
      <c r="B41" s="192" t="s">
        <v>4178</v>
      </c>
      <c r="C41" s="248" t="s">
        <v>254</v>
      </c>
      <c r="D41" s="251" t="s">
        <v>3124</v>
      </c>
      <c r="E41" s="45" t="s">
        <v>2986</v>
      </c>
      <c r="F41" s="45">
        <v>50</v>
      </c>
      <c r="G41" s="24" t="s">
        <v>3130</v>
      </c>
      <c r="H41" s="33" t="s">
        <v>4481</v>
      </c>
      <c r="I41" s="33" t="s">
        <v>4470</v>
      </c>
      <c r="J41" s="177" t="s">
        <v>4621</v>
      </c>
      <c r="K41" s="179">
        <v>3</v>
      </c>
      <c r="L41" s="197" t="s">
        <v>4704</v>
      </c>
      <c r="M41" s="197" t="s">
        <v>4697</v>
      </c>
      <c r="N41" s="198">
        <v>11</v>
      </c>
      <c r="O41" s="33" t="s">
        <v>4604</v>
      </c>
    </row>
    <row r="42" spans="1:40" ht="15" customHeight="1" x14ac:dyDescent="0.3">
      <c r="A42" s="254" t="s">
        <v>4088</v>
      </c>
      <c r="B42" s="192" t="s">
        <v>4178</v>
      </c>
      <c r="C42" s="248" t="s">
        <v>255</v>
      </c>
      <c r="D42" s="251" t="s">
        <v>3124</v>
      </c>
      <c r="E42" s="45" t="s">
        <v>2986</v>
      </c>
      <c r="F42" s="45">
        <v>50</v>
      </c>
      <c r="G42" s="24" t="s">
        <v>3130</v>
      </c>
      <c r="H42" s="33" t="s">
        <v>4481</v>
      </c>
      <c r="I42" s="33" t="s">
        <v>4470</v>
      </c>
      <c r="J42" s="177" t="s">
        <v>4621</v>
      </c>
      <c r="K42" s="179">
        <v>4</v>
      </c>
      <c r="L42" s="197" t="s">
        <v>4704</v>
      </c>
      <c r="M42" s="197" t="s">
        <v>4697</v>
      </c>
      <c r="N42" s="198">
        <v>11</v>
      </c>
      <c r="O42" s="33" t="s">
        <v>4604</v>
      </c>
    </row>
    <row r="43" spans="1:40" s="116" customFormat="1" ht="15" customHeight="1" x14ac:dyDescent="0.3">
      <c r="A43" s="255" t="s">
        <v>4089</v>
      </c>
      <c r="B43" s="192" t="s">
        <v>4179</v>
      </c>
      <c r="C43" s="248" t="s">
        <v>4241</v>
      </c>
      <c r="D43" s="256"/>
      <c r="E43" s="45" t="s">
        <v>2986</v>
      </c>
      <c r="F43" s="45"/>
      <c r="G43" s="24"/>
      <c r="H43" s="33" t="s">
        <v>4482</v>
      </c>
      <c r="I43" s="143" t="s">
        <v>4480</v>
      </c>
      <c r="J43" s="162" t="s">
        <v>4480</v>
      </c>
      <c r="K43" s="143" t="s">
        <v>4480</v>
      </c>
      <c r="L43" s="197" t="s">
        <v>4706</v>
      </c>
      <c r="M43" s="197" t="s">
        <v>4690</v>
      </c>
      <c r="N43" s="198">
        <v>9</v>
      </c>
      <c r="O43" s="143" t="s">
        <v>4480</v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</row>
    <row r="44" spans="1:40" s="116" customFormat="1" ht="15" customHeight="1" x14ac:dyDescent="0.3">
      <c r="A44" s="255" t="s">
        <v>4091</v>
      </c>
      <c r="B44" s="192" t="s">
        <v>4179</v>
      </c>
      <c r="C44" s="248" t="s">
        <v>4242</v>
      </c>
      <c r="D44" s="256"/>
      <c r="E44" s="45" t="s">
        <v>2986</v>
      </c>
      <c r="F44" s="45"/>
      <c r="G44" s="24"/>
      <c r="H44" s="33" t="s">
        <v>4482</v>
      </c>
      <c r="I44" s="143" t="s">
        <v>4480</v>
      </c>
      <c r="J44" s="162" t="s">
        <v>4480</v>
      </c>
      <c r="K44" s="143" t="s">
        <v>4480</v>
      </c>
      <c r="L44" s="197" t="s">
        <v>4706</v>
      </c>
      <c r="M44" s="197" t="s">
        <v>4690</v>
      </c>
      <c r="N44" s="198">
        <v>9</v>
      </c>
      <c r="O44" s="143" t="s">
        <v>4480</v>
      </c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</row>
    <row r="45" spans="1:40" s="116" customFormat="1" ht="15" customHeight="1" x14ac:dyDescent="0.3">
      <c r="A45" s="255" t="s">
        <v>4093</v>
      </c>
      <c r="B45" s="192" t="s">
        <v>4179</v>
      </c>
      <c r="C45" s="248" t="s">
        <v>4243</v>
      </c>
      <c r="D45" s="256"/>
      <c r="E45" s="45" t="s">
        <v>2986</v>
      </c>
      <c r="F45" s="45"/>
      <c r="G45" s="24"/>
      <c r="H45" s="33" t="s">
        <v>4482</v>
      </c>
      <c r="I45" s="143" t="s">
        <v>4480</v>
      </c>
      <c r="J45" s="162" t="s">
        <v>4480</v>
      </c>
      <c r="K45" s="143" t="s">
        <v>4480</v>
      </c>
      <c r="L45" s="197" t="s">
        <v>4706</v>
      </c>
      <c r="M45" s="197" t="s">
        <v>4690</v>
      </c>
      <c r="N45" s="198">
        <v>9</v>
      </c>
      <c r="O45" s="143" t="s">
        <v>4480</v>
      </c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</row>
    <row r="46" spans="1:40" s="116" customFormat="1" ht="15" customHeight="1" x14ac:dyDescent="0.3">
      <c r="A46" s="255" t="s">
        <v>4090</v>
      </c>
      <c r="B46" s="192" t="s">
        <v>4179</v>
      </c>
      <c r="C46" s="248" t="s">
        <v>4244</v>
      </c>
      <c r="D46" s="256"/>
      <c r="E46" s="45" t="s">
        <v>2986</v>
      </c>
      <c r="F46" s="45"/>
      <c r="G46" s="24"/>
      <c r="H46" s="33" t="s">
        <v>4482</v>
      </c>
      <c r="I46" s="143" t="s">
        <v>4480</v>
      </c>
      <c r="J46" s="162" t="s">
        <v>4480</v>
      </c>
      <c r="K46" s="143" t="s">
        <v>4480</v>
      </c>
      <c r="L46" s="197" t="s">
        <v>4707</v>
      </c>
      <c r="M46" s="197" t="s">
        <v>4690</v>
      </c>
      <c r="N46" s="198">
        <v>9</v>
      </c>
      <c r="O46" s="143" t="s">
        <v>4480</v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</row>
    <row r="47" spans="1:40" s="116" customFormat="1" ht="15" customHeight="1" x14ac:dyDescent="0.3">
      <c r="A47" s="255" t="s">
        <v>4092</v>
      </c>
      <c r="B47" s="192" t="s">
        <v>4179</v>
      </c>
      <c r="C47" s="248" t="s">
        <v>4245</v>
      </c>
      <c r="D47" s="256"/>
      <c r="E47" s="45" t="s">
        <v>2986</v>
      </c>
      <c r="F47" s="45"/>
      <c r="G47" s="24"/>
      <c r="H47" s="33" t="s">
        <v>4482</v>
      </c>
      <c r="I47" s="143" t="s">
        <v>4480</v>
      </c>
      <c r="J47" s="162" t="s">
        <v>4480</v>
      </c>
      <c r="K47" s="143" t="s">
        <v>4480</v>
      </c>
      <c r="L47" s="197" t="s">
        <v>4707</v>
      </c>
      <c r="M47" s="197" t="s">
        <v>4690</v>
      </c>
      <c r="N47" s="198">
        <v>9</v>
      </c>
      <c r="O47" s="143" t="s">
        <v>4480</v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</row>
    <row r="48" spans="1:40" s="116" customFormat="1" ht="15" customHeight="1" x14ac:dyDescent="0.3">
      <c r="A48" s="255" t="s">
        <v>4094</v>
      </c>
      <c r="B48" s="192" t="s">
        <v>4179</v>
      </c>
      <c r="C48" s="248" t="s">
        <v>4246</v>
      </c>
      <c r="D48" s="256"/>
      <c r="E48" s="45" t="s">
        <v>2986</v>
      </c>
      <c r="F48" s="45"/>
      <c r="G48" s="24"/>
      <c r="H48" s="33" t="s">
        <v>4482</v>
      </c>
      <c r="I48" s="143" t="s">
        <v>4480</v>
      </c>
      <c r="J48" s="162" t="s">
        <v>4480</v>
      </c>
      <c r="K48" s="143" t="s">
        <v>4480</v>
      </c>
      <c r="L48" s="197" t="s">
        <v>4707</v>
      </c>
      <c r="M48" s="197" t="s">
        <v>4690</v>
      </c>
      <c r="N48" s="198">
        <v>9</v>
      </c>
      <c r="O48" s="143" t="s">
        <v>4480</v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</row>
    <row r="49" spans="1:40" ht="15" customHeight="1" x14ac:dyDescent="0.3">
      <c r="A49" s="257" t="s">
        <v>4067</v>
      </c>
      <c r="B49" s="192" t="s">
        <v>4175</v>
      </c>
      <c r="C49" s="248" t="s">
        <v>257</v>
      </c>
      <c r="D49" s="251" t="s">
        <v>3124</v>
      </c>
      <c r="E49" s="45" t="s">
        <v>2986</v>
      </c>
      <c r="F49" s="45">
        <v>50</v>
      </c>
      <c r="G49" s="24" t="s">
        <v>3131</v>
      </c>
      <c r="H49" s="33" t="s">
        <v>4479</v>
      </c>
      <c r="I49" s="33" t="s">
        <v>4470</v>
      </c>
      <c r="J49" s="181" t="s">
        <v>4619</v>
      </c>
      <c r="K49" s="167">
        <v>1</v>
      </c>
      <c r="L49" s="197" t="s">
        <v>4700</v>
      </c>
      <c r="M49" s="197" t="s">
        <v>4701</v>
      </c>
      <c r="N49" s="198">
        <v>6</v>
      </c>
      <c r="O49" s="31" t="s">
        <v>4604</v>
      </c>
    </row>
    <row r="50" spans="1:40" ht="15" customHeight="1" x14ac:dyDescent="0.3">
      <c r="A50" s="257" t="s">
        <v>4068</v>
      </c>
      <c r="B50" s="192" t="s">
        <v>4175</v>
      </c>
      <c r="C50" s="248" t="s">
        <v>256</v>
      </c>
      <c r="D50" s="251" t="s">
        <v>3124</v>
      </c>
      <c r="E50" s="45" t="s">
        <v>2986</v>
      </c>
      <c r="F50" s="45">
        <v>50</v>
      </c>
      <c r="G50" s="24" t="s">
        <v>3131</v>
      </c>
      <c r="H50" s="33" t="s">
        <v>4479</v>
      </c>
      <c r="I50" s="33" t="s">
        <v>4470</v>
      </c>
      <c r="J50" s="181" t="s">
        <v>4619</v>
      </c>
      <c r="K50" s="167">
        <v>2</v>
      </c>
      <c r="L50" s="197" t="s">
        <v>4700</v>
      </c>
      <c r="M50" s="197" t="s">
        <v>4701</v>
      </c>
      <c r="N50" s="198">
        <v>6</v>
      </c>
      <c r="O50" s="31" t="s">
        <v>4604</v>
      </c>
    </row>
    <row r="51" spans="1:40" ht="15" customHeight="1" x14ac:dyDescent="0.3">
      <c r="A51" s="257" t="s">
        <v>4085</v>
      </c>
      <c r="B51" s="192" t="s">
        <v>4173</v>
      </c>
      <c r="C51" s="248" t="s">
        <v>952</v>
      </c>
      <c r="D51" s="251" t="s">
        <v>3124</v>
      </c>
      <c r="E51" s="45" t="s">
        <v>2986</v>
      </c>
      <c r="F51" s="45">
        <v>50</v>
      </c>
      <c r="G51" s="24" t="s">
        <v>3132</v>
      </c>
      <c r="H51" s="33" t="s">
        <v>4477</v>
      </c>
      <c r="I51" s="33" t="s">
        <v>4470</v>
      </c>
      <c r="J51" s="177" t="s">
        <v>4619</v>
      </c>
      <c r="K51" s="179">
        <v>3</v>
      </c>
      <c r="L51" s="197" t="s">
        <v>4699</v>
      </c>
      <c r="M51" s="197" t="s">
        <v>4697</v>
      </c>
      <c r="N51" s="198">
        <v>11</v>
      </c>
      <c r="O51" s="33" t="s">
        <v>4604</v>
      </c>
    </row>
    <row r="52" spans="1:40" ht="15" customHeight="1" x14ac:dyDescent="0.3">
      <c r="A52" s="257" t="s">
        <v>4086</v>
      </c>
      <c r="B52" s="192" t="s">
        <v>4173</v>
      </c>
      <c r="C52" s="248" t="s">
        <v>258</v>
      </c>
      <c r="D52" s="251" t="s">
        <v>3124</v>
      </c>
      <c r="E52" s="45" t="s">
        <v>2986</v>
      </c>
      <c r="F52" s="45">
        <v>50</v>
      </c>
      <c r="G52" s="24" t="s">
        <v>3132</v>
      </c>
      <c r="H52" s="33" t="s">
        <v>4477</v>
      </c>
      <c r="I52" s="33" t="s">
        <v>4470</v>
      </c>
      <c r="J52" s="177" t="s">
        <v>4619</v>
      </c>
      <c r="K52" s="179">
        <v>4</v>
      </c>
      <c r="L52" s="197" t="s">
        <v>4699</v>
      </c>
      <c r="M52" s="197" t="s">
        <v>4697</v>
      </c>
      <c r="N52" s="198">
        <v>11</v>
      </c>
      <c r="O52" s="33" t="s">
        <v>4604</v>
      </c>
    </row>
    <row r="53" spans="1:40" s="116" customFormat="1" ht="15" customHeight="1" x14ac:dyDescent="0.3">
      <c r="A53" s="255" t="s">
        <v>4079</v>
      </c>
      <c r="B53" s="192" t="s">
        <v>4175</v>
      </c>
      <c r="C53" s="248" t="s">
        <v>4237</v>
      </c>
      <c r="D53" s="256"/>
      <c r="E53" s="45" t="s">
        <v>2986</v>
      </c>
      <c r="F53" s="45"/>
      <c r="G53" s="24"/>
      <c r="H53" s="33" t="s">
        <v>4479</v>
      </c>
      <c r="I53" s="143" t="s">
        <v>4480</v>
      </c>
      <c r="J53" s="162" t="s">
        <v>4480</v>
      </c>
      <c r="K53" s="143" t="s">
        <v>4480</v>
      </c>
      <c r="L53" s="197" t="s">
        <v>4702</v>
      </c>
      <c r="M53" s="197" t="s">
        <v>4701</v>
      </c>
      <c r="N53" s="198">
        <v>9</v>
      </c>
      <c r="O53" s="143" t="s">
        <v>4480</v>
      </c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</row>
    <row r="54" spans="1:40" s="116" customFormat="1" ht="15" customHeight="1" x14ac:dyDescent="0.3">
      <c r="A54" s="255" t="s">
        <v>4081</v>
      </c>
      <c r="B54" s="192" t="s">
        <v>4175</v>
      </c>
      <c r="C54" s="248" t="s">
        <v>4322</v>
      </c>
      <c r="D54" s="256"/>
      <c r="E54" s="45" t="s">
        <v>2986</v>
      </c>
      <c r="F54" s="45"/>
      <c r="G54" s="24"/>
      <c r="H54" s="33" t="s">
        <v>4479</v>
      </c>
      <c r="I54" s="143" t="s">
        <v>4480</v>
      </c>
      <c r="J54" s="162" t="s">
        <v>4480</v>
      </c>
      <c r="K54" s="143" t="s">
        <v>4480</v>
      </c>
      <c r="L54" s="197" t="s">
        <v>4702</v>
      </c>
      <c r="M54" s="197" t="s">
        <v>4701</v>
      </c>
      <c r="N54" s="198">
        <v>9</v>
      </c>
      <c r="O54" s="143" t="s">
        <v>4480</v>
      </c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</row>
    <row r="55" spans="1:40" s="116" customFormat="1" ht="15" customHeight="1" x14ac:dyDescent="0.3">
      <c r="A55" s="255" t="s">
        <v>4083</v>
      </c>
      <c r="B55" s="192" t="s">
        <v>4175</v>
      </c>
      <c r="C55" s="248" t="s">
        <v>4238</v>
      </c>
      <c r="D55" s="256"/>
      <c r="E55" s="45" t="s">
        <v>2986</v>
      </c>
      <c r="F55" s="45"/>
      <c r="G55" s="24"/>
      <c r="H55" s="33" t="s">
        <v>4479</v>
      </c>
      <c r="I55" s="143" t="s">
        <v>4480</v>
      </c>
      <c r="J55" s="162" t="s">
        <v>4480</v>
      </c>
      <c r="K55" s="143" t="s">
        <v>4480</v>
      </c>
      <c r="L55" s="197" t="s">
        <v>4702</v>
      </c>
      <c r="M55" s="197" t="s">
        <v>4701</v>
      </c>
      <c r="N55" s="198">
        <v>9</v>
      </c>
      <c r="O55" s="143" t="s">
        <v>4480</v>
      </c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</row>
    <row r="56" spans="1:40" s="116" customFormat="1" ht="15" customHeight="1" x14ac:dyDescent="0.3">
      <c r="A56" s="255" t="s">
        <v>4080</v>
      </c>
      <c r="B56" s="192" t="s">
        <v>4175</v>
      </c>
      <c r="C56" s="248" t="s">
        <v>4239</v>
      </c>
      <c r="D56" s="256"/>
      <c r="E56" s="45" t="s">
        <v>2986</v>
      </c>
      <c r="F56" s="45"/>
      <c r="G56" s="24"/>
      <c r="H56" s="33" t="s">
        <v>4479</v>
      </c>
      <c r="I56" s="143" t="s">
        <v>4480</v>
      </c>
      <c r="J56" s="162" t="s">
        <v>4480</v>
      </c>
      <c r="K56" s="143" t="s">
        <v>4480</v>
      </c>
      <c r="L56" s="197" t="s">
        <v>4703</v>
      </c>
      <c r="M56" s="197" t="s">
        <v>4701</v>
      </c>
      <c r="N56" s="198">
        <v>9</v>
      </c>
      <c r="O56" s="143" t="s">
        <v>4480</v>
      </c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</row>
    <row r="57" spans="1:40" s="116" customFormat="1" ht="15" customHeight="1" x14ac:dyDescent="0.3">
      <c r="A57" s="255" t="s">
        <v>4082</v>
      </c>
      <c r="B57" s="192" t="s">
        <v>4175</v>
      </c>
      <c r="C57" s="248" t="s">
        <v>4323</v>
      </c>
      <c r="D57" s="256"/>
      <c r="E57" s="45" t="s">
        <v>2986</v>
      </c>
      <c r="F57" s="45"/>
      <c r="G57" s="24"/>
      <c r="H57" s="33" t="s">
        <v>4479</v>
      </c>
      <c r="I57" s="143" t="s">
        <v>4480</v>
      </c>
      <c r="J57" s="162" t="s">
        <v>4480</v>
      </c>
      <c r="K57" s="143" t="s">
        <v>4480</v>
      </c>
      <c r="L57" s="197" t="s">
        <v>4703</v>
      </c>
      <c r="M57" s="197" t="s">
        <v>4701</v>
      </c>
      <c r="N57" s="198">
        <v>9</v>
      </c>
      <c r="O57" s="143" t="s">
        <v>4480</v>
      </c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</row>
    <row r="58" spans="1:40" s="116" customFormat="1" ht="15" customHeight="1" x14ac:dyDescent="0.3">
      <c r="A58" s="255" t="s">
        <v>4084</v>
      </c>
      <c r="B58" s="192" t="s">
        <v>4175</v>
      </c>
      <c r="C58" s="248" t="s">
        <v>4240</v>
      </c>
      <c r="D58" s="256"/>
      <c r="E58" s="45" t="s">
        <v>2986</v>
      </c>
      <c r="F58" s="45"/>
      <c r="G58" s="24"/>
      <c r="H58" s="33" t="s">
        <v>4479</v>
      </c>
      <c r="I58" s="143" t="s">
        <v>4480</v>
      </c>
      <c r="J58" s="162" t="s">
        <v>4480</v>
      </c>
      <c r="K58" s="143" t="s">
        <v>4480</v>
      </c>
      <c r="L58" s="197" t="s">
        <v>4703</v>
      </c>
      <c r="M58" s="197" t="s">
        <v>4701</v>
      </c>
      <c r="N58" s="198">
        <v>9</v>
      </c>
      <c r="O58" s="143" t="s">
        <v>4480</v>
      </c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</row>
    <row r="59" spans="1:40" s="24" customFormat="1" ht="15" customHeight="1" x14ac:dyDescent="0.3">
      <c r="A59" s="155" t="s">
        <v>4075</v>
      </c>
      <c r="B59" s="192" t="s">
        <v>4161</v>
      </c>
      <c r="C59" s="157" t="s">
        <v>164</v>
      </c>
      <c r="D59" s="45" t="s">
        <v>3124</v>
      </c>
      <c r="E59" s="45" t="s">
        <v>2986</v>
      </c>
      <c r="F59" s="99"/>
      <c r="G59" s="45"/>
      <c r="H59" s="98" t="s">
        <v>4468</v>
      </c>
      <c r="I59" s="98" t="s">
        <v>4470</v>
      </c>
      <c r="J59" s="176" t="s">
        <v>4615</v>
      </c>
      <c r="K59" s="166">
        <v>1</v>
      </c>
      <c r="L59" s="125" t="s">
        <v>4691</v>
      </c>
      <c r="M59" s="125" t="s">
        <v>4661</v>
      </c>
      <c r="N59" s="125">
        <v>22</v>
      </c>
      <c r="O59" s="33" t="s">
        <v>4604</v>
      </c>
    </row>
    <row r="60" spans="1:40" s="24" customFormat="1" ht="15" customHeight="1" x14ac:dyDescent="0.3">
      <c r="A60" s="155" t="s">
        <v>4076</v>
      </c>
      <c r="B60" s="192" t="s">
        <v>4471</v>
      </c>
      <c r="C60" s="157" t="s">
        <v>165</v>
      </c>
      <c r="D60" s="45" t="s">
        <v>3124</v>
      </c>
      <c r="E60" s="45" t="s">
        <v>2986</v>
      </c>
      <c r="F60" s="45"/>
      <c r="G60" s="45"/>
      <c r="H60" s="98" t="s">
        <v>4472</v>
      </c>
      <c r="I60" s="98" t="s">
        <v>4470</v>
      </c>
      <c r="J60" s="176" t="s">
        <v>4615</v>
      </c>
      <c r="K60" s="166">
        <v>2</v>
      </c>
      <c r="L60" s="125" t="s">
        <v>4694</v>
      </c>
      <c r="M60" s="125" t="s">
        <v>4661</v>
      </c>
      <c r="N60" s="125">
        <v>22</v>
      </c>
      <c r="O60" s="98" t="s">
        <v>4604</v>
      </c>
    </row>
    <row r="61" spans="1:40" ht="15" customHeight="1" x14ac:dyDescent="0.3">
      <c r="A61" s="236" t="s">
        <v>3498</v>
      </c>
      <c r="B61" s="192" t="s">
        <v>4184</v>
      </c>
      <c r="C61" s="157" t="s">
        <v>259</v>
      </c>
      <c r="D61" s="251" t="s">
        <v>3133</v>
      </c>
      <c r="E61" s="45" t="s">
        <v>2986</v>
      </c>
      <c r="F61" s="45">
        <v>45</v>
      </c>
      <c r="G61" s="24" t="s">
        <v>3134</v>
      </c>
      <c r="H61" s="33" t="s">
        <v>4487</v>
      </c>
      <c r="I61" s="33" t="s">
        <v>4486</v>
      </c>
      <c r="J61" s="177" t="s">
        <v>4585</v>
      </c>
      <c r="K61" s="179">
        <v>1</v>
      </c>
      <c r="L61" s="197" t="s">
        <v>4715</v>
      </c>
      <c r="M61" s="197" t="s">
        <v>4690</v>
      </c>
      <c r="N61" s="198">
        <v>6</v>
      </c>
      <c r="O61" s="31" t="s">
        <v>4604</v>
      </c>
    </row>
    <row r="62" spans="1:40" ht="15" customHeight="1" x14ac:dyDescent="0.3">
      <c r="A62" s="155" t="s">
        <v>3499</v>
      </c>
      <c r="B62" s="192" t="s">
        <v>4189</v>
      </c>
      <c r="C62" s="157" t="s">
        <v>260</v>
      </c>
      <c r="D62" s="251" t="s">
        <v>3133</v>
      </c>
      <c r="E62" s="45" t="s">
        <v>2986</v>
      </c>
      <c r="F62" s="45">
        <v>45</v>
      </c>
      <c r="G62" s="24" t="s">
        <v>3134</v>
      </c>
      <c r="H62" s="33" t="s">
        <v>4492</v>
      </c>
      <c r="I62" s="33" t="s">
        <v>4486</v>
      </c>
      <c r="J62" s="177" t="s">
        <v>4585</v>
      </c>
      <c r="K62" s="179">
        <v>3</v>
      </c>
      <c r="L62" s="197" t="s">
        <v>4724</v>
      </c>
      <c r="M62" s="197" t="s">
        <v>4690</v>
      </c>
      <c r="N62" s="198">
        <v>6</v>
      </c>
      <c r="O62" s="31" t="s">
        <v>4604</v>
      </c>
    </row>
    <row r="63" spans="1:40" ht="15" customHeight="1" x14ac:dyDescent="0.3">
      <c r="A63" s="155" t="s">
        <v>3500</v>
      </c>
      <c r="B63" s="192" t="s">
        <v>4195</v>
      </c>
      <c r="C63" s="157" t="s">
        <v>261</v>
      </c>
      <c r="D63" s="251" t="s">
        <v>3133</v>
      </c>
      <c r="E63" s="45" t="s">
        <v>2986</v>
      </c>
      <c r="F63" s="45">
        <v>45</v>
      </c>
      <c r="G63" s="24" t="s">
        <v>3134</v>
      </c>
      <c r="H63" s="33" t="s">
        <v>4496</v>
      </c>
      <c r="I63" s="33" t="s">
        <v>4486</v>
      </c>
      <c r="J63" s="177" t="s">
        <v>4585</v>
      </c>
      <c r="K63" s="179">
        <v>5</v>
      </c>
      <c r="L63" s="197" t="s">
        <v>4733</v>
      </c>
      <c r="M63" s="197" t="s">
        <v>4690</v>
      </c>
      <c r="N63" s="198">
        <v>6</v>
      </c>
      <c r="O63" s="31" t="s">
        <v>4604</v>
      </c>
    </row>
    <row r="64" spans="1:40" ht="15" customHeight="1" x14ac:dyDescent="0.3">
      <c r="A64" s="155" t="s">
        <v>3501</v>
      </c>
      <c r="B64" s="192" t="s">
        <v>4197</v>
      </c>
      <c r="C64" s="157" t="s">
        <v>262</v>
      </c>
      <c r="D64" s="251" t="s">
        <v>3133</v>
      </c>
      <c r="E64" s="45" t="s">
        <v>2986</v>
      </c>
      <c r="F64" s="45">
        <v>45</v>
      </c>
      <c r="G64" s="24" t="s">
        <v>3134</v>
      </c>
      <c r="H64" s="33" t="s">
        <v>4500</v>
      </c>
      <c r="I64" s="33" t="s">
        <v>4486</v>
      </c>
      <c r="J64" s="177" t="s">
        <v>4586</v>
      </c>
      <c r="K64" s="179">
        <v>1</v>
      </c>
      <c r="L64" s="197" t="s">
        <v>4742</v>
      </c>
      <c r="M64" s="197" t="s">
        <v>4690</v>
      </c>
      <c r="N64" s="198">
        <v>6</v>
      </c>
      <c r="O64" s="31" t="s">
        <v>4604</v>
      </c>
    </row>
    <row r="65" spans="1:15" ht="15" customHeight="1" x14ac:dyDescent="0.3">
      <c r="A65" s="155" t="s">
        <v>3502</v>
      </c>
      <c r="B65" s="192" t="s">
        <v>4203</v>
      </c>
      <c r="C65" s="157" t="s">
        <v>263</v>
      </c>
      <c r="D65" s="251" t="s">
        <v>3133</v>
      </c>
      <c r="E65" s="45" t="s">
        <v>2986</v>
      </c>
      <c r="F65" s="45">
        <v>45</v>
      </c>
      <c r="G65" s="24" t="s">
        <v>3134</v>
      </c>
      <c r="H65" s="33" t="s">
        <v>4504</v>
      </c>
      <c r="I65" s="33" t="s">
        <v>4486</v>
      </c>
      <c r="J65" s="177" t="s">
        <v>4586</v>
      </c>
      <c r="K65" s="179">
        <v>3</v>
      </c>
      <c r="L65" s="197" t="s">
        <v>4751</v>
      </c>
      <c r="M65" s="197" t="s">
        <v>4690</v>
      </c>
      <c r="N65" s="198">
        <v>6</v>
      </c>
      <c r="O65" s="31" t="s">
        <v>4604</v>
      </c>
    </row>
    <row r="66" spans="1:15" ht="15" customHeight="1" x14ac:dyDescent="0.3">
      <c r="A66" s="155" t="s">
        <v>3503</v>
      </c>
      <c r="B66" s="192" t="s">
        <v>4327</v>
      </c>
      <c r="C66" s="157" t="s">
        <v>264</v>
      </c>
      <c r="D66" s="251" t="s">
        <v>3133</v>
      </c>
      <c r="E66" s="45" t="s">
        <v>2986</v>
      </c>
      <c r="F66" s="45">
        <v>45</v>
      </c>
      <c r="G66" s="24" t="s">
        <v>3134</v>
      </c>
      <c r="H66" s="33" t="s">
        <v>4508</v>
      </c>
      <c r="I66" s="33" t="s">
        <v>4486</v>
      </c>
      <c r="J66" s="177" t="s">
        <v>4586</v>
      </c>
      <c r="K66" s="179">
        <v>5</v>
      </c>
      <c r="L66" s="197" t="s">
        <v>4760</v>
      </c>
      <c r="M66" s="197" t="s">
        <v>4690</v>
      </c>
      <c r="N66" s="198">
        <v>6</v>
      </c>
      <c r="O66" s="31" t="s">
        <v>4604</v>
      </c>
    </row>
    <row r="67" spans="1:15" ht="15" customHeight="1" x14ac:dyDescent="0.3">
      <c r="A67" s="155" t="s">
        <v>3504</v>
      </c>
      <c r="B67" s="192" t="s">
        <v>4184</v>
      </c>
      <c r="C67" s="157" t="s">
        <v>265</v>
      </c>
      <c r="D67" s="251" t="s">
        <v>3133</v>
      </c>
      <c r="E67" s="45" t="s">
        <v>2986</v>
      </c>
      <c r="F67" s="45">
        <v>40</v>
      </c>
      <c r="G67" s="24" t="s">
        <v>3135</v>
      </c>
      <c r="H67" s="33" t="s">
        <v>4487</v>
      </c>
      <c r="I67" s="33" t="s">
        <v>4486</v>
      </c>
      <c r="J67" s="177" t="s">
        <v>4585</v>
      </c>
      <c r="K67" s="179">
        <v>2</v>
      </c>
      <c r="L67" s="197" t="s">
        <v>4715</v>
      </c>
      <c r="M67" s="197" t="s">
        <v>4690</v>
      </c>
      <c r="N67" s="198">
        <v>6</v>
      </c>
      <c r="O67" s="31" t="s">
        <v>4604</v>
      </c>
    </row>
    <row r="68" spans="1:15" ht="15" customHeight="1" x14ac:dyDescent="0.3">
      <c r="A68" s="155" t="s">
        <v>3505</v>
      </c>
      <c r="B68" s="192" t="s">
        <v>4189</v>
      </c>
      <c r="C68" s="157" t="s">
        <v>266</v>
      </c>
      <c r="D68" s="251" t="s">
        <v>3133</v>
      </c>
      <c r="E68" s="45" t="s">
        <v>2986</v>
      </c>
      <c r="F68" s="45">
        <v>40</v>
      </c>
      <c r="G68" s="24" t="s">
        <v>3135</v>
      </c>
      <c r="H68" s="33" t="s">
        <v>4492</v>
      </c>
      <c r="I68" s="33" t="s">
        <v>4486</v>
      </c>
      <c r="J68" s="177" t="s">
        <v>4585</v>
      </c>
      <c r="K68" s="179">
        <v>4</v>
      </c>
      <c r="L68" s="197" t="s">
        <v>4724</v>
      </c>
      <c r="M68" s="197" t="s">
        <v>4690</v>
      </c>
      <c r="N68" s="198">
        <v>6</v>
      </c>
      <c r="O68" s="31" t="s">
        <v>4604</v>
      </c>
    </row>
    <row r="69" spans="1:15" ht="15" customHeight="1" x14ac:dyDescent="0.3">
      <c r="A69" s="155" t="s">
        <v>3506</v>
      </c>
      <c r="B69" s="192" t="s">
        <v>4195</v>
      </c>
      <c r="C69" s="157" t="s">
        <v>267</v>
      </c>
      <c r="D69" s="251" t="s">
        <v>3133</v>
      </c>
      <c r="E69" s="45" t="s">
        <v>2986</v>
      </c>
      <c r="F69" s="45">
        <v>40</v>
      </c>
      <c r="G69" s="24" t="s">
        <v>3135</v>
      </c>
      <c r="H69" s="33" t="s">
        <v>4496</v>
      </c>
      <c r="I69" s="33" t="s">
        <v>4486</v>
      </c>
      <c r="J69" s="177" t="s">
        <v>4585</v>
      </c>
      <c r="K69" s="179">
        <v>6</v>
      </c>
      <c r="L69" s="197" t="s">
        <v>4733</v>
      </c>
      <c r="M69" s="197" t="s">
        <v>4690</v>
      </c>
      <c r="N69" s="198">
        <v>6</v>
      </c>
      <c r="O69" s="31" t="s">
        <v>4604</v>
      </c>
    </row>
    <row r="70" spans="1:15" ht="15" customHeight="1" x14ac:dyDescent="0.3">
      <c r="A70" s="155" t="s">
        <v>3507</v>
      </c>
      <c r="B70" s="192" t="s">
        <v>4197</v>
      </c>
      <c r="C70" s="157" t="s">
        <v>268</v>
      </c>
      <c r="D70" s="251" t="s">
        <v>3133</v>
      </c>
      <c r="E70" s="45" t="s">
        <v>2986</v>
      </c>
      <c r="F70" s="45">
        <v>40</v>
      </c>
      <c r="G70" s="24" t="s">
        <v>3135</v>
      </c>
      <c r="H70" s="33" t="s">
        <v>4500</v>
      </c>
      <c r="I70" s="33" t="s">
        <v>4486</v>
      </c>
      <c r="J70" s="177" t="s">
        <v>4586</v>
      </c>
      <c r="K70" s="179">
        <v>2</v>
      </c>
      <c r="L70" s="197" t="s">
        <v>4742</v>
      </c>
      <c r="M70" s="197" t="s">
        <v>4690</v>
      </c>
      <c r="N70" s="198">
        <v>6</v>
      </c>
      <c r="O70" s="31" t="s">
        <v>4604</v>
      </c>
    </row>
    <row r="71" spans="1:15" ht="15" customHeight="1" x14ac:dyDescent="0.3">
      <c r="A71" s="155" t="s">
        <v>3508</v>
      </c>
      <c r="B71" s="192" t="s">
        <v>4203</v>
      </c>
      <c r="C71" s="157" t="s">
        <v>269</v>
      </c>
      <c r="D71" s="251" t="s">
        <v>3133</v>
      </c>
      <c r="E71" s="45" t="s">
        <v>2986</v>
      </c>
      <c r="F71" s="45">
        <v>40</v>
      </c>
      <c r="G71" s="24" t="s">
        <v>3135</v>
      </c>
      <c r="H71" s="33" t="s">
        <v>4504</v>
      </c>
      <c r="I71" s="33" t="s">
        <v>4486</v>
      </c>
      <c r="J71" s="177" t="s">
        <v>4586</v>
      </c>
      <c r="K71" s="179">
        <v>4</v>
      </c>
      <c r="L71" s="197" t="s">
        <v>4751</v>
      </c>
      <c r="M71" s="197" t="s">
        <v>4690</v>
      </c>
      <c r="N71" s="198">
        <v>6</v>
      </c>
      <c r="O71" s="31" t="s">
        <v>4604</v>
      </c>
    </row>
    <row r="72" spans="1:15" ht="15" customHeight="1" x14ac:dyDescent="0.3">
      <c r="A72" s="155" t="s">
        <v>3509</v>
      </c>
      <c r="B72" s="192" t="s">
        <v>4327</v>
      </c>
      <c r="C72" s="157" t="s">
        <v>270</v>
      </c>
      <c r="D72" s="251" t="s">
        <v>3133</v>
      </c>
      <c r="E72" s="45" t="s">
        <v>2986</v>
      </c>
      <c r="F72" s="45">
        <v>40</v>
      </c>
      <c r="G72" s="24" t="s">
        <v>3135</v>
      </c>
      <c r="H72" s="33" t="s">
        <v>4508</v>
      </c>
      <c r="I72" s="33" t="s">
        <v>4486</v>
      </c>
      <c r="J72" s="177" t="s">
        <v>4586</v>
      </c>
      <c r="K72" s="179">
        <v>6</v>
      </c>
      <c r="L72" s="197" t="s">
        <v>4760</v>
      </c>
      <c r="M72" s="197" t="s">
        <v>4690</v>
      </c>
      <c r="N72" s="198">
        <v>6</v>
      </c>
      <c r="O72" s="31" t="s">
        <v>4604</v>
      </c>
    </row>
    <row r="73" spans="1:15" ht="15" customHeight="1" x14ac:dyDescent="0.3">
      <c r="A73" s="155" t="s">
        <v>3488</v>
      </c>
      <c r="B73" s="192" t="s">
        <v>4180</v>
      </c>
      <c r="C73" s="157" t="s">
        <v>271</v>
      </c>
      <c r="D73" s="251" t="s">
        <v>3124</v>
      </c>
      <c r="E73" s="45" t="s">
        <v>2986</v>
      </c>
      <c r="F73" s="45">
        <v>50</v>
      </c>
      <c r="G73" s="24" t="s">
        <v>3137</v>
      </c>
      <c r="H73" s="33" t="s">
        <v>4483</v>
      </c>
      <c r="I73" s="33" t="s">
        <v>4470</v>
      </c>
      <c r="J73" s="177" t="s">
        <v>4623</v>
      </c>
      <c r="K73" s="179">
        <v>1</v>
      </c>
      <c r="L73" s="197" t="s">
        <v>4708</v>
      </c>
      <c r="M73" s="197" t="s">
        <v>4690</v>
      </c>
      <c r="N73" s="198">
        <v>6</v>
      </c>
      <c r="O73" s="31" t="s">
        <v>4604</v>
      </c>
    </row>
    <row r="74" spans="1:15" ht="15" customHeight="1" x14ac:dyDescent="0.3">
      <c r="A74" s="155" t="s">
        <v>3489</v>
      </c>
      <c r="B74" s="192" t="s">
        <v>4180</v>
      </c>
      <c r="C74" s="157" t="s">
        <v>272</v>
      </c>
      <c r="D74" s="251" t="s">
        <v>3124</v>
      </c>
      <c r="E74" s="45" t="s">
        <v>2986</v>
      </c>
      <c r="F74" s="45">
        <v>50</v>
      </c>
      <c r="G74" s="24" t="s">
        <v>3137</v>
      </c>
      <c r="H74" s="33" t="s">
        <v>4483</v>
      </c>
      <c r="I74" s="33" t="s">
        <v>4470</v>
      </c>
      <c r="J74" s="177" t="s">
        <v>4623</v>
      </c>
      <c r="K74" s="179">
        <v>2</v>
      </c>
      <c r="L74" s="197" t="s">
        <v>4708</v>
      </c>
      <c r="M74" s="197" t="s">
        <v>4690</v>
      </c>
      <c r="N74" s="198">
        <v>6</v>
      </c>
      <c r="O74" s="31" t="s">
        <v>4604</v>
      </c>
    </row>
    <row r="75" spans="1:15" ht="15" customHeight="1" x14ac:dyDescent="0.3">
      <c r="A75" s="155" t="s">
        <v>3490</v>
      </c>
      <c r="B75" s="192" t="s">
        <v>4185</v>
      </c>
      <c r="C75" s="157" t="s">
        <v>273</v>
      </c>
      <c r="D75" s="251" t="s">
        <v>3124</v>
      </c>
      <c r="E75" s="45" t="s">
        <v>2986</v>
      </c>
      <c r="F75" s="45">
        <v>50</v>
      </c>
      <c r="G75" s="24" t="s">
        <v>3138</v>
      </c>
      <c r="H75" s="33" t="s">
        <v>4489</v>
      </c>
      <c r="I75" s="33" t="s">
        <v>4470</v>
      </c>
      <c r="J75" s="177" t="s">
        <v>4623</v>
      </c>
      <c r="K75" s="179">
        <v>3</v>
      </c>
      <c r="L75" s="197" t="s">
        <v>4717</v>
      </c>
      <c r="M75" s="197" t="s">
        <v>4690</v>
      </c>
      <c r="N75" s="198">
        <v>6</v>
      </c>
      <c r="O75" s="31" t="s">
        <v>4604</v>
      </c>
    </row>
    <row r="76" spans="1:15" ht="15" customHeight="1" x14ac:dyDescent="0.3">
      <c r="A76" s="155" t="s">
        <v>3491</v>
      </c>
      <c r="B76" s="192" t="s">
        <v>4185</v>
      </c>
      <c r="C76" s="157" t="s">
        <v>274</v>
      </c>
      <c r="D76" s="251" t="s">
        <v>3124</v>
      </c>
      <c r="E76" s="45" t="s">
        <v>2986</v>
      </c>
      <c r="F76" s="45">
        <v>50</v>
      </c>
      <c r="G76" s="24" t="s">
        <v>3138</v>
      </c>
      <c r="H76" s="33" t="s">
        <v>4489</v>
      </c>
      <c r="I76" s="33" t="s">
        <v>4470</v>
      </c>
      <c r="J76" s="177" t="s">
        <v>4623</v>
      </c>
      <c r="K76" s="179">
        <v>4</v>
      </c>
      <c r="L76" s="197" t="s">
        <v>4717</v>
      </c>
      <c r="M76" s="197" t="s">
        <v>4690</v>
      </c>
      <c r="N76" s="198">
        <v>6</v>
      </c>
      <c r="O76" s="31" t="s">
        <v>4604</v>
      </c>
    </row>
    <row r="77" spans="1:15" ht="15" customHeight="1" x14ac:dyDescent="0.3">
      <c r="A77" s="236" t="s">
        <v>3492</v>
      </c>
      <c r="B77" s="192" t="s">
        <v>4190</v>
      </c>
      <c r="C77" s="157" t="s">
        <v>275</v>
      </c>
      <c r="D77" s="251" t="s">
        <v>3124</v>
      </c>
      <c r="E77" s="45" t="s">
        <v>2986</v>
      </c>
      <c r="F77" s="45">
        <v>50</v>
      </c>
      <c r="G77" s="24" t="s">
        <v>3139</v>
      </c>
      <c r="H77" s="33" t="s">
        <v>4493</v>
      </c>
      <c r="I77" s="33" t="s">
        <v>4470</v>
      </c>
      <c r="J77" s="177" t="s">
        <v>4623</v>
      </c>
      <c r="K77" s="179">
        <v>5</v>
      </c>
      <c r="L77" s="197" t="s">
        <v>4726</v>
      </c>
      <c r="M77" s="197" t="s">
        <v>4690</v>
      </c>
      <c r="N77" s="198">
        <v>6</v>
      </c>
      <c r="O77" s="31" t="s">
        <v>4604</v>
      </c>
    </row>
    <row r="78" spans="1:15" ht="15" customHeight="1" x14ac:dyDescent="0.3">
      <c r="A78" s="155" t="s">
        <v>3493</v>
      </c>
      <c r="B78" s="192" t="s">
        <v>4190</v>
      </c>
      <c r="C78" s="157" t="s">
        <v>276</v>
      </c>
      <c r="D78" s="251" t="s">
        <v>3124</v>
      </c>
      <c r="E78" s="45" t="s">
        <v>2986</v>
      </c>
      <c r="F78" s="45">
        <v>50</v>
      </c>
      <c r="G78" s="24" t="s">
        <v>3139</v>
      </c>
      <c r="H78" s="33" t="s">
        <v>4493</v>
      </c>
      <c r="I78" s="33" t="s">
        <v>4470</v>
      </c>
      <c r="J78" s="177" t="s">
        <v>4623</v>
      </c>
      <c r="K78" s="179">
        <v>6</v>
      </c>
      <c r="L78" s="197" t="s">
        <v>4726</v>
      </c>
      <c r="M78" s="197" t="s">
        <v>4690</v>
      </c>
      <c r="N78" s="198">
        <v>6</v>
      </c>
      <c r="O78" s="31" t="s">
        <v>4604</v>
      </c>
    </row>
    <row r="79" spans="1:15" ht="15" customHeight="1" x14ac:dyDescent="0.3">
      <c r="A79" s="155" t="s">
        <v>3486</v>
      </c>
      <c r="B79" s="192" t="s">
        <v>4348</v>
      </c>
      <c r="C79" s="157" t="s">
        <v>277</v>
      </c>
      <c r="D79" s="251" t="s">
        <v>3124</v>
      </c>
      <c r="E79" s="45" t="s">
        <v>2986</v>
      </c>
      <c r="F79" s="45">
        <v>50</v>
      </c>
      <c r="G79" s="24" t="s">
        <v>3140</v>
      </c>
      <c r="H79" s="33" t="s">
        <v>4497</v>
      </c>
      <c r="I79" s="33" t="s">
        <v>4470</v>
      </c>
      <c r="J79" s="177" t="s">
        <v>4635</v>
      </c>
      <c r="K79" s="179">
        <v>1</v>
      </c>
      <c r="L79" s="197" t="s">
        <v>4735</v>
      </c>
      <c r="M79" s="197" t="s">
        <v>4690</v>
      </c>
      <c r="N79" s="198">
        <v>6</v>
      </c>
      <c r="O79" s="31" t="s">
        <v>4604</v>
      </c>
    </row>
    <row r="80" spans="1:15" ht="15" customHeight="1" x14ac:dyDescent="0.3">
      <c r="A80" s="155" t="s">
        <v>3487</v>
      </c>
      <c r="B80" s="192" t="s">
        <v>4348</v>
      </c>
      <c r="C80" s="157" t="s">
        <v>278</v>
      </c>
      <c r="D80" s="251" t="s">
        <v>3124</v>
      </c>
      <c r="E80" s="45" t="s">
        <v>2986</v>
      </c>
      <c r="F80" s="45">
        <v>50</v>
      </c>
      <c r="G80" s="24" t="s">
        <v>3140</v>
      </c>
      <c r="H80" s="33" t="s">
        <v>4497</v>
      </c>
      <c r="I80" s="33" t="s">
        <v>4470</v>
      </c>
      <c r="J80" s="177" t="s">
        <v>4635</v>
      </c>
      <c r="K80" s="179">
        <v>2</v>
      </c>
      <c r="L80" s="197" t="s">
        <v>4735</v>
      </c>
      <c r="M80" s="197" t="s">
        <v>4690</v>
      </c>
      <c r="N80" s="198">
        <v>6</v>
      </c>
      <c r="O80" s="31" t="s">
        <v>4604</v>
      </c>
    </row>
    <row r="81" spans="1:15" ht="15" customHeight="1" x14ac:dyDescent="0.3">
      <c r="A81" s="155" t="s">
        <v>3494</v>
      </c>
      <c r="B81" s="192" t="s">
        <v>4198</v>
      </c>
      <c r="C81" s="157" t="s">
        <v>279</v>
      </c>
      <c r="D81" s="251" t="s">
        <v>3124</v>
      </c>
      <c r="E81" s="45" t="s">
        <v>2986</v>
      </c>
      <c r="F81" s="45">
        <v>50</v>
      </c>
      <c r="G81" s="24" t="s">
        <v>3141</v>
      </c>
      <c r="H81" s="33" t="s">
        <v>4501</v>
      </c>
      <c r="I81" s="33" t="s">
        <v>4470</v>
      </c>
      <c r="J81" s="177" t="s">
        <v>4635</v>
      </c>
      <c r="K81" s="179">
        <v>3</v>
      </c>
      <c r="L81" s="197" t="s">
        <v>4744</v>
      </c>
      <c r="M81" s="197" t="s">
        <v>4690</v>
      </c>
      <c r="N81" s="198">
        <v>6</v>
      </c>
      <c r="O81" s="31" t="s">
        <v>4604</v>
      </c>
    </row>
    <row r="82" spans="1:15" ht="15" customHeight="1" x14ac:dyDescent="0.3">
      <c r="A82" s="155" t="s">
        <v>3495</v>
      </c>
      <c r="B82" s="192" t="s">
        <v>4198</v>
      </c>
      <c r="C82" s="157" t="s">
        <v>280</v>
      </c>
      <c r="D82" s="251" t="s">
        <v>3124</v>
      </c>
      <c r="E82" s="45" t="s">
        <v>2986</v>
      </c>
      <c r="F82" s="45">
        <v>50</v>
      </c>
      <c r="G82" s="24" t="s">
        <v>3141</v>
      </c>
      <c r="H82" s="33" t="s">
        <v>4501</v>
      </c>
      <c r="I82" s="33" t="s">
        <v>4470</v>
      </c>
      <c r="J82" s="177" t="s">
        <v>4635</v>
      </c>
      <c r="K82" s="179">
        <v>4</v>
      </c>
      <c r="L82" s="197" t="s">
        <v>4744</v>
      </c>
      <c r="M82" s="197" t="s">
        <v>4690</v>
      </c>
      <c r="N82" s="198">
        <v>6</v>
      </c>
      <c r="O82" s="31" t="s">
        <v>4604</v>
      </c>
    </row>
    <row r="83" spans="1:15" ht="15" customHeight="1" x14ac:dyDescent="0.3">
      <c r="A83" s="155" t="s">
        <v>3496</v>
      </c>
      <c r="B83" s="192" t="s">
        <v>4204</v>
      </c>
      <c r="C83" s="157" t="s">
        <v>281</v>
      </c>
      <c r="D83" s="251" t="s">
        <v>3124</v>
      </c>
      <c r="E83" s="45" t="s">
        <v>2986</v>
      </c>
      <c r="F83" s="45">
        <v>50</v>
      </c>
      <c r="G83" s="24" t="s">
        <v>3142</v>
      </c>
      <c r="H83" s="33" t="s">
        <v>4505</v>
      </c>
      <c r="I83" s="33" t="s">
        <v>4470</v>
      </c>
      <c r="J83" s="177" t="s">
        <v>4635</v>
      </c>
      <c r="K83" s="179">
        <v>5</v>
      </c>
      <c r="L83" s="197" t="s">
        <v>4753</v>
      </c>
      <c r="M83" s="197" t="s">
        <v>4690</v>
      </c>
      <c r="N83" s="198">
        <v>6</v>
      </c>
      <c r="O83" s="31" t="s">
        <v>4604</v>
      </c>
    </row>
    <row r="84" spans="1:15" ht="15" customHeight="1" x14ac:dyDescent="0.3">
      <c r="A84" s="155" t="s">
        <v>3497</v>
      </c>
      <c r="B84" s="192" t="s">
        <v>4204</v>
      </c>
      <c r="C84" s="157" t="s">
        <v>282</v>
      </c>
      <c r="D84" s="251" t="s">
        <v>3124</v>
      </c>
      <c r="E84" s="45" t="s">
        <v>2986</v>
      </c>
      <c r="F84" s="45">
        <v>50</v>
      </c>
      <c r="G84" s="24" t="s">
        <v>3142</v>
      </c>
      <c r="H84" s="33" t="s">
        <v>4505</v>
      </c>
      <c r="I84" s="33" t="s">
        <v>4470</v>
      </c>
      <c r="J84" s="177" t="s">
        <v>4635</v>
      </c>
      <c r="K84" s="179">
        <v>6</v>
      </c>
      <c r="L84" s="197" t="s">
        <v>4753</v>
      </c>
      <c r="M84" s="197" t="s">
        <v>4690</v>
      </c>
      <c r="N84" s="198">
        <v>6</v>
      </c>
      <c r="O84" s="31" t="s">
        <v>4604</v>
      </c>
    </row>
    <row r="85" spans="1:15" ht="15" customHeight="1" x14ac:dyDescent="0.3">
      <c r="A85" s="155" t="s">
        <v>3400</v>
      </c>
      <c r="B85" s="192" t="s">
        <v>4184</v>
      </c>
      <c r="C85" s="157" t="s">
        <v>3402</v>
      </c>
      <c r="D85" s="251" t="s">
        <v>3124</v>
      </c>
      <c r="E85" s="45" t="s">
        <v>2986</v>
      </c>
      <c r="F85" s="45">
        <v>50</v>
      </c>
      <c r="G85" s="24" t="s">
        <v>3143</v>
      </c>
      <c r="H85" s="33" t="s">
        <v>4487</v>
      </c>
      <c r="I85" s="33" t="s">
        <v>4470</v>
      </c>
      <c r="J85" s="177" t="s">
        <v>4630</v>
      </c>
      <c r="K85" s="179">
        <v>1</v>
      </c>
      <c r="L85" s="197" t="s">
        <v>4716</v>
      </c>
      <c r="M85" s="197" t="s">
        <v>4697</v>
      </c>
      <c r="N85" s="198">
        <v>11</v>
      </c>
      <c r="O85" s="31" t="s">
        <v>4604</v>
      </c>
    </row>
    <row r="86" spans="1:15" ht="15" customHeight="1" x14ac:dyDescent="0.3">
      <c r="A86" s="228" t="s">
        <v>3401</v>
      </c>
      <c r="B86" s="192" t="s">
        <v>4184</v>
      </c>
      <c r="C86" s="157" t="s">
        <v>3403</v>
      </c>
      <c r="D86" s="251" t="s">
        <v>3124</v>
      </c>
      <c r="E86" s="45" t="s">
        <v>2986</v>
      </c>
      <c r="F86" s="45">
        <v>50</v>
      </c>
      <c r="G86" s="24" t="s">
        <v>3143</v>
      </c>
      <c r="H86" s="33" t="s">
        <v>4487</v>
      </c>
      <c r="I86" s="33" t="s">
        <v>4470</v>
      </c>
      <c r="J86" s="177" t="s">
        <v>4630</v>
      </c>
      <c r="K86" s="179">
        <v>2</v>
      </c>
      <c r="L86" s="197" t="s">
        <v>4716</v>
      </c>
      <c r="M86" s="197" t="s">
        <v>4697</v>
      </c>
      <c r="N86" s="198">
        <v>11</v>
      </c>
      <c r="O86" s="31" t="s">
        <v>4604</v>
      </c>
    </row>
    <row r="87" spans="1:15" ht="15" customHeight="1" x14ac:dyDescent="0.3">
      <c r="A87" s="155" t="s">
        <v>3404</v>
      </c>
      <c r="B87" s="192" t="s">
        <v>4189</v>
      </c>
      <c r="C87" s="157" t="s">
        <v>3406</v>
      </c>
      <c r="D87" s="251" t="s">
        <v>3124</v>
      </c>
      <c r="E87" s="45" t="s">
        <v>2986</v>
      </c>
      <c r="F87" s="45">
        <v>50</v>
      </c>
      <c r="G87" s="24" t="s">
        <v>3144</v>
      </c>
      <c r="H87" s="33" t="s">
        <v>4492</v>
      </c>
      <c r="I87" s="33" t="s">
        <v>4470</v>
      </c>
      <c r="J87" s="177" t="s">
        <v>4630</v>
      </c>
      <c r="K87" s="179">
        <v>3</v>
      </c>
      <c r="L87" s="197" t="s">
        <v>4725</v>
      </c>
      <c r="M87" s="197" t="s">
        <v>4697</v>
      </c>
      <c r="N87" s="198">
        <v>11</v>
      </c>
      <c r="O87" s="31" t="s">
        <v>4604</v>
      </c>
    </row>
    <row r="88" spans="1:15" ht="15" customHeight="1" x14ac:dyDescent="0.3">
      <c r="A88" s="155" t="s">
        <v>3405</v>
      </c>
      <c r="B88" s="192" t="s">
        <v>4189</v>
      </c>
      <c r="C88" s="157" t="s">
        <v>3407</v>
      </c>
      <c r="D88" s="251" t="s">
        <v>3124</v>
      </c>
      <c r="E88" s="45" t="s">
        <v>2986</v>
      </c>
      <c r="F88" s="45">
        <v>50</v>
      </c>
      <c r="G88" s="24" t="s">
        <v>3144</v>
      </c>
      <c r="H88" s="33" t="s">
        <v>4492</v>
      </c>
      <c r="I88" s="33" t="s">
        <v>4470</v>
      </c>
      <c r="J88" s="177" t="s">
        <v>4630</v>
      </c>
      <c r="K88" s="179">
        <v>4</v>
      </c>
      <c r="L88" s="197" t="s">
        <v>4725</v>
      </c>
      <c r="M88" s="197" t="s">
        <v>4697</v>
      </c>
      <c r="N88" s="198">
        <v>11</v>
      </c>
      <c r="O88" s="31" t="s">
        <v>4604</v>
      </c>
    </row>
    <row r="89" spans="1:15" ht="15" customHeight="1" x14ac:dyDescent="0.3">
      <c r="A89" s="236" t="s">
        <v>3408</v>
      </c>
      <c r="B89" s="192" t="s">
        <v>4195</v>
      </c>
      <c r="C89" s="157" t="s">
        <v>3410</v>
      </c>
      <c r="D89" s="251" t="s">
        <v>3124</v>
      </c>
      <c r="E89" s="45" t="s">
        <v>2986</v>
      </c>
      <c r="F89" s="45">
        <v>50</v>
      </c>
      <c r="G89" s="24" t="s">
        <v>3145</v>
      </c>
      <c r="H89" s="33" t="s">
        <v>4496</v>
      </c>
      <c r="I89" s="33" t="s">
        <v>4470</v>
      </c>
      <c r="J89" s="177" t="s">
        <v>4630</v>
      </c>
      <c r="K89" s="179">
        <v>5</v>
      </c>
      <c r="L89" s="197" t="s">
        <v>4734</v>
      </c>
      <c r="M89" s="197" t="s">
        <v>4697</v>
      </c>
      <c r="N89" s="198">
        <v>11</v>
      </c>
      <c r="O89" s="31" t="s">
        <v>4604</v>
      </c>
    </row>
    <row r="90" spans="1:15" ht="15" customHeight="1" x14ac:dyDescent="0.3">
      <c r="A90" s="155" t="s">
        <v>3409</v>
      </c>
      <c r="B90" s="192" t="s">
        <v>4195</v>
      </c>
      <c r="C90" s="157" t="s">
        <v>3411</v>
      </c>
      <c r="D90" s="251" t="s">
        <v>3124</v>
      </c>
      <c r="E90" s="45" t="s">
        <v>2986</v>
      </c>
      <c r="F90" s="45">
        <v>50</v>
      </c>
      <c r="G90" s="24" t="s">
        <v>3145</v>
      </c>
      <c r="H90" s="33" t="s">
        <v>4496</v>
      </c>
      <c r="I90" s="33" t="s">
        <v>4470</v>
      </c>
      <c r="J90" s="177" t="s">
        <v>4630</v>
      </c>
      <c r="K90" s="179">
        <v>6</v>
      </c>
      <c r="L90" s="197" t="s">
        <v>4734</v>
      </c>
      <c r="M90" s="197" t="s">
        <v>4697</v>
      </c>
      <c r="N90" s="198">
        <v>11</v>
      </c>
      <c r="O90" s="31" t="s">
        <v>4604</v>
      </c>
    </row>
    <row r="91" spans="1:15" ht="15" customHeight="1" x14ac:dyDescent="0.3">
      <c r="A91" s="155" t="s">
        <v>3396</v>
      </c>
      <c r="B91" s="192" t="s">
        <v>4197</v>
      </c>
      <c r="C91" s="157" t="s">
        <v>3398</v>
      </c>
      <c r="D91" s="251" t="s">
        <v>3124</v>
      </c>
      <c r="E91" s="45" t="s">
        <v>2986</v>
      </c>
      <c r="F91" s="45">
        <v>50</v>
      </c>
      <c r="G91" s="24" t="s">
        <v>3146</v>
      </c>
      <c r="H91" s="33" t="s">
        <v>4500</v>
      </c>
      <c r="I91" s="33" t="s">
        <v>4470</v>
      </c>
      <c r="J91" s="177" t="s">
        <v>4638</v>
      </c>
      <c r="K91" s="179">
        <v>1</v>
      </c>
      <c r="L91" s="197" t="s">
        <v>4743</v>
      </c>
      <c r="M91" s="197" t="s">
        <v>4697</v>
      </c>
      <c r="N91" s="198">
        <v>11</v>
      </c>
      <c r="O91" s="31" t="s">
        <v>4604</v>
      </c>
    </row>
    <row r="92" spans="1:15" ht="15" customHeight="1" x14ac:dyDescent="0.3">
      <c r="A92" s="155" t="s">
        <v>3397</v>
      </c>
      <c r="B92" s="192" t="s">
        <v>4197</v>
      </c>
      <c r="C92" s="157" t="s">
        <v>3399</v>
      </c>
      <c r="D92" s="251" t="s">
        <v>3124</v>
      </c>
      <c r="E92" s="45" t="s">
        <v>2986</v>
      </c>
      <c r="F92" s="45">
        <v>50</v>
      </c>
      <c r="G92" s="24" t="s">
        <v>3146</v>
      </c>
      <c r="H92" s="33" t="s">
        <v>4500</v>
      </c>
      <c r="I92" s="33" t="s">
        <v>4470</v>
      </c>
      <c r="J92" s="177" t="s">
        <v>4638</v>
      </c>
      <c r="K92" s="179">
        <v>2</v>
      </c>
      <c r="L92" s="197" t="s">
        <v>4743</v>
      </c>
      <c r="M92" s="197" t="s">
        <v>4697</v>
      </c>
      <c r="N92" s="198">
        <v>11</v>
      </c>
      <c r="O92" s="31" t="s">
        <v>4604</v>
      </c>
    </row>
    <row r="93" spans="1:15" ht="15" customHeight="1" x14ac:dyDescent="0.3">
      <c r="A93" s="155" t="s">
        <v>3412</v>
      </c>
      <c r="B93" s="192" t="s">
        <v>4203</v>
      </c>
      <c r="C93" s="157" t="s">
        <v>3414</v>
      </c>
      <c r="D93" s="251" t="s">
        <v>3124</v>
      </c>
      <c r="E93" s="45" t="s">
        <v>2986</v>
      </c>
      <c r="F93" s="45">
        <v>50</v>
      </c>
      <c r="G93" s="24" t="s">
        <v>3147</v>
      </c>
      <c r="H93" s="33" t="s">
        <v>4504</v>
      </c>
      <c r="I93" s="33" t="s">
        <v>4470</v>
      </c>
      <c r="J93" s="177" t="s">
        <v>4638</v>
      </c>
      <c r="K93" s="179">
        <v>3</v>
      </c>
      <c r="L93" s="197" t="s">
        <v>4752</v>
      </c>
      <c r="M93" s="197" t="s">
        <v>4697</v>
      </c>
      <c r="N93" s="198">
        <v>11</v>
      </c>
      <c r="O93" s="31" t="s">
        <v>4604</v>
      </c>
    </row>
    <row r="94" spans="1:15" ht="15" customHeight="1" x14ac:dyDescent="0.3">
      <c r="A94" s="155" t="s">
        <v>3413</v>
      </c>
      <c r="B94" s="192" t="s">
        <v>4203</v>
      </c>
      <c r="C94" s="157" t="s">
        <v>3415</v>
      </c>
      <c r="D94" s="251" t="s">
        <v>3124</v>
      </c>
      <c r="E94" s="45" t="s">
        <v>2986</v>
      </c>
      <c r="F94" s="45">
        <v>50</v>
      </c>
      <c r="G94" s="24" t="s">
        <v>3147</v>
      </c>
      <c r="H94" s="33" t="s">
        <v>4504</v>
      </c>
      <c r="I94" s="33" t="s">
        <v>4470</v>
      </c>
      <c r="J94" s="177" t="s">
        <v>4638</v>
      </c>
      <c r="K94" s="179">
        <v>4</v>
      </c>
      <c r="L94" s="197" t="s">
        <v>4752</v>
      </c>
      <c r="M94" s="197" t="s">
        <v>4697</v>
      </c>
      <c r="N94" s="198">
        <v>11</v>
      </c>
      <c r="O94" s="31" t="s">
        <v>4604</v>
      </c>
    </row>
    <row r="95" spans="1:15" ht="15" customHeight="1" x14ac:dyDescent="0.3">
      <c r="A95" s="155" t="s">
        <v>3416</v>
      </c>
      <c r="B95" s="192" t="s">
        <v>4327</v>
      </c>
      <c r="C95" s="157" t="s">
        <v>3418</v>
      </c>
      <c r="D95" s="251" t="s">
        <v>3124</v>
      </c>
      <c r="E95" s="45" t="s">
        <v>2986</v>
      </c>
      <c r="F95" s="45">
        <v>50</v>
      </c>
      <c r="G95" s="24" t="s">
        <v>3148</v>
      </c>
      <c r="H95" s="33" t="s">
        <v>4508</v>
      </c>
      <c r="I95" s="33" t="s">
        <v>4470</v>
      </c>
      <c r="J95" s="177" t="s">
        <v>4638</v>
      </c>
      <c r="K95" s="179">
        <v>5</v>
      </c>
      <c r="L95" s="197" t="s">
        <v>4761</v>
      </c>
      <c r="M95" s="197" t="s">
        <v>4697</v>
      </c>
      <c r="N95" s="198">
        <v>11</v>
      </c>
      <c r="O95" s="31" t="s">
        <v>4604</v>
      </c>
    </row>
    <row r="96" spans="1:15" ht="15" customHeight="1" x14ac:dyDescent="0.3">
      <c r="A96" s="155" t="s">
        <v>3417</v>
      </c>
      <c r="B96" s="192" t="s">
        <v>4327</v>
      </c>
      <c r="C96" s="157" t="s">
        <v>3419</v>
      </c>
      <c r="D96" s="251" t="s">
        <v>3124</v>
      </c>
      <c r="E96" s="45" t="s">
        <v>2986</v>
      </c>
      <c r="F96" s="45">
        <v>50</v>
      </c>
      <c r="G96" s="24" t="s">
        <v>3148</v>
      </c>
      <c r="H96" s="33" t="s">
        <v>4508</v>
      </c>
      <c r="I96" s="33" t="s">
        <v>4470</v>
      </c>
      <c r="J96" s="177" t="s">
        <v>4638</v>
      </c>
      <c r="K96" s="179">
        <v>6</v>
      </c>
      <c r="L96" s="197" t="s">
        <v>4761</v>
      </c>
      <c r="M96" s="197" t="s">
        <v>4697</v>
      </c>
      <c r="N96" s="198">
        <v>11</v>
      </c>
      <c r="O96" s="31" t="s">
        <v>4604</v>
      </c>
    </row>
    <row r="97" spans="1:15" ht="15" customHeight="1" x14ac:dyDescent="0.3">
      <c r="A97" s="155" t="s">
        <v>3534</v>
      </c>
      <c r="B97" s="192" t="s">
        <v>4180</v>
      </c>
      <c r="C97" s="155" t="s">
        <v>3540</v>
      </c>
      <c r="D97" s="251" t="s">
        <v>3124</v>
      </c>
      <c r="E97" s="45" t="s">
        <v>2986</v>
      </c>
      <c r="F97" s="45">
        <v>70</v>
      </c>
      <c r="G97" s="24" t="s">
        <v>3149</v>
      </c>
      <c r="H97" s="33" t="s">
        <v>4483</v>
      </c>
      <c r="I97" s="33" t="s">
        <v>4470</v>
      </c>
      <c r="J97" s="177" t="s">
        <v>4625</v>
      </c>
      <c r="K97" s="179">
        <v>1</v>
      </c>
      <c r="L97" s="197" t="s">
        <v>4709</v>
      </c>
      <c r="M97" s="197" t="s">
        <v>4690</v>
      </c>
      <c r="N97" s="198">
        <v>9</v>
      </c>
      <c r="O97" s="31" t="s">
        <v>4602</v>
      </c>
    </row>
    <row r="98" spans="1:15" ht="15" customHeight="1" x14ac:dyDescent="0.3">
      <c r="A98" s="155" t="s">
        <v>3537</v>
      </c>
      <c r="B98" s="192" t="s">
        <v>4180</v>
      </c>
      <c r="C98" s="155" t="s">
        <v>3540</v>
      </c>
      <c r="D98" s="251" t="s">
        <v>3124</v>
      </c>
      <c r="E98" s="45" t="s">
        <v>2986</v>
      </c>
      <c r="F98" s="45">
        <v>70</v>
      </c>
      <c r="G98" s="24" t="s">
        <v>3149</v>
      </c>
      <c r="H98" s="33" t="s">
        <v>4483</v>
      </c>
      <c r="I98" s="33" t="s">
        <v>4470</v>
      </c>
      <c r="J98" s="177" t="s">
        <v>4626</v>
      </c>
      <c r="K98" s="179">
        <v>1</v>
      </c>
      <c r="L98" s="197" t="s">
        <v>4710</v>
      </c>
      <c r="M98" s="197" t="s">
        <v>4690</v>
      </c>
      <c r="N98" s="198">
        <v>9</v>
      </c>
      <c r="O98" s="31" t="s">
        <v>4602</v>
      </c>
    </row>
    <row r="99" spans="1:15" ht="15" customHeight="1" x14ac:dyDescent="0.3">
      <c r="A99" s="155" t="s">
        <v>3535</v>
      </c>
      <c r="B99" s="192" t="s">
        <v>4180</v>
      </c>
      <c r="C99" s="155" t="s">
        <v>3541</v>
      </c>
      <c r="D99" s="251" t="s">
        <v>3124</v>
      </c>
      <c r="E99" s="45" t="s">
        <v>2986</v>
      </c>
      <c r="F99" s="45">
        <v>70</v>
      </c>
      <c r="G99" s="24" t="s">
        <v>3149</v>
      </c>
      <c r="H99" s="33" t="s">
        <v>4483</v>
      </c>
      <c r="I99" s="33" t="s">
        <v>4470</v>
      </c>
      <c r="J99" s="177" t="s">
        <v>4625</v>
      </c>
      <c r="K99" s="179">
        <v>2</v>
      </c>
      <c r="L99" s="197" t="s">
        <v>4709</v>
      </c>
      <c r="M99" s="197" t="s">
        <v>4690</v>
      </c>
      <c r="N99" s="198">
        <v>9</v>
      </c>
      <c r="O99" s="31" t="s">
        <v>4602</v>
      </c>
    </row>
    <row r="100" spans="1:15" ht="15" customHeight="1" x14ac:dyDescent="0.3">
      <c r="A100" s="155" t="s">
        <v>3538</v>
      </c>
      <c r="B100" s="192" t="s">
        <v>4180</v>
      </c>
      <c r="C100" s="155" t="s">
        <v>3541</v>
      </c>
      <c r="D100" s="251" t="s">
        <v>3124</v>
      </c>
      <c r="E100" s="45" t="s">
        <v>2986</v>
      </c>
      <c r="F100" s="45">
        <v>70</v>
      </c>
      <c r="G100" s="24" t="s">
        <v>3149</v>
      </c>
      <c r="H100" s="33" t="s">
        <v>4483</v>
      </c>
      <c r="I100" s="33" t="s">
        <v>4470</v>
      </c>
      <c r="J100" s="177" t="s">
        <v>4626</v>
      </c>
      <c r="K100" s="179">
        <v>2</v>
      </c>
      <c r="L100" s="197" t="s">
        <v>4710</v>
      </c>
      <c r="M100" s="197" t="s">
        <v>4690</v>
      </c>
      <c r="N100" s="198">
        <v>9</v>
      </c>
      <c r="O100" s="31" t="s">
        <v>4602</v>
      </c>
    </row>
    <row r="101" spans="1:15" ht="15" customHeight="1" x14ac:dyDescent="0.3">
      <c r="A101" s="155" t="s">
        <v>3536</v>
      </c>
      <c r="B101" s="192" t="s">
        <v>4180</v>
      </c>
      <c r="C101" s="155" t="s">
        <v>3542</v>
      </c>
      <c r="D101" s="251" t="s">
        <v>3124</v>
      </c>
      <c r="E101" s="45" t="s">
        <v>2986</v>
      </c>
      <c r="F101" s="45">
        <v>70</v>
      </c>
      <c r="G101" s="24" t="s">
        <v>3149</v>
      </c>
      <c r="H101" s="33" t="s">
        <v>4483</v>
      </c>
      <c r="I101" s="33" t="s">
        <v>4470</v>
      </c>
      <c r="J101" s="177" t="s">
        <v>4625</v>
      </c>
      <c r="K101" s="179">
        <v>3</v>
      </c>
      <c r="L101" s="197" t="s">
        <v>4709</v>
      </c>
      <c r="M101" s="197" t="s">
        <v>4690</v>
      </c>
      <c r="N101" s="198">
        <v>9</v>
      </c>
      <c r="O101" s="31" t="s">
        <v>4602</v>
      </c>
    </row>
    <row r="102" spans="1:15" ht="15" customHeight="1" x14ac:dyDescent="0.3">
      <c r="A102" s="155" t="s">
        <v>3539</v>
      </c>
      <c r="B102" s="192" t="s">
        <v>4180</v>
      </c>
      <c r="C102" s="155" t="s">
        <v>3542</v>
      </c>
      <c r="D102" s="251" t="s">
        <v>3124</v>
      </c>
      <c r="E102" s="45" t="s">
        <v>2986</v>
      </c>
      <c r="F102" s="45">
        <v>70</v>
      </c>
      <c r="G102" s="24" t="s">
        <v>3149</v>
      </c>
      <c r="H102" s="33" t="s">
        <v>4483</v>
      </c>
      <c r="I102" s="33" t="s">
        <v>4470</v>
      </c>
      <c r="J102" s="177" t="s">
        <v>4626</v>
      </c>
      <c r="K102" s="179">
        <v>3</v>
      </c>
      <c r="L102" s="197" t="s">
        <v>4710</v>
      </c>
      <c r="M102" s="197" t="s">
        <v>4690</v>
      </c>
      <c r="N102" s="198">
        <v>9</v>
      </c>
      <c r="O102" s="31" t="s">
        <v>4602</v>
      </c>
    </row>
    <row r="103" spans="1:15" ht="15" customHeight="1" x14ac:dyDescent="0.3">
      <c r="A103" s="155" t="s">
        <v>3431</v>
      </c>
      <c r="B103" s="192" t="s">
        <v>4183</v>
      </c>
      <c r="C103" s="155" t="s">
        <v>3437</v>
      </c>
      <c r="D103" s="251" t="s">
        <v>3124</v>
      </c>
      <c r="E103" s="45" t="s">
        <v>2986</v>
      </c>
      <c r="F103" s="45">
        <v>70</v>
      </c>
      <c r="G103" s="24" t="s">
        <v>3150</v>
      </c>
      <c r="H103" s="33" t="s">
        <v>4485</v>
      </c>
      <c r="I103" s="33" t="s">
        <v>4470</v>
      </c>
      <c r="J103" s="177" t="s">
        <v>4625</v>
      </c>
      <c r="K103" s="179">
        <v>4</v>
      </c>
      <c r="L103" s="197" t="s">
        <v>4713</v>
      </c>
      <c r="M103" s="197" t="s">
        <v>4690</v>
      </c>
      <c r="N103" s="198">
        <v>9</v>
      </c>
      <c r="O103" s="31" t="s">
        <v>4602</v>
      </c>
    </row>
    <row r="104" spans="1:15" ht="15" customHeight="1" x14ac:dyDescent="0.3">
      <c r="A104" s="155" t="s">
        <v>3434</v>
      </c>
      <c r="B104" s="192" t="s">
        <v>4183</v>
      </c>
      <c r="C104" s="155" t="s">
        <v>3438</v>
      </c>
      <c r="D104" s="251" t="s">
        <v>3124</v>
      </c>
      <c r="E104" s="45" t="s">
        <v>2986</v>
      </c>
      <c r="F104" s="45">
        <v>70</v>
      </c>
      <c r="G104" s="24" t="s">
        <v>3150</v>
      </c>
      <c r="H104" s="33" t="s">
        <v>4485</v>
      </c>
      <c r="I104" s="33" t="s">
        <v>4470</v>
      </c>
      <c r="J104" s="177" t="s">
        <v>4626</v>
      </c>
      <c r="K104" s="179">
        <v>4</v>
      </c>
      <c r="L104" s="197" t="s">
        <v>4714</v>
      </c>
      <c r="M104" s="197" t="s">
        <v>4690</v>
      </c>
      <c r="N104" s="198">
        <v>9</v>
      </c>
      <c r="O104" s="31" t="s">
        <v>4602</v>
      </c>
    </row>
    <row r="105" spans="1:15" ht="15" customHeight="1" x14ac:dyDescent="0.3">
      <c r="A105" s="155" t="s">
        <v>3432</v>
      </c>
      <c r="B105" s="192" t="s">
        <v>4183</v>
      </c>
      <c r="C105" s="155" t="s">
        <v>3439</v>
      </c>
      <c r="D105" s="251" t="s">
        <v>3124</v>
      </c>
      <c r="E105" s="45" t="s">
        <v>2986</v>
      </c>
      <c r="F105" s="45">
        <v>70</v>
      </c>
      <c r="G105" s="24" t="s">
        <v>3150</v>
      </c>
      <c r="H105" s="33" t="s">
        <v>4485</v>
      </c>
      <c r="I105" s="33" t="s">
        <v>4470</v>
      </c>
      <c r="J105" s="177" t="s">
        <v>4625</v>
      </c>
      <c r="K105" s="179">
        <v>5</v>
      </c>
      <c r="L105" s="197" t="s">
        <v>4713</v>
      </c>
      <c r="M105" s="197" t="s">
        <v>4690</v>
      </c>
      <c r="N105" s="198">
        <v>9</v>
      </c>
      <c r="O105" s="31" t="s">
        <v>4602</v>
      </c>
    </row>
    <row r="106" spans="1:15" ht="15" customHeight="1" x14ac:dyDescent="0.3">
      <c r="A106" s="155" t="s">
        <v>3435</v>
      </c>
      <c r="B106" s="192" t="s">
        <v>4183</v>
      </c>
      <c r="C106" s="155" t="s">
        <v>3439</v>
      </c>
      <c r="D106" s="251" t="s">
        <v>3124</v>
      </c>
      <c r="E106" s="45" t="s">
        <v>2986</v>
      </c>
      <c r="F106" s="45">
        <v>70</v>
      </c>
      <c r="G106" s="24" t="s">
        <v>3150</v>
      </c>
      <c r="H106" s="33" t="s">
        <v>4485</v>
      </c>
      <c r="I106" s="33" t="s">
        <v>4470</v>
      </c>
      <c r="J106" s="177" t="s">
        <v>4626</v>
      </c>
      <c r="K106" s="179">
        <v>5</v>
      </c>
      <c r="L106" s="197" t="s">
        <v>4714</v>
      </c>
      <c r="M106" s="197" t="s">
        <v>4690</v>
      </c>
      <c r="N106" s="198">
        <v>9</v>
      </c>
      <c r="O106" s="31" t="s">
        <v>4602</v>
      </c>
    </row>
    <row r="107" spans="1:15" ht="15" customHeight="1" x14ac:dyDescent="0.3">
      <c r="A107" s="155" t="s">
        <v>3433</v>
      </c>
      <c r="B107" s="192" t="s">
        <v>4183</v>
      </c>
      <c r="C107" s="155" t="s">
        <v>3440</v>
      </c>
      <c r="D107" s="251" t="s">
        <v>3124</v>
      </c>
      <c r="E107" s="45" t="s">
        <v>2986</v>
      </c>
      <c r="F107" s="45">
        <v>70</v>
      </c>
      <c r="G107" s="24" t="s">
        <v>3150</v>
      </c>
      <c r="H107" s="33" t="s">
        <v>4485</v>
      </c>
      <c r="I107" s="33" t="s">
        <v>4470</v>
      </c>
      <c r="J107" s="177" t="s">
        <v>4625</v>
      </c>
      <c r="K107" s="179">
        <v>6</v>
      </c>
      <c r="L107" s="197" t="s">
        <v>4713</v>
      </c>
      <c r="M107" s="197" t="s">
        <v>4690</v>
      </c>
      <c r="N107" s="198">
        <v>9</v>
      </c>
      <c r="O107" s="31" t="s">
        <v>4602</v>
      </c>
    </row>
    <row r="108" spans="1:15" ht="15" customHeight="1" x14ac:dyDescent="0.3">
      <c r="A108" s="228" t="s">
        <v>3436</v>
      </c>
      <c r="B108" s="192" t="s">
        <v>4183</v>
      </c>
      <c r="C108" s="155" t="s">
        <v>3441</v>
      </c>
      <c r="D108" s="251" t="s">
        <v>3124</v>
      </c>
      <c r="E108" s="45" t="s">
        <v>2986</v>
      </c>
      <c r="F108" s="45">
        <v>70</v>
      </c>
      <c r="G108" s="24" t="s">
        <v>3150</v>
      </c>
      <c r="H108" s="33" t="s">
        <v>4485</v>
      </c>
      <c r="I108" s="33" t="s">
        <v>4470</v>
      </c>
      <c r="J108" s="177" t="s">
        <v>4626</v>
      </c>
      <c r="K108" s="179">
        <v>6</v>
      </c>
      <c r="L108" s="197" t="s">
        <v>4714</v>
      </c>
      <c r="M108" s="197" t="s">
        <v>4690</v>
      </c>
      <c r="N108" s="198">
        <v>9</v>
      </c>
      <c r="O108" s="31" t="s">
        <v>4602</v>
      </c>
    </row>
    <row r="109" spans="1:15" ht="15" customHeight="1" x14ac:dyDescent="0.3">
      <c r="A109" s="155" t="s">
        <v>3543</v>
      </c>
      <c r="B109" s="192" t="s">
        <v>4185</v>
      </c>
      <c r="C109" s="155" t="s">
        <v>3549</v>
      </c>
      <c r="D109" s="251" t="s">
        <v>3124</v>
      </c>
      <c r="E109" s="45" t="s">
        <v>2986</v>
      </c>
      <c r="F109" s="45">
        <v>70</v>
      </c>
      <c r="G109" s="24" t="s">
        <v>3151</v>
      </c>
      <c r="H109" s="33" t="s">
        <v>4489</v>
      </c>
      <c r="I109" s="33" t="s">
        <v>4470</v>
      </c>
      <c r="J109" s="177" t="s">
        <v>4625</v>
      </c>
      <c r="K109" s="179">
        <v>7</v>
      </c>
      <c r="L109" s="197" t="s">
        <v>4718</v>
      </c>
      <c r="M109" s="197" t="s">
        <v>4690</v>
      </c>
      <c r="N109" s="198">
        <v>9</v>
      </c>
      <c r="O109" s="31" t="s">
        <v>4602</v>
      </c>
    </row>
    <row r="110" spans="1:15" ht="15" customHeight="1" x14ac:dyDescent="0.3">
      <c r="A110" s="155" t="s">
        <v>3546</v>
      </c>
      <c r="B110" s="192" t="s">
        <v>4185</v>
      </c>
      <c r="C110" s="155" t="s">
        <v>3550</v>
      </c>
      <c r="D110" s="251" t="s">
        <v>3124</v>
      </c>
      <c r="E110" s="45" t="s">
        <v>2986</v>
      </c>
      <c r="F110" s="45">
        <v>70</v>
      </c>
      <c r="G110" s="24" t="s">
        <v>3151</v>
      </c>
      <c r="H110" s="33" t="s">
        <v>4489</v>
      </c>
      <c r="I110" s="33" t="s">
        <v>4470</v>
      </c>
      <c r="J110" s="177" t="s">
        <v>4626</v>
      </c>
      <c r="K110" s="179">
        <v>7</v>
      </c>
      <c r="L110" s="197" t="s">
        <v>4719</v>
      </c>
      <c r="M110" s="197" t="s">
        <v>4690</v>
      </c>
      <c r="N110" s="198">
        <v>9</v>
      </c>
      <c r="O110" s="31" t="s">
        <v>4602</v>
      </c>
    </row>
    <row r="111" spans="1:15" ht="15" customHeight="1" x14ac:dyDescent="0.3">
      <c r="A111" s="155" t="s">
        <v>3544</v>
      </c>
      <c r="B111" s="192" t="s">
        <v>4185</v>
      </c>
      <c r="C111" s="155" t="s">
        <v>3551</v>
      </c>
      <c r="D111" s="251" t="s">
        <v>3124</v>
      </c>
      <c r="E111" s="45" t="s">
        <v>2986</v>
      </c>
      <c r="F111" s="45">
        <v>70</v>
      </c>
      <c r="G111" s="24" t="s">
        <v>3151</v>
      </c>
      <c r="H111" s="33" t="s">
        <v>4489</v>
      </c>
      <c r="I111" s="33" t="s">
        <v>4470</v>
      </c>
      <c r="J111" s="177" t="s">
        <v>4625</v>
      </c>
      <c r="K111" s="179">
        <v>8</v>
      </c>
      <c r="L111" s="197" t="s">
        <v>4718</v>
      </c>
      <c r="M111" s="197" t="s">
        <v>4690</v>
      </c>
      <c r="N111" s="198">
        <v>9</v>
      </c>
      <c r="O111" s="31" t="s">
        <v>4602</v>
      </c>
    </row>
    <row r="112" spans="1:15" ht="15" customHeight="1" x14ac:dyDescent="0.3">
      <c r="A112" s="155" t="s">
        <v>3547</v>
      </c>
      <c r="B112" s="192" t="s">
        <v>4185</v>
      </c>
      <c r="C112" s="155" t="s">
        <v>3551</v>
      </c>
      <c r="D112" s="251" t="s">
        <v>3124</v>
      </c>
      <c r="E112" s="45" t="s">
        <v>2986</v>
      </c>
      <c r="F112" s="45">
        <v>70</v>
      </c>
      <c r="G112" s="24" t="s">
        <v>3151</v>
      </c>
      <c r="H112" s="33" t="s">
        <v>4489</v>
      </c>
      <c r="I112" s="33" t="s">
        <v>4470</v>
      </c>
      <c r="J112" s="177" t="s">
        <v>4626</v>
      </c>
      <c r="K112" s="179">
        <v>8</v>
      </c>
      <c r="L112" s="197" t="s">
        <v>4719</v>
      </c>
      <c r="M112" s="197" t="s">
        <v>4690</v>
      </c>
      <c r="N112" s="198">
        <v>9</v>
      </c>
      <c r="O112" s="31" t="s">
        <v>4602</v>
      </c>
    </row>
    <row r="113" spans="1:15" ht="15" customHeight="1" x14ac:dyDescent="0.3">
      <c r="A113" s="155" t="s">
        <v>3545</v>
      </c>
      <c r="B113" s="192" t="s">
        <v>4185</v>
      </c>
      <c r="C113" s="155" t="s">
        <v>3552</v>
      </c>
      <c r="D113" s="251" t="s">
        <v>3124</v>
      </c>
      <c r="E113" s="45" t="s">
        <v>2986</v>
      </c>
      <c r="F113" s="45">
        <v>70</v>
      </c>
      <c r="G113" s="24" t="s">
        <v>3151</v>
      </c>
      <c r="H113" s="33" t="s">
        <v>4489</v>
      </c>
      <c r="I113" s="33" t="s">
        <v>4470</v>
      </c>
      <c r="J113" s="177" t="s">
        <v>4627</v>
      </c>
      <c r="K113" s="179">
        <v>1</v>
      </c>
      <c r="L113" s="197" t="s">
        <v>4718</v>
      </c>
      <c r="M113" s="197" t="s">
        <v>4690</v>
      </c>
      <c r="N113" s="198">
        <v>9</v>
      </c>
      <c r="O113" s="31" t="s">
        <v>4602</v>
      </c>
    </row>
    <row r="114" spans="1:15" ht="15" customHeight="1" x14ac:dyDescent="0.3">
      <c r="A114" s="155" t="s">
        <v>3548</v>
      </c>
      <c r="B114" s="192" t="s">
        <v>4185</v>
      </c>
      <c r="C114" s="155" t="s">
        <v>3552</v>
      </c>
      <c r="D114" s="251" t="s">
        <v>3124</v>
      </c>
      <c r="E114" s="45" t="s">
        <v>2986</v>
      </c>
      <c r="F114" s="45">
        <v>70</v>
      </c>
      <c r="G114" s="24" t="s">
        <v>3151</v>
      </c>
      <c r="H114" s="33" t="s">
        <v>4489</v>
      </c>
      <c r="I114" s="33" t="s">
        <v>4470</v>
      </c>
      <c r="J114" s="177" t="s">
        <v>4632</v>
      </c>
      <c r="K114" s="179">
        <v>1</v>
      </c>
      <c r="L114" s="197" t="s">
        <v>4719</v>
      </c>
      <c r="M114" s="197" t="s">
        <v>4690</v>
      </c>
      <c r="N114" s="198">
        <v>9</v>
      </c>
      <c r="O114" s="31" t="s">
        <v>4602</v>
      </c>
    </row>
    <row r="115" spans="1:15" ht="15" customHeight="1" x14ac:dyDescent="0.3">
      <c r="A115" s="155" t="s">
        <v>3442</v>
      </c>
      <c r="B115" s="192" t="s">
        <v>4188</v>
      </c>
      <c r="C115" s="155" t="s">
        <v>3448</v>
      </c>
      <c r="D115" s="251" t="s">
        <v>3124</v>
      </c>
      <c r="E115" s="45" t="s">
        <v>2986</v>
      </c>
      <c r="F115" s="45">
        <v>70</v>
      </c>
      <c r="G115" s="24" t="s">
        <v>3152</v>
      </c>
      <c r="H115" s="33" t="s">
        <v>4491</v>
      </c>
      <c r="I115" s="33" t="s">
        <v>4470</v>
      </c>
      <c r="J115" s="177" t="s">
        <v>4627</v>
      </c>
      <c r="K115" s="179">
        <v>2</v>
      </c>
      <c r="L115" s="197" t="s">
        <v>4722</v>
      </c>
      <c r="M115" s="197" t="s">
        <v>4690</v>
      </c>
      <c r="N115" s="198">
        <v>9</v>
      </c>
      <c r="O115" s="31" t="s">
        <v>4602</v>
      </c>
    </row>
    <row r="116" spans="1:15" ht="15" customHeight="1" x14ac:dyDescent="0.3">
      <c r="A116" s="155" t="s">
        <v>3445</v>
      </c>
      <c r="B116" s="192" t="s">
        <v>4188</v>
      </c>
      <c r="C116" s="155" t="s">
        <v>3449</v>
      </c>
      <c r="D116" s="251" t="s">
        <v>3124</v>
      </c>
      <c r="E116" s="45" t="s">
        <v>2986</v>
      </c>
      <c r="F116" s="45">
        <v>70</v>
      </c>
      <c r="G116" s="24" t="s">
        <v>3152</v>
      </c>
      <c r="H116" s="33" t="s">
        <v>4491</v>
      </c>
      <c r="I116" s="33" t="s">
        <v>4470</v>
      </c>
      <c r="J116" s="177" t="s">
        <v>4632</v>
      </c>
      <c r="K116" s="179">
        <v>2</v>
      </c>
      <c r="L116" s="197" t="s">
        <v>4723</v>
      </c>
      <c r="M116" s="197" t="s">
        <v>4690</v>
      </c>
      <c r="N116" s="198">
        <v>9</v>
      </c>
      <c r="O116" s="31" t="s">
        <v>4602</v>
      </c>
    </row>
    <row r="117" spans="1:15" ht="15" customHeight="1" x14ac:dyDescent="0.3">
      <c r="A117" s="155" t="s">
        <v>3443</v>
      </c>
      <c r="B117" s="192" t="s">
        <v>4188</v>
      </c>
      <c r="C117" s="155" t="s">
        <v>3450</v>
      </c>
      <c r="D117" s="251" t="s">
        <v>3124</v>
      </c>
      <c r="E117" s="45" t="s">
        <v>2986</v>
      </c>
      <c r="F117" s="45">
        <v>70</v>
      </c>
      <c r="G117" s="24" t="s">
        <v>3152</v>
      </c>
      <c r="H117" s="33" t="s">
        <v>4491</v>
      </c>
      <c r="I117" s="33" t="s">
        <v>4470</v>
      </c>
      <c r="J117" s="177" t="s">
        <v>4627</v>
      </c>
      <c r="K117" s="179">
        <v>3</v>
      </c>
      <c r="L117" s="197" t="s">
        <v>4722</v>
      </c>
      <c r="M117" s="197" t="s">
        <v>4690</v>
      </c>
      <c r="N117" s="198">
        <v>9</v>
      </c>
      <c r="O117" s="31" t="s">
        <v>4602</v>
      </c>
    </row>
    <row r="118" spans="1:15" ht="15" customHeight="1" x14ac:dyDescent="0.3">
      <c r="A118" s="155" t="s">
        <v>3446</v>
      </c>
      <c r="B118" s="192" t="s">
        <v>4188</v>
      </c>
      <c r="C118" s="155" t="s">
        <v>3450</v>
      </c>
      <c r="D118" s="251" t="s">
        <v>3124</v>
      </c>
      <c r="E118" s="45" t="s">
        <v>2986</v>
      </c>
      <c r="F118" s="45">
        <v>70</v>
      </c>
      <c r="G118" s="24" t="s">
        <v>3152</v>
      </c>
      <c r="H118" s="33" t="s">
        <v>4491</v>
      </c>
      <c r="I118" s="33" t="s">
        <v>4470</v>
      </c>
      <c r="J118" s="177" t="s">
        <v>4632</v>
      </c>
      <c r="K118" s="179">
        <v>3</v>
      </c>
      <c r="L118" s="197" t="s">
        <v>4723</v>
      </c>
      <c r="M118" s="197" t="s">
        <v>4690</v>
      </c>
      <c r="N118" s="198">
        <v>9</v>
      </c>
      <c r="O118" s="31" t="s">
        <v>4602</v>
      </c>
    </row>
    <row r="119" spans="1:15" ht="15" customHeight="1" x14ac:dyDescent="0.3">
      <c r="A119" s="155" t="s">
        <v>3444</v>
      </c>
      <c r="B119" s="192" t="s">
        <v>4188</v>
      </c>
      <c r="C119" s="155" t="s">
        <v>3451</v>
      </c>
      <c r="D119" s="251" t="s">
        <v>3124</v>
      </c>
      <c r="E119" s="45" t="s">
        <v>2986</v>
      </c>
      <c r="F119" s="45">
        <v>70</v>
      </c>
      <c r="G119" s="24" t="s">
        <v>3152</v>
      </c>
      <c r="H119" s="33" t="s">
        <v>4491</v>
      </c>
      <c r="I119" s="33" t="s">
        <v>4470</v>
      </c>
      <c r="J119" s="177" t="s">
        <v>4627</v>
      </c>
      <c r="K119" s="179">
        <v>4</v>
      </c>
      <c r="L119" s="197" t="s">
        <v>4722</v>
      </c>
      <c r="M119" s="197" t="s">
        <v>4690</v>
      </c>
      <c r="N119" s="198">
        <v>9</v>
      </c>
      <c r="O119" s="31" t="s">
        <v>4602</v>
      </c>
    </row>
    <row r="120" spans="1:15" ht="15" customHeight="1" x14ac:dyDescent="0.3">
      <c r="A120" s="155" t="s">
        <v>3447</v>
      </c>
      <c r="B120" s="192" t="s">
        <v>4188</v>
      </c>
      <c r="C120" s="155" t="s">
        <v>3452</v>
      </c>
      <c r="D120" s="251" t="s">
        <v>3124</v>
      </c>
      <c r="E120" s="45" t="s">
        <v>2986</v>
      </c>
      <c r="F120" s="45">
        <v>70</v>
      </c>
      <c r="G120" s="24" t="s">
        <v>3152</v>
      </c>
      <c r="H120" s="33" t="s">
        <v>4491</v>
      </c>
      <c r="I120" s="33" t="s">
        <v>4470</v>
      </c>
      <c r="J120" s="177" t="s">
        <v>4632</v>
      </c>
      <c r="K120" s="179">
        <v>4</v>
      </c>
      <c r="L120" s="197" t="s">
        <v>4723</v>
      </c>
      <c r="M120" s="197" t="s">
        <v>4690</v>
      </c>
      <c r="N120" s="198">
        <v>9</v>
      </c>
      <c r="O120" s="31" t="s">
        <v>4602</v>
      </c>
    </row>
    <row r="121" spans="1:15" ht="15" customHeight="1" x14ac:dyDescent="0.3">
      <c r="A121" s="155" t="s">
        <v>3553</v>
      </c>
      <c r="B121" s="192" t="s">
        <v>4190</v>
      </c>
      <c r="C121" s="155" t="s">
        <v>3559</v>
      </c>
      <c r="D121" s="251" t="s">
        <v>3124</v>
      </c>
      <c r="E121" s="45" t="s">
        <v>2986</v>
      </c>
      <c r="F121" s="45">
        <v>70</v>
      </c>
      <c r="G121" s="24" t="s">
        <v>3153</v>
      </c>
      <c r="H121" s="33" t="s">
        <v>4493</v>
      </c>
      <c r="I121" s="33" t="s">
        <v>4470</v>
      </c>
      <c r="J121" s="177" t="s">
        <v>4627</v>
      </c>
      <c r="K121" s="179">
        <v>5</v>
      </c>
      <c r="L121" s="197" t="s">
        <v>4727</v>
      </c>
      <c r="M121" s="197" t="s">
        <v>4690</v>
      </c>
      <c r="N121" s="198">
        <v>9</v>
      </c>
      <c r="O121" s="31" t="s">
        <v>4602</v>
      </c>
    </row>
    <row r="122" spans="1:15" ht="15" customHeight="1" x14ac:dyDescent="0.3">
      <c r="A122" s="155" t="s">
        <v>3556</v>
      </c>
      <c r="B122" s="192" t="s">
        <v>4190</v>
      </c>
      <c r="C122" s="155" t="s">
        <v>3559</v>
      </c>
      <c r="D122" s="251" t="s">
        <v>3124</v>
      </c>
      <c r="E122" s="45" t="s">
        <v>2986</v>
      </c>
      <c r="F122" s="45">
        <v>70</v>
      </c>
      <c r="G122" s="24" t="s">
        <v>3153</v>
      </c>
      <c r="H122" s="33" t="s">
        <v>4493</v>
      </c>
      <c r="I122" s="33" t="s">
        <v>4470</v>
      </c>
      <c r="J122" s="177" t="s">
        <v>4632</v>
      </c>
      <c r="K122" s="179">
        <v>5</v>
      </c>
      <c r="L122" s="197" t="s">
        <v>4728</v>
      </c>
      <c r="M122" s="197" t="s">
        <v>4690</v>
      </c>
      <c r="N122" s="198">
        <v>9</v>
      </c>
      <c r="O122" s="31" t="s">
        <v>4602</v>
      </c>
    </row>
    <row r="123" spans="1:15" ht="15" customHeight="1" x14ac:dyDescent="0.3">
      <c r="A123" s="155" t="s">
        <v>3554</v>
      </c>
      <c r="B123" s="192" t="s">
        <v>4190</v>
      </c>
      <c r="C123" s="155" t="s">
        <v>3560</v>
      </c>
      <c r="D123" s="251" t="s">
        <v>3124</v>
      </c>
      <c r="E123" s="45" t="s">
        <v>2986</v>
      </c>
      <c r="F123" s="45">
        <v>70</v>
      </c>
      <c r="G123" s="24" t="s">
        <v>3153</v>
      </c>
      <c r="H123" s="33" t="s">
        <v>4493</v>
      </c>
      <c r="I123" s="33" t="s">
        <v>4470</v>
      </c>
      <c r="J123" s="177" t="s">
        <v>4627</v>
      </c>
      <c r="K123" s="179">
        <v>6</v>
      </c>
      <c r="L123" s="197" t="s">
        <v>4727</v>
      </c>
      <c r="M123" s="197" t="s">
        <v>4690</v>
      </c>
      <c r="N123" s="198">
        <v>9</v>
      </c>
      <c r="O123" s="31" t="s">
        <v>4602</v>
      </c>
    </row>
    <row r="124" spans="1:15" ht="15" customHeight="1" x14ac:dyDescent="0.3">
      <c r="A124" s="155" t="s">
        <v>3557</v>
      </c>
      <c r="B124" s="192" t="s">
        <v>4190</v>
      </c>
      <c r="C124" s="155" t="s">
        <v>3560</v>
      </c>
      <c r="D124" s="251" t="s">
        <v>3124</v>
      </c>
      <c r="E124" s="45" t="s">
        <v>2986</v>
      </c>
      <c r="F124" s="45">
        <v>70</v>
      </c>
      <c r="G124" s="24" t="s">
        <v>3153</v>
      </c>
      <c r="H124" s="33" t="s">
        <v>4493</v>
      </c>
      <c r="I124" s="33" t="s">
        <v>4470</v>
      </c>
      <c r="J124" s="177" t="s">
        <v>4632</v>
      </c>
      <c r="K124" s="179">
        <v>6</v>
      </c>
      <c r="L124" s="197" t="s">
        <v>4728</v>
      </c>
      <c r="M124" s="197" t="s">
        <v>4690</v>
      </c>
      <c r="N124" s="198">
        <v>9</v>
      </c>
      <c r="O124" s="31" t="s">
        <v>4602</v>
      </c>
    </row>
    <row r="125" spans="1:15" ht="15" customHeight="1" x14ac:dyDescent="0.3">
      <c r="A125" s="155" t="s">
        <v>3555</v>
      </c>
      <c r="B125" s="192" t="s">
        <v>4190</v>
      </c>
      <c r="C125" s="155" t="s">
        <v>3561</v>
      </c>
      <c r="D125" s="251" t="s">
        <v>3124</v>
      </c>
      <c r="E125" s="45" t="s">
        <v>2986</v>
      </c>
      <c r="F125" s="45">
        <v>70</v>
      </c>
      <c r="G125" s="24" t="s">
        <v>3153</v>
      </c>
      <c r="H125" s="33" t="s">
        <v>4493</v>
      </c>
      <c r="I125" s="33" t="s">
        <v>4470</v>
      </c>
      <c r="J125" s="177" t="s">
        <v>4627</v>
      </c>
      <c r="K125" s="179">
        <v>7</v>
      </c>
      <c r="L125" s="197" t="s">
        <v>4727</v>
      </c>
      <c r="M125" s="197" t="s">
        <v>4690</v>
      </c>
      <c r="N125" s="198">
        <v>9</v>
      </c>
      <c r="O125" s="31" t="s">
        <v>4602</v>
      </c>
    </row>
    <row r="126" spans="1:15" ht="15" customHeight="1" x14ac:dyDescent="0.3">
      <c r="A126" s="155" t="s">
        <v>3558</v>
      </c>
      <c r="B126" s="192" t="s">
        <v>4190</v>
      </c>
      <c r="C126" s="155" t="s">
        <v>3561</v>
      </c>
      <c r="D126" s="251" t="s">
        <v>3124</v>
      </c>
      <c r="E126" s="45" t="s">
        <v>2986</v>
      </c>
      <c r="F126" s="45">
        <v>70</v>
      </c>
      <c r="G126" s="24" t="s">
        <v>3153</v>
      </c>
      <c r="H126" s="33" t="s">
        <v>4493</v>
      </c>
      <c r="I126" s="33" t="s">
        <v>4470</v>
      </c>
      <c r="J126" s="177" t="s">
        <v>4632</v>
      </c>
      <c r="K126" s="179">
        <v>7</v>
      </c>
      <c r="L126" s="197" t="s">
        <v>4728</v>
      </c>
      <c r="M126" s="197" t="s">
        <v>4690</v>
      </c>
      <c r="N126" s="198">
        <v>9</v>
      </c>
      <c r="O126" s="31" t="s">
        <v>4602</v>
      </c>
    </row>
    <row r="127" spans="1:15" ht="15" customHeight="1" x14ac:dyDescent="0.3">
      <c r="A127" s="155" t="s">
        <v>3453</v>
      </c>
      <c r="B127" s="192" t="s">
        <v>4194</v>
      </c>
      <c r="C127" s="155" t="s">
        <v>3459</v>
      </c>
      <c r="D127" s="251" t="s">
        <v>3124</v>
      </c>
      <c r="E127" s="45" t="s">
        <v>2986</v>
      </c>
      <c r="F127" s="45">
        <v>70</v>
      </c>
      <c r="G127" s="24" t="s">
        <v>3154</v>
      </c>
      <c r="H127" s="33" t="s">
        <v>4495</v>
      </c>
      <c r="I127" s="33" t="s">
        <v>4470</v>
      </c>
      <c r="J127" s="177" t="s">
        <v>4627</v>
      </c>
      <c r="K127" s="179">
        <v>8</v>
      </c>
      <c r="L127" s="197" t="s">
        <v>4731</v>
      </c>
      <c r="M127" s="197" t="s">
        <v>4690</v>
      </c>
      <c r="N127" s="198">
        <v>9</v>
      </c>
      <c r="O127" s="31" t="s">
        <v>4602</v>
      </c>
    </row>
    <row r="128" spans="1:15" ht="15" customHeight="1" x14ac:dyDescent="0.3">
      <c r="A128" s="155" t="s">
        <v>3456</v>
      </c>
      <c r="B128" s="192" t="s">
        <v>4194</v>
      </c>
      <c r="C128" s="155" t="s">
        <v>3460</v>
      </c>
      <c r="D128" s="251" t="s">
        <v>3124</v>
      </c>
      <c r="E128" s="45" t="s">
        <v>2986</v>
      </c>
      <c r="F128" s="45">
        <v>70</v>
      </c>
      <c r="G128" s="24" t="s">
        <v>3154</v>
      </c>
      <c r="H128" s="33" t="s">
        <v>4495</v>
      </c>
      <c r="I128" s="33" t="s">
        <v>4470</v>
      </c>
      <c r="J128" s="177" t="s">
        <v>4632</v>
      </c>
      <c r="K128" s="179">
        <v>8</v>
      </c>
      <c r="L128" s="197" t="s">
        <v>4732</v>
      </c>
      <c r="M128" s="197" t="s">
        <v>4690</v>
      </c>
      <c r="N128" s="198">
        <v>9</v>
      </c>
      <c r="O128" s="31" t="s">
        <v>4602</v>
      </c>
    </row>
    <row r="129" spans="1:15" ht="15" customHeight="1" x14ac:dyDescent="0.3">
      <c r="A129" s="155" t="s">
        <v>3454</v>
      </c>
      <c r="B129" s="192" t="s">
        <v>4194</v>
      </c>
      <c r="C129" s="155" t="s">
        <v>3461</v>
      </c>
      <c r="D129" s="251" t="s">
        <v>3124</v>
      </c>
      <c r="E129" s="45" t="s">
        <v>2986</v>
      </c>
      <c r="F129" s="45">
        <v>70</v>
      </c>
      <c r="G129" s="24" t="s">
        <v>3154</v>
      </c>
      <c r="H129" s="33" t="s">
        <v>4495</v>
      </c>
      <c r="I129" s="33" t="s">
        <v>4470</v>
      </c>
      <c r="J129" s="177" t="s">
        <v>4633</v>
      </c>
      <c r="K129" s="179">
        <v>1</v>
      </c>
      <c r="L129" s="197" t="s">
        <v>4731</v>
      </c>
      <c r="M129" s="197" t="s">
        <v>4690</v>
      </c>
      <c r="N129" s="198">
        <v>9</v>
      </c>
      <c r="O129" s="31" t="s">
        <v>4602</v>
      </c>
    </row>
    <row r="130" spans="1:15" ht="15" customHeight="1" x14ac:dyDescent="0.3">
      <c r="A130" s="155" t="s">
        <v>3457</v>
      </c>
      <c r="B130" s="192" t="s">
        <v>4194</v>
      </c>
      <c r="C130" s="155" t="s">
        <v>3461</v>
      </c>
      <c r="D130" s="251" t="s">
        <v>3124</v>
      </c>
      <c r="E130" s="45" t="s">
        <v>2986</v>
      </c>
      <c r="F130" s="45">
        <v>70</v>
      </c>
      <c r="G130" s="24" t="s">
        <v>3154</v>
      </c>
      <c r="H130" s="33" t="s">
        <v>4495</v>
      </c>
      <c r="I130" s="33" t="s">
        <v>4470</v>
      </c>
      <c r="J130" s="177" t="s">
        <v>4634</v>
      </c>
      <c r="K130" s="179">
        <v>1</v>
      </c>
      <c r="L130" s="197" t="s">
        <v>4732</v>
      </c>
      <c r="M130" s="197" t="s">
        <v>4690</v>
      </c>
      <c r="N130" s="198">
        <v>9</v>
      </c>
      <c r="O130" s="31" t="s">
        <v>4602</v>
      </c>
    </row>
    <row r="131" spans="1:15" ht="15" customHeight="1" x14ac:dyDescent="0.3">
      <c r="A131" s="155" t="s">
        <v>3455</v>
      </c>
      <c r="B131" s="192" t="s">
        <v>4194</v>
      </c>
      <c r="C131" s="155" t="s">
        <v>3462</v>
      </c>
      <c r="D131" s="251" t="s">
        <v>3124</v>
      </c>
      <c r="E131" s="45" t="s">
        <v>2986</v>
      </c>
      <c r="F131" s="45">
        <v>70</v>
      </c>
      <c r="G131" s="24" t="s">
        <v>3154</v>
      </c>
      <c r="H131" s="33" t="s">
        <v>4495</v>
      </c>
      <c r="I131" s="33" t="s">
        <v>4470</v>
      </c>
      <c r="J131" s="177" t="s">
        <v>4633</v>
      </c>
      <c r="K131" s="179">
        <v>2</v>
      </c>
      <c r="L131" s="197" t="s">
        <v>4731</v>
      </c>
      <c r="M131" s="197" t="s">
        <v>4690</v>
      </c>
      <c r="N131" s="198">
        <v>9</v>
      </c>
      <c r="O131" s="31" t="s">
        <v>4602</v>
      </c>
    </row>
    <row r="132" spans="1:15" ht="15" customHeight="1" x14ac:dyDescent="0.3">
      <c r="A132" s="155" t="s">
        <v>3458</v>
      </c>
      <c r="B132" s="192" t="s">
        <v>4194</v>
      </c>
      <c r="C132" s="155" t="s">
        <v>3463</v>
      </c>
      <c r="D132" s="251" t="s">
        <v>3124</v>
      </c>
      <c r="E132" s="45" t="s">
        <v>2986</v>
      </c>
      <c r="F132" s="45">
        <v>70</v>
      </c>
      <c r="G132" s="24" t="s">
        <v>3154</v>
      </c>
      <c r="H132" s="33" t="s">
        <v>4495</v>
      </c>
      <c r="I132" s="33" t="s">
        <v>4470</v>
      </c>
      <c r="J132" s="177" t="s">
        <v>4634</v>
      </c>
      <c r="K132" s="179">
        <v>2</v>
      </c>
      <c r="L132" s="197" t="s">
        <v>4732</v>
      </c>
      <c r="M132" s="197" t="s">
        <v>4690</v>
      </c>
      <c r="N132" s="198">
        <v>9</v>
      </c>
      <c r="O132" s="31" t="s">
        <v>4602</v>
      </c>
    </row>
    <row r="133" spans="1:15" ht="15" customHeight="1" x14ac:dyDescent="0.3">
      <c r="A133" s="155" t="s">
        <v>3562</v>
      </c>
      <c r="B133" s="155" t="s">
        <v>4348</v>
      </c>
      <c r="C133" s="155" t="s">
        <v>3568</v>
      </c>
      <c r="D133" s="251" t="s">
        <v>3124</v>
      </c>
      <c r="E133" s="45" t="s">
        <v>2986</v>
      </c>
      <c r="F133" s="45">
        <v>70</v>
      </c>
      <c r="G133" s="24" t="s">
        <v>3155</v>
      </c>
      <c r="H133" s="33" t="s">
        <v>4497</v>
      </c>
      <c r="I133" s="33" t="s">
        <v>4470</v>
      </c>
      <c r="J133" s="177" t="s">
        <v>4633</v>
      </c>
      <c r="K133" s="179">
        <v>3</v>
      </c>
      <c r="L133" s="197" t="s">
        <v>4736</v>
      </c>
      <c r="M133" s="197" t="s">
        <v>4690</v>
      </c>
      <c r="N133" s="198">
        <v>9</v>
      </c>
      <c r="O133" s="31" t="s">
        <v>4602</v>
      </c>
    </row>
    <row r="134" spans="1:15" ht="15" customHeight="1" x14ac:dyDescent="0.3">
      <c r="A134" s="155" t="s">
        <v>3565</v>
      </c>
      <c r="B134" s="155" t="s">
        <v>4348</v>
      </c>
      <c r="C134" s="155" t="s">
        <v>3568</v>
      </c>
      <c r="D134" s="251" t="s">
        <v>3124</v>
      </c>
      <c r="E134" s="45" t="s">
        <v>2986</v>
      </c>
      <c r="F134" s="45">
        <v>70</v>
      </c>
      <c r="G134" s="24" t="s">
        <v>3155</v>
      </c>
      <c r="H134" s="33" t="s">
        <v>4497</v>
      </c>
      <c r="I134" s="33" t="s">
        <v>4470</v>
      </c>
      <c r="J134" s="177" t="s">
        <v>4634</v>
      </c>
      <c r="K134" s="179">
        <v>3</v>
      </c>
      <c r="L134" s="197" t="s">
        <v>4737</v>
      </c>
      <c r="M134" s="197" t="s">
        <v>4690</v>
      </c>
      <c r="N134" s="198">
        <v>9</v>
      </c>
      <c r="O134" s="31" t="s">
        <v>4602</v>
      </c>
    </row>
    <row r="135" spans="1:15" ht="15" customHeight="1" x14ac:dyDescent="0.3">
      <c r="A135" s="155" t="s">
        <v>3563</v>
      </c>
      <c r="B135" s="155" t="s">
        <v>4348</v>
      </c>
      <c r="C135" s="155" t="s">
        <v>3569</v>
      </c>
      <c r="D135" s="251" t="s">
        <v>3124</v>
      </c>
      <c r="E135" s="45" t="s">
        <v>2986</v>
      </c>
      <c r="F135" s="45">
        <v>70</v>
      </c>
      <c r="G135" s="24" t="s">
        <v>3155</v>
      </c>
      <c r="H135" s="33" t="s">
        <v>4497</v>
      </c>
      <c r="I135" s="33" t="s">
        <v>4470</v>
      </c>
      <c r="J135" s="177" t="s">
        <v>4633</v>
      </c>
      <c r="K135" s="179">
        <v>4</v>
      </c>
      <c r="L135" s="197" t="s">
        <v>4736</v>
      </c>
      <c r="M135" s="197" t="s">
        <v>4690</v>
      </c>
      <c r="N135" s="198">
        <v>9</v>
      </c>
      <c r="O135" s="31" t="s">
        <v>4602</v>
      </c>
    </row>
    <row r="136" spans="1:15" ht="15" customHeight="1" x14ac:dyDescent="0.3">
      <c r="A136" s="155" t="s">
        <v>3566</v>
      </c>
      <c r="B136" s="155" t="s">
        <v>4348</v>
      </c>
      <c r="C136" s="155" t="s">
        <v>3569</v>
      </c>
      <c r="D136" s="251" t="s">
        <v>3124</v>
      </c>
      <c r="E136" s="45" t="s">
        <v>2986</v>
      </c>
      <c r="F136" s="45">
        <v>70</v>
      </c>
      <c r="G136" s="24" t="s">
        <v>3155</v>
      </c>
      <c r="H136" s="33" t="s">
        <v>4497</v>
      </c>
      <c r="I136" s="33" t="s">
        <v>4470</v>
      </c>
      <c r="J136" s="177" t="s">
        <v>4634</v>
      </c>
      <c r="K136" s="179">
        <v>4</v>
      </c>
      <c r="L136" s="197" t="s">
        <v>4737</v>
      </c>
      <c r="M136" s="197" t="s">
        <v>4690</v>
      </c>
      <c r="N136" s="198">
        <v>9</v>
      </c>
      <c r="O136" s="31" t="s">
        <v>4602</v>
      </c>
    </row>
    <row r="137" spans="1:15" ht="15" customHeight="1" x14ac:dyDescent="0.3">
      <c r="A137" s="155" t="s">
        <v>3564</v>
      </c>
      <c r="B137" s="155" t="s">
        <v>4348</v>
      </c>
      <c r="C137" s="155" t="s">
        <v>3570</v>
      </c>
      <c r="D137" s="251" t="s">
        <v>3124</v>
      </c>
      <c r="E137" s="45" t="s">
        <v>2986</v>
      </c>
      <c r="F137" s="45">
        <v>70</v>
      </c>
      <c r="G137" s="24" t="s">
        <v>3155</v>
      </c>
      <c r="H137" s="33" t="s">
        <v>4497</v>
      </c>
      <c r="I137" s="33" t="s">
        <v>4470</v>
      </c>
      <c r="J137" s="177" t="s">
        <v>4633</v>
      </c>
      <c r="K137" s="179">
        <v>5</v>
      </c>
      <c r="L137" s="197" t="s">
        <v>4736</v>
      </c>
      <c r="M137" s="197" t="s">
        <v>4690</v>
      </c>
      <c r="N137" s="198">
        <v>9</v>
      </c>
      <c r="O137" s="31" t="s">
        <v>4602</v>
      </c>
    </row>
    <row r="138" spans="1:15" ht="15" customHeight="1" x14ac:dyDescent="0.3">
      <c r="A138" s="155" t="s">
        <v>3567</v>
      </c>
      <c r="B138" s="155" t="s">
        <v>4348</v>
      </c>
      <c r="C138" s="155" t="s">
        <v>3570</v>
      </c>
      <c r="D138" s="251" t="s">
        <v>3124</v>
      </c>
      <c r="E138" s="45" t="s">
        <v>2986</v>
      </c>
      <c r="F138" s="45">
        <v>70</v>
      </c>
      <c r="G138" s="24" t="s">
        <v>3155</v>
      </c>
      <c r="H138" s="33" t="s">
        <v>4497</v>
      </c>
      <c r="I138" s="33" t="s">
        <v>4470</v>
      </c>
      <c r="J138" s="177" t="s">
        <v>4634</v>
      </c>
      <c r="K138" s="179">
        <v>5</v>
      </c>
      <c r="L138" s="197" t="s">
        <v>4737</v>
      </c>
      <c r="M138" s="197" t="s">
        <v>4690</v>
      </c>
      <c r="N138" s="198">
        <v>9</v>
      </c>
      <c r="O138" s="31" t="s">
        <v>4602</v>
      </c>
    </row>
    <row r="139" spans="1:15" ht="15" customHeight="1" x14ac:dyDescent="0.3">
      <c r="A139" s="155" t="s">
        <v>3420</v>
      </c>
      <c r="B139" s="192" t="s">
        <v>4196</v>
      </c>
      <c r="C139" s="155" t="s">
        <v>3426</v>
      </c>
      <c r="D139" s="251" t="s">
        <v>3124</v>
      </c>
      <c r="E139" s="45" t="s">
        <v>2986</v>
      </c>
      <c r="F139" s="45">
        <v>70</v>
      </c>
      <c r="G139" s="24" t="s">
        <v>3156</v>
      </c>
      <c r="H139" s="33" t="s">
        <v>4499</v>
      </c>
      <c r="I139" s="33" t="s">
        <v>4470</v>
      </c>
      <c r="J139" s="177" t="s">
        <v>4633</v>
      </c>
      <c r="K139" s="179">
        <v>6</v>
      </c>
      <c r="L139" s="197" t="s">
        <v>4740</v>
      </c>
      <c r="M139" s="197" t="s">
        <v>4690</v>
      </c>
      <c r="N139" s="198">
        <v>9</v>
      </c>
      <c r="O139" s="31" t="s">
        <v>4602</v>
      </c>
    </row>
    <row r="140" spans="1:15" ht="15" customHeight="1" x14ac:dyDescent="0.3">
      <c r="A140" s="155" t="s">
        <v>3423</v>
      </c>
      <c r="B140" s="192" t="s">
        <v>4196</v>
      </c>
      <c r="C140" s="155" t="s">
        <v>3427</v>
      </c>
      <c r="D140" s="251" t="s">
        <v>3124</v>
      </c>
      <c r="E140" s="45" t="s">
        <v>2986</v>
      </c>
      <c r="F140" s="45">
        <v>70</v>
      </c>
      <c r="G140" s="24" t="s">
        <v>3156</v>
      </c>
      <c r="H140" s="33" t="s">
        <v>4499</v>
      </c>
      <c r="I140" s="33" t="s">
        <v>4470</v>
      </c>
      <c r="J140" s="177" t="s">
        <v>4634</v>
      </c>
      <c r="K140" s="179">
        <v>6</v>
      </c>
      <c r="L140" s="197" t="s">
        <v>4741</v>
      </c>
      <c r="M140" s="197" t="s">
        <v>4690</v>
      </c>
      <c r="N140" s="198">
        <v>9</v>
      </c>
      <c r="O140" s="31" t="s">
        <v>4602</v>
      </c>
    </row>
    <row r="141" spans="1:15" ht="15" customHeight="1" x14ac:dyDescent="0.3">
      <c r="A141" s="155" t="s">
        <v>3421</v>
      </c>
      <c r="B141" s="192" t="s">
        <v>4196</v>
      </c>
      <c r="C141" s="155" t="s">
        <v>3428</v>
      </c>
      <c r="D141" s="251" t="s">
        <v>3124</v>
      </c>
      <c r="E141" s="45" t="s">
        <v>2986</v>
      </c>
      <c r="F141" s="45">
        <v>70</v>
      </c>
      <c r="G141" s="24" t="s">
        <v>3156</v>
      </c>
      <c r="H141" s="33" t="s">
        <v>4499</v>
      </c>
      <c r="I141" s="33" t="s">
        <v>4470</v>
      </c>
      <c r="J141" s="177" t="s">
        <v>4633</v>
      </c>
      <c r="K141" s="179">
        <v>7</v>
      </c>
      <c r="L141" s="197" t="s">
        <v>4740</v>
      </c>
      <c r="M141" s="197" t="s">
        <v>4690</v>
      </c>
      <c r="N141" s="198">
        <v>9</v>
      </c>
      <c r="O141" s="31" t="s">
        <v>4602</v>
      </c>
    </row>
    <row r="142" spans="1:15" ht="15" customHeight="1" x14ac:dyDescent="0.3">
      <c r="A142" s="155" t="s">
        <v>3424</v>
      </c>
      <c r="B142" s="192" t="s">
        <v>4196</v>
      </c>
      <c r="C142" s="155" t="s">
        <v>3428</v>
      </c>
      <c r="D142" s="251" t="s">
        <v>3124</v>
      </c>
      <c r="E142" s="45" t="s">
        <v>2986</v>
      </c>
      <c r="F142" s="45">
        <v>70</v>
      </c>
      <c r="G142" s="24" t="s">
        <v>3156</v>
      </c>
      <c r="H142" s="33" t="s">
        <v>4499</v>
      </c>
      <c r="I142" s="33" t="s">
        <v>4470</v>
      </c>
      <c r="J142" s="177" t="s">
        <v>4634</v>
      </c>
      <c r="K142" s="179">
        <v>7</v>
      </c>
      <c r="L142" s="197" t="s">
        <v>4741</v>
      </c>
      <c r="M142" s="197" t="s">
        <v>4690</v>
      </c>
      <c r="N142" s="198">
        <v>9</v>
      </c>
      <c r="O142" s="31" t="s">
        <v>4602</v>
      </c>
    </row>
    <row r="143" spans="1:15" ht="15" customHeight="1" x14ac:dyDescent="0.3">
      <c r="A143" s="155" t="s">
        <v>3422</v>
      </c>
      <c r="B143" s="192" t="s">
        <v>4196</v>
      </c>
      <c r="C143" s="155" t="s">
        <v>3429</v>
      </c>
      <c r="D143" s="251" t="s">
        <v>3124</v>
      </c>
      <c r="E143" s="45" t="s">
        <v>2986</v>
      </c>
      <c r="F143" s="45">
        <v>70</v>
      </c>
      <c r="G143" s="24" t="s">
        <v>3156</v>
      </c>
      <c r="H143" s="33" t="s">
        <v>4499</v>
      </c>
      <c r="I143" s="33" t="s">
        <v>4470</v>
      </c>
      <c r="J143" s="177" t="s">
        <v>4633</v>
      </c>
      <c r="K143" s="179">
        <v>8</v>
      </c>
      <c r="L143" s="197" t="s">
        <v>4740</v>
      </c>
      <c r="M143" s="197" t="s">
        <v>4690</v>
      </c>
      <c r="N143" s="198">
        <v>9</v>
      </c>
      <c r="O143" s="31" t="s">
        <v>4602</v>
      </c>
    </row>
    <row r="144" spans="1:15" ht="15" customHeight="1" x14ac:dyDescent="0.3">
      <c r="A144" s="155" t="s">
        <v>3425</v>
      </c>
      <c r="B144" s="192" t="s">
        <v>4196</v>
      </c>
      <c r="C144" s="155" t="s">
        <v>3430</v>
      </c>
      <c r="D144" s="251" t="s">
        <v>3124</v>
      </c>
      <c r="E144" s="45" t="s">
        <v>2986</v>
      </c>
      <c r="F144" s="45">
        <v>70</v>
      </c>
      <c r="G144" s="24" t="s">
        <v>3156</v>
      </c>
      <c r="H144" s="33" t="s">
        <v>4499</v>
      </c>
      <c r="I144" s="33" t="s">
        <v>4470</v>
      </c>
      <c r="J144" s="177" t="s">
        <v>4634</v>
      </c>
      <c r="K144" s="179">
        <v>8</v>
      </c>
      <c r="L144" s="197" t="s">
        <v>4741</v>
      </c>
      <c r="M144" s="197" t="s">
        <v>4690</v>
      </c>
      <c r="N144" s="198">
        <v>9</v>
      </c>
      <c r="O144" s="31" t="s">
        <v>4602</v>
      </c>
    </row>
    <row r="145" spans="1:15" ht="15" customHeight="1" x14ac:dyDescent="0.3">
      <c r="A145" s="155" t="s">
        <v>3571</v>
      </c>
      <c r="B145" s="155" t="s">
        <v>4198</v>
      </c>
      <c r="C145" s="155" t="s">
        <v>3577</v>
      </c>
      <c r="D145" s="251" t="s">
        <v>3124</v>
      </c>
      <c r="E145" s="45" t="s">
        <v>2986</v>
      </c>
      <c r="F145" s="45">
        <v>70</v>
      </c>
      <c r="G145" s="24" t="s">
        <v>3157</v>
      </c>
      <c r="H145" s="33" t="s">
        <v>4501</v>
      </c>
      <c r="I145" s="33" t="s">
        <v>4470</v>
      </c>
      <c r="J145" s="177" t="s">
        <v>4639</v>
      </c>
      <c r="K145" s="179">
        <v>1</v>
      </c>
      <c r="L145" s="197" t="s">
        <v>4745</v>
      </c>
      <c r="M145" s="197" t="s">
        <v>4690</v>
      </c>
      <c r="N145" s="198">
        <v>9</v>
      </c>
      <c r="O145" s="31" t="s">
        <v>4602</v>
      </c>
    </row>
    <row r="146" spans="1:15" ht="15" customHeight="1" x14ac:dyDescent="0.3">
      <c r="A146" s="155" t="s">
        <v>3574</v>
      </c>
      <c r="B146" s="155" t="s">
        <v>4198</v>
      </c>
      <c r="C146" s="155" t="s">
        <v>3577</v>
      </c>
      <c r="D146" s="251" t="s">
        <v>3124</v>
      </c>
      <c r="E146" s="45" t="s">
        <v>2986</v>
      </c>
      <c r="F146" s="45">
        <v>70</v>
      </c>
      <c r="G146" s="24" t="s">
        <v>3157</v>
      </c>
      <c r="H146" s="33" t="s">
        <v>4501</v>
      </c>
      <c r="I146" s="33" t="s">
        <v>4470</v>
      </c>
      <c r="J146" s="177" t="s">
        <v>4640</v>
      </c>
      <c r="K146" s="179">
        <v>1</v>
      </c>
      <c r="L146" s="197" t="s">
        <v>4746</v>
      </c>
      <c r="M146" s="197" t="s">
        <v>4690</v>
      </c>
      <c r="N146" s="198">
        <v>9</v>
      </c>
      <c r="O146" s="31" t="s">
        <v>4602</v>
      </c>
    </row>
    <row r="147" spans="1:15" ht="15" customHeight="1" x14ac:dyDescent="0.3">
      <c r="A147" s="155" t="s">
        <v>3572</v>
      </c>
      <c r="B147" s="155" t="s">
        <v>4198</v>
      </c>
      <c r="C147" s="155" t="s">
        <v>3578</v>
      </c>
      <c r="D147" s="251" t="s">
        <v>3124</v>
      </c>
      <c r="E147" s="45" t="s">
        <v>2986</v>
      </c>
      <c r="F147" s="45">
        <v>70</v>
      </c>
      <c r="G147" s="24" t="s">
        <v>3157</v>
      </c>
      <c r="H147" s="33" t="s">
        <v>4501</v>
      </c>
      <c r="I147" s="33" t="s">
        <v>4470</v>
      </c>
      <c r="J147" s="177" t="s">
        <v>4639</v>
      </c>
      <c r="K147" s="179">
        <v>2</v>
      </c>
      <c r="L147" s="197" t="s">
        <v>4745</v>
      </c>
      <c r="M147" s="197" t="s">
        <v>4690</v>
      </c>
      <c r="N147" s="198">
        <v>9</v>
      </c>
      <c r="O147" s="31" t="s">
        <v>4602</v>
      </c>
    </row>
    <row r="148" spans="1:15" ht="15" customHeight="1" x14ac:dyDescent="0.3">
      <c r="A148" s="155" t="s">
        <v>3575</v>
      </c>
      <c r="B148" s="155" t="s">
        <v>4198</v>
      </c>
      <c r="C148" s="155" t="s">
        <v>3578</v>
      </c>
      <c r="D148" s="251" t="s">
        <v>3124</v>
      </c>
      <c r="E148" s="45" t="s">
        <v>2986</v>
      </c>
      <c r="F148" s="45">
        <v>70</v>
      </c>
      <c r="G148" s="24" t="s">
        <v>3157</v>
      </c>
      <c r="H148" s="33" t="s">
        <v>4501</v>
      </c>
      <c r="I148" s="33" t="s">
        <v>4470</v>
      </c>
      <c r="J148" s="177" t="s">
        <v>4640</v>
      </c>
      <c r="K148" s="179">
        <v>2</v>
      </c>
      <c r="L148" s="197" t="s">
        <v>4746</v>
      </c>
      <c r="M148" s="197" t="s">
        <v>4690</v>
      </c>
      <c r="N148" s="198">
        <v>9</v>
      </c>
      <c r="O148" s="31" t="s">
        <v>4602</v>
      </c>
    </row>
    <row r="149" spans="1:15" ht="15" customHeight="1" x14ac:dyDescent="0.3">
      <c r="A149" s="155" t="s">
        <v>3573</v>
      </c>
      <c r="B149" s="155" t="s">
        <v>4198</v>
      </c>
      <c r="C149" s="155" t="s">
        <v>3579</v>
      </c>
      <c r="D149" s="251" t="s">
        <v>3124</v>
      </c>
      <c r="E149" s="45" t="s">
        <v>2986</v>
      </c>
      <c r="F149" s="45">
        <v>70</v>
      </c>
      <c r="G149" s="24" t="s">
        <v>3157</v>
      </c>
      <c r="H149" s="33" t="s">
        <v>4501</v>
      </c>
      <c r="I149" s="33" t="s">
        <v>4470</v>
      </c>
      <c r="J149" s="177" t="s">
        <v>4639</v>
      </c>
      <c r="K149" s="179">
        <v>3</v>
      </c>
      <c r="L149" s="197" t="s">
        <v>4745</v>
      </c>
      <c r="M149" s="197" t="s">
        <v>4690</v>
      </c>
      <c r="N149" s="198">
        <v>9</v>
      </c>
      <c r="O149" s="31" t="s">
        <v>4602</v>
      </c>
    </row>
    <row r="150" spans="1:15" ht="15" customHeight="1" x14ac:dyDescent="0.3">
      <c r="A150" s="155" t="s">
        <v>3576</v>
      </c>
      <c r="B150" s="155" t="s">
        <v>4198</v>
      </c>
      <c r="C150" s="155" t="s">
        <v>3579</v>
      </c>
      <c r="D150" s="251" t="s">
        <v>3124</v>
      </c>
      <c r="E150" s="45" t="s">
        <v>2986</v>
      </c>
      <c r="F150" s="45">
        <v>70</v>
      </c>
      <c r="G150" s="24" t="s">
        <v>3157</v>
      </c>
      <c r="H150" s="33" t="s">
        <v>4501</v>
      </c>
      <c r="I150" s="33" t="s">
        <v>4470</v>
      </c>
      <c r="J150" s="177" t="s">
        <v>4640</v>
      </c>
      <c r="K150" s="179">
        <v>3</v>
      </c>
      <c r="L150" s="197" t="s">
        <v>4746</v>
      </c>
      <c r="M150" s="197" t="s">
        <v>4690</v>
      </c>
      <c r="N150" s="198">
        <v>9</v>
      </c>
      <c r="O150" s="31" t="s">
        <v>4602</v>
      </c>
    </row>
    <row r="151" spans="1:15" ht="15" customHeight="1" x14ac:dyDescent="0.3">
      <c r="A151" s="155" t="s">
        <v>3464</v>
      </c>
      <c r="B151" s="192" t="s">
        <v>4202</v>
      </c>
      <c r="C151" s="155" t="s">
        <v>3470</v>
      </c>
      <c r="D151" s="251" t="s">
        <v>3124</v>
      </c>
      <c r="E151" s="45" t="s">
        <v>2986</v>
      </c>
      <c r="F151" s="45">
        <v>70</v>
      </c>
      <c r="G151" s="24" t="s">
        <v>3158</v>
      </c>
      <c r="H151" s="33" t="s">
        <v>4503</v>
      </c>
      <c r="I151" s="33" t="s">
        <v>4470</v>
      </c>
      <c r="J151" s="177" t="s">
        <v>4639</v>
      </c>
      <c r="K151" s="179">
        <v>4</v>
      </c>
      <c r="L151" s="197" t="s">
        <v>4749</v>
      </c>
      <c r="M151" s="197" t="s">
        <v>4690</v>
      </c>
      <c r="N151" s="198">
        <v>9</v>
      </c>
      <c r="O151" s="31" t="s">
        <v>4602</v>
      </c>
    </row>
    <row r="152" spans="1:15" ht="15" customHeight="1" x14ac:dyDescent="0.3">
      <c r="A152" s="155" t="s">
        <v>3467</v>
      </c>
      <c r="B152" s="192" t="s">
        <v>4202</v>
      </c>
      <c r="C152" s="155" t="s">
        <v>3471</v>
      </c>
      <c r="D152" s="251" t="s">
        <v>3124</v>
      </c>
      <c r="E152" s="45" t="s">
        <v>2986</v>
      </c>
      <c r="F152" s="45">
        <v>70</v>
      </c>
      <c r="G152" s="24" t="s">
        <v>3158</v>
      </c>
      <c r="H152" s="33" t="s">
        <v>4503</v>
      </c>
      <c r="I152" s="33" t="s">
        <v>4470</v>
      </c>
      <c r="J152" s="177" t="s">
        <v>4640</v>
      </c>
      <c r="K152" s="179">
        <v>4</v>
      </c>
      <c r="L152" s="197" t="s">
        <v>4750</v>
      </c>
      <c r="M152" s="197" t="s">
        <v>4690</v>
      </c>
      <c r="N152" s="198">
        <v>9</v>
      </c>
      <c r="O152" s="31" t="s">
        <v>4602</v>
      </c>
    </row>
    <row r="153" spans="1:15" ht="15" customHeight="1" x14ac:dyDescent="0.3">
      <c r="A153" s="155" t="s">
        <v>3465</v>
      </c>
      <c r="B153" s="192" t="s">
        <v>4202</v>
      </c>
      <c r="C153" s="155" t="s">
        <v>3472</v>
      </c>
      <c r="D153" s="251" t="s">
        <v>3124</v>
      </c>
      <c r="E153" s="45" t="s">
        <v>2986</v>
      </c>
      <c r="F153" s="45">
        <v>70</v>
      </c>
      <c r="G153" s="24" t="s">
        <v>3158</v>
      </c>
      <c r="H153" s="33" t="s">
        <v>4503</v>
      </c>
      <c r="I153" s="33" t="s">
        <v>4470</v>
      </c>
      <c r="J153" s="177" t="s">
        <v>4639</v>
      </c>
      <c r="K153" s="179">
        <v>5</v>
      </c>
      <c r="L153" s="197" t="s">
        <v>4749</v>
      </c>
      <c r="M153" s="197" t="s">
        <v>4690</v>
      </c>
      <c r="N153" s="198">
        <v>9</v>
      </c>
      <c r="O153" s="31" t="s">
        <v>4602</v>
      </c>
    </row>
    <row r="154" spans="1:15" ht="15" customHeight="1" x14ac:dyDescent="0.3">
      <c r="A154" s="155" t="s">
        <v>3468</v>
      </c>
      <c r="B154" s="192" t="s">
        <v>4202</v>
      </c>
      <c r="C154" s="155" t="s">
        <v>3472</v>
      </c>
      <c r="D154" s="251" t="s">
        <v>3124</v>
      </c>
      <c r="E154" s="45" t="s">
        <v>2986</v>
      </c>
      <c r="F154" s="45">
        <v>70</v>
      </c>
      <c r="G154" s="24" t="s">
        <v>3158</v>
      </c>
      <c r="H154" s="33" t="s">
        <v>4503</v>
      </c>
      <c r="I154" s="33" t="s">
        <v>4470</v>
      </c>
      <c r="J154" s="177" t="s">
        <v>4640</v>
      </c>
      <c r="K154" s="179">
        <v>5</v>
      </c>
      <c r="L154" s="197" t="s">
        <v>4750</v>
      </c>
      <c r="M154" s="197" t="s">
        <v>4690</v>
      </c>
      <c r="N154" s="198">
        <v>9</v>
      </c>
      <c r="O154" s="31" t="s">
        <v>4602</v>
      </c>
    </row>
    <row r="155" spans="1:15" ht="15" customHeight="1" x14ac:dyDescent="0.3">
      <c r="A155" s="155" t="s">
        <v>3466</v>
      </c>
      <c r="B155" s="192" t="s">
        <v>4202</v>
      </c>
      <c r="C155" s="155" t="s">
        <v>3473</v>
      </c>
      <c r="D155" s="251" t="s">
        <v>3124</v>
      </c>
      <c r="E155" s="45" t="s">
        <v>2986</v>
      </c>
      <c r="F155" s="45">
        <v>70</v>
      </c>
      <c r="G155" s="24" t="s">
        <v>3158</v>
      </c>
      <c r="H155" s="33" t="s">
        <v>4503</v>
      </c>
      <c r="I155" s="33" t="s">
        <v>4470</v>
      </c>
      <c r="J155" s="177" t="s">
        <v>4639</v>
      </c>
      <c r="K155" s="179">
        <v>6</v>
      </c>
      <c r="L155" s="197" t="s">
        <v>4749</v>
      </c>
      <c r="M155" s="197" t="s">
        <v>4690</v>
      </c>
      <c r="N155" s="198">
        <v>9</v>
      </c>
      <c r="O155" s="31" t="s">
        <v>4602</v>
      </c>
    </row>
    <row r="156" spans="1:15" ht="15" customHeight="1" x14ac:dyDescent="0.3">
      <c r="A156" s="155" t="s">
        <v>3469</v>
      </c>
      <c r="B156" s="192" t="s">
        <v>4202</v>
      </c>
      <c r="C156" s="155" t="s">
        <v>3474</v>
      </c>
      <c r="D156" s="251" t="s">
        <v>3124</v>
      </c>
      <c r="E156" s="45" t="s">
        <v>2986</v>
      </c>
      <c r="F156" s="45">
        <v>70</v>
      </c>
      <c r="G156" s="24" t="s">
        <v>3158</v>
      </c>
      <c r="H156" s="33" t="s">
        <v>4503</v>
      </c>
      <c r="I156" s="33" t="s">
        <v>4470</v>
      </c>
      <c r="J156" s="177" t="s">
        <v>4640</v>
      </c>
      <c r="K156" s="179">
        <v>6</v>
      </c>
      <c r="L156" s="197" t="s">
        <v>4750</v>
      </c>
      <c r="M156" s="197" t="s">
        <v>4690</v>
      </c>
      <c r="N156" s="198">
        <v>9</v>
      </c>
      <c r="O156" s="31" t="s">
        <v>4602</v>
      </c>
    </row>
    <row r="157" spans="1:15" ht="15" customHeight="1" x14ac:dyDescent="0.3">
      <c r="A157" s="155" t="s">
        <v>3580</v>
      </c>
      <c r="B157" s="155" t="s">
        <v>4204</v>
      </c>
      <c r="C157" s="155" t="s">
        <v>3586</v>
      </c>
      <c r="D157" s="251" t="s">
        <v>3124</v>
      </c>
      <c r="E157" s="45" t="s">
        <v>2986</v>
      </c>
      <c r="F157" s="45">
        <v>70</v>
      </c>
      <c r="G157" s="24" t="s">
        <v>3159</v>
      </c>
      <c r="H157" s="33" t="s">
        <v>4505</v>
      </c>
      <c r="I157" s="33" t="s">
        <v>4470</v>
      </c>
      <c r="J157" s="177" t="s">
        <v>4639</v>
      </c>
      <c r="K157" s="179">
        <v>7</v>
      </c>
      <c r="L157" s="197" t="s">
        <v>4754</v>
      </c>
      <c r="M157" s="197" t="s">
        <v>4690</v>
      </c>
      <c r="N157" s="198">
        <v>9</v>
      </c>
      <c r="O157" s="31" t="s">
        <v>4602</v>
      </c>
    </row>
    <row r="158" spans="1:15" ht="15" customHeight="1" x14ac:dyDescent="0.3">
      <c r="A158" s="155" t="s">
        <v>3583</v>
      </c>
      <c r="B158" s="155" t="s">
        <v>4204</v>
      </c>
      <c r="C158" s="155" t="s">
        <v>3586</v>
      </c>
      <c r="D158" s="251" t="s">
        <v>3124</v>
      </c>
      <c r="E158" s="45" t="s">
        <v>2986</v>
      </c>
      <c r="F158" s="45">
        <v>70</v>
      </c>
      <c r="G158" s="24" t="s">
        <v>3159</v>
      </c>
      <c r="H158" s="33" t="s">
        <v>4505</v>
      </c>
      <c r="I158" s="33" t="s">
        <v>4470</v>
      </c>
      <c r="J158" s="177" t="s">
        <v>4640</v>
      </c>
      <c r="K158" s="179">
        <v>7</v>
      </c>
      <c r="L158" s="197" t="s">
        <v>4755</v>
      </c>
      <c r="M158" s="197" t="s">
        <v>4690</v>
      </c>
      <c r="N158" s="198">
        <v>9</v>
      </c>
      <c r="O158" s="31" t="s">
        <v>4602</v>
      </c>
    </row>
    <row r="159" spans="1:15" ht="15" customHeight="1" x14ac:dyDescent="0.3">
      <c r="A159" s="155" t="s">
        <v>3581</v>
      </c>
      <c r="B159" s="155" t="s">
        <v>4204</v>
      </c>
      <c r="C159" s="155" t="s">
        <v>3587</v>
      </c>
      <c r="D159" s="251" t="s">
        <v>3124</v>
      </c>
      <c r="E159" s="45" t="s">
        <v>2986</v>
      </c>
      <c r="F159" s="45">
        <v>70</v>
      </c>
      <c r="G159" s="24" t="s">
        <v>3159</v>
      </c>
      <c r="H159" s="33" t="s">
        <v>4505</v>
      </c>
      <c r="I159" s="33" t="s">
        <v>4470</v>
      </c>
      <c r="J159" s="177" t="s">
        <v>4639</v>
      </c>
      <c r="K159" s="179">
        <v>8</v>
      </c>
      <c r="L159" s="197" t="s">
        <v>4754</v>
      </c>
      <c r="M159" s="197" t="s">
        <v>4690</v>
      </c>
      <c r="N159" s="198">
        <v>9</v>
      </c>
      <c r="O159" s="31" t="s">
        <v>4602</v>
      </c>
    </row>
    <row r="160" spans="1:15" ht="15" customHeight="1" x14ac:dyDescent="0.3">
      <c r="A160" s="155" t="s">
        <v>3584</v>
      </c>
      <c r="B160" s="155" t="s">
        <v>4204</v>
      </c>
      <c r="C160" s="155" t="s">
        <v>3587</v>
      </c>
      <c r="D160" s="251" t="s">
        <v>3124</v>
      </c>
      <c r="E160" s="45" t="s">
        <v>2986</v>
      </c>
      <c r="F160" s="45">
        <v>70</v>
      </c>
      <c r="G160" s="24" t="s">
        <v>3159</v>
      </c>
      <c r="H160" s="33" t="s">
        <v>4505</v>
      </c>
      <c r="I160" s="33" t="s">
        <v>4470</v>
      </c>
      <c r="J160" s="177" t="s">
        <v>4640</v>
      </c>
      <c r="K160" s="179">
        <v>8</v>
      </c>
      <c r="L160" s="197" t="s">
        <v>4755</v>
      </c>
      <c r="M160" s="197" t="s">
        <v>4690</v>
      </c>
      <c r="N160" s="198">
        <v>9</v>
      </c>
      <c r="O160" s="31" t="s">
        <v>4602</v>
      </c>
    </row>
    <row r="161" spans="1:40" ht="15" customHeight="1" x14ac:dyDescent="0.3">
      <c r="A161" s="155" t="s">
        <v>3582</v>
      </c>
      <c r="B161" s="155" t="s">
        <v>4204</v>
      </c>
      <c r="C161" s="155" t="s">
        <v>3588</v>
      </c>
      <c r="D161" s="251" t="s">
        <v>3124</v>
      </c>
      <c r="E161" s="45" t="s">
        <v>2986</v>
      </c>
      <c r="F161" s="45">
        <v>70</v>
      </c>
      <c r="G161" s="24" t="s">
        <v>3159</v>
      </c>
      <c r="H161" s="33" t="s">
        <v>4505</v>
      </c>
      <c r="I161" s="33" t="s">
        <v>4470</v>
      </c>
      <c r="J161" s="177" t="s">
        <v>4641</v>
      </c>
      <c r="K161" s="179">
        <v>1</v>
      </c>
      <c r="L161" s="197" t="s">
        <v>4754</v>
      </c>
      <c r="M161" s="197" t="s">
        <v>4690</v>
      </c>
      <c r="N161" s="198">
        <v>9</v>
      </c>
      <c r="O161" s="31" t="s">
        <v>4602</v>
      </c>
    </row>
    <row r="162" spans="1:40" ht="15" customHeight="1" x14ac:dyDescent="0.3">
      <c r="A162" s="155" t="s">
        <v>3585</v>
      </c>
      <c r="B162" s="155" t="s">
        <v>4204</v>
      </c>
      <c r="C162" s="155" t="s">
        <v>3588</v>
      </c>
      <c r="D162" s="251" t="s">
        <v>3124</v>
      </c>
      <c r="E162" s="45" t="s">
        <v>2986</v>
      </c>
      <c r="F162" s="45">
        <v>70</v>
      </c>
      <c r="G162" s="24" t="s">
        <v>3159</v>
      </c>
      <c r="H162" s="33" t="s">
        <v>4505</v>
      </c>
      <c r="I162" s="33" t="s">
        <v>4470</v>
      </c>
      <c r="J162" s="177" t="s">
        <v>4628</v>
      </c>
      <c r="K162" s="179">
        <v>1</v>
      </c>
      <c r="L162" s="197" t="s">
        <v>4755</v>
      </c>
      <c r="M162" s="197" t="s">
        <v>4690</v>
      </c>
      <c r="N162" s="198">
        <v>9</v>
      </c>
      <c r="O162" s="31" t="s">
        <v>4602</v>
      </c>
    </row>
    <row r="163" spans="1:40" ht="15" customHeight="1" x14ac:dyDescent="0.3">
      <c r="A163" s="155" t="s">
        <v>3475</v>
      </c>
      <c r="B163" s="192" t="s">
        <v>4326</v>
      </c>
      <c r="C163" s="155" t="s">
        <v>3481</v>
      </c>
      <c r="D163" s="251" t="s">
        <v>3124</v>
      </c>
      <c r="E163" s="45" t="s">
        <v>2986</v>
      </c>
      <c r="F163" s="45">
        <v>70</v>
      </c>
      <c r="G163" s="24" t="s">
        <v>3158</v>
      </c>
      <c r="H163" s="33" t="s">
        <v>4507</v>
      </c>
      <c r="I163" s="33" t="s">
        <v>4470</v>
      </c>
      <c r="J163" s="177" t="s">
        <v>4641</v>
      </c>
      <c r="K163" s="179">
        <v>2</v>
      </c>
      <c r="L163" s="197" t="s">
        <v>4758</v>
      </c>
      <c r="M163" s="197" t="s">
        <v>4690</v>
      </c>
      <c r="N163" s="198">
        <v>9</v>
      </c>
      <c r="O163" s="31" t="s">
        <v>4602</v>
      </c>
    </row>
    <row r="164" spans="1:40" ht="15" customHeight="1" x14ac:dyDescent="0.3">
      <c r="A164" s="155" t="s">
        <v>3478</v>
      </c>
      <c r="B164" s="192" t="s">
        <v>4326</v>
      </c>
      <c r="C164" s="155" t="s">
        <v>3482</v>
      </c>
      <c r="D164" s="251" t="s">
        <v>3124</v>
      </c>
      <c r="E164" s="45" t="s">
        <v>2986</v>
      </c>
      <c r="F164" s="45">
        <v>70</v>
      </c>
      <c r="G164" s="24" t="s">
        <v>3158</v>
      </c>
      <c r="H164" s="33" t="s">
        <v>4507</v>
      </c>
      <c r="I164" s="33" t="s">
        <v>4470</v>
      </c>
      <c r="J164" s="177" t="s">
        <v>4628</v>
      </c>
      <c r="K164" s="179">
        <v>2</v>
      </c>
      <c r="L164" s="197" t="s">
        <v>4759</v>
      </c>
      <c r="M164" s="197" t="s">
        <v>4690</v>
      </c>
      <c r="N164" s="198">
        <v>9</v>
      </c>
      <c r="O164" s="31" t="s">
        <v>4602</v>
      </c>
    </row>
    <row r="165" spans="1:40" ht="15" customHeight="1" x14ac:dyDescent="0.3">
      <c r="A165" s="155" t="s">
        <v>3476</v>
      </c>
      <c r="B165" s="192" t="s">
        <v>4326</v>
      </c>
      <c r="C165" s="155" t="s">
        <v>3483</v>
      </c>
      <c r="D165" s="251" t="s">
        <v>3124</v>
      </c>
      <c r="E165" s="45" t="s">
        <v>2986</v>
      </c>
      <c r="F165" s="45">
        <v>70</v>
      </c>
      <c r="G165" s="24" t="s">
        <v>3158</v>
      </c>
      <c r="H165" s="33" t="s">
        <v>4507</v>
      </c>
      <c r="I165" s="33" t="s">
        <v>4470</v>
      </c>
      <c r="J165" s="177" t="s">
        <v>4641</v>
      </c>
      <c r="K165" s="179">
        <v>3</v>
      </c>
      <c r="L165" s="197" t="s">
        <v>4758</v>
      </c>
      <c r="M165" s="197" t="s">
        <v>4690</v>
      </c>
      <c r="N165" s="198">
        <v>9</v>
      </c>
      <c r="O165" s="31" t="s">
        <v>4602</v>
      </c>
    </row>
    <row r="166" spans="1:40" ht="15" customHeight="1" x14ac:dyDescent="0.3">
      <c r="A166" s="155" t="s">
        <v>3479</v>
      </c>
      <c r="B166" s="192" t="s">
        <v>4326</v>
      </c>
      <c r="C166" s="155" t="s">
        <v>3483</v>
      </c>
      <c r="D166" s="251" t="s">
        <v>3124</v>
      </c>
      <c r="E166" s="45" t="s">
        <v>2986</v>
      </c>
      <c r="F166" s="45">
        <v>70</v>
      </c>
      <c r="G166" s="24" t="s">
        <v>3158</v>
      </c>
      <c r="H166" s="33" t="s">
        <v>4507</v>
      </c>
      <c r="I166" s="33" t="s">
        <v>4470</v>
      </c>
      <c r="J166" s="177" t="s">
        <v>4628</v>
      </c>
      <c r="K166" s="179">
        <v>3</v>
      </c>
      <c r="L166" s="197" t="s">
        <v>4759</v>
      </c>
      <c r="M166" s="197" t="s">
        <v>4690</v>
      </c>
      <c r="N166" s="198">
        <v>9</v>
      </c>
      <c r="O166" s="31" t="s">
        <v>4602</v>
      </c>
    </row>
    <row r="167" spans="1:40" ht="15" customHeight="1" x14ac:dyDescent="0.3">
      <c r="A167" s="155" t="s">
        <v>3477</v>
      </c>
      <c r="B167" s="192" t="s">
        <v>4326</v>
      </c>
      <c r="C167" s="155" t="s">
        <v>3484</v>
      </c>
      <c r="D167" s="251" t="s">
        <v>3124</v>
      </c>
      <c r="E167" s="45" t="s">
        <v>2986</v>
      </c>
      <c r="F167" s="45">
        <v>70</v>
      </c>
      <c r="G167" s="24" t="s">
        <v>3158</v>
      </c>
      <c r="H167" s="33" t="s">
        <v>4507</v>
      </c>
      <c r="I167" s="33" t="s">
        <v>4470</v>
      </c>
      <c r="J167" s="177" t="s">
        <v>4641</v>
      </c>
      <c r="K167" s="179">
        <v>4</v>
      </c>
      <c r="L167" s="197" t="s">
        <v>4758</v>
      </c>
      <c r="M167" s="197" t="s">
        <v>4690</v>
      </c>
      <c r="N167" s="198">
        <v>9</v>
      </c>
      <c r="O167" s="31" t="s">
        <v>4602</v>
      </c>
    </row>
    <row r="168" spans="1:40" ht="15" customHeight="1" x14ac:dyDescent="0.3">
      <c r="A168" s="155" t="s">
        <v>3480</v>
      </c>
      <c r="B168" s="192" t="s">
        <v>4326</v>
      </c>
      <c r="C168" s="155" t="s">
        <v>3485</v>
      </c>
      <c r="D168" s="251" t="s">
        <v>3124</v>
      </c>
      <c r="E168" s="45" t="s">
        <v>2986</v>
      </c>
      <c r="F168" s="45">
        <v>70</v>
      </c>
      <c r="G168" s="24" t="s">
        <v>3158</v>
      </c>
      <c r="H168" s="33" t="s">
        <v>4507</v>
      </c>
      <c r="I168" s="33" t="s">
        <v>4470</v>
      </c>
      <c r="J168" s="177" t="s">
        <v>4628</v>
      </c>
      <c r="K168" s="179">
        <v>4</v>
      </c>
      <c r="L168" s="197" t="s">
        <v>4759</v>
      </c>
      <c r="M168" s="197" t="s">
        <v>4690</v>
      </c>
      <c r="N168" s="198">
        <v>9</v>
      </c>
      <c r="O168" s="31" t="s">
        <v>4602</v>
      </c>
    </row>
    <row r="169" spans="1:40" ht="15" customHeight="1" x14ac:dyDescent="0.3">
      <c r="A169" s="155" t="s">
        <v>3510</v>
      </c>
      <c r="B169" s="192" t="s">
        <v>4183</v>
      </c>
      <c r="C169" s="157" t="s">
        <v>283</v>
      </c>
      <c r="D169" s="251" t="s">
        <v>3124</v>
      </c>
      <c r="E169" s="45" t="s">
        <v>2986</v>
      </c>
      <c r="F169" s="45">
        <v>50</v>
      </c>
      <c r="G169" s="24" t="s">
        <v>3160</v>
      </c>
      <c r="H169" s="33" t="s">
        <v>4485</v>
      </c>
      <c r="I169" s="33" t="s">
        <v>4470</v>
      </c>
      <c r="J169" s="177" t="s">
        <v>4629</v>
      </c>
      <c r="K169" s="179">
        <v>1</v>
      </c>
      <c r="L169" s="197" t="s">
        <v>4712</v>
      </c>
      <c r="M169" s="197" t="s">
        <v>4690</v>
      </c>
      <c r="N169" s="198">
        <v>6</v>
      </c>
      <c r="O169" s="31" t="s">
        <v>4602</v>
      </c>
    </row>
    <row r="170" spans="1:40" ht="15" customHeight="1" x14ac:dyDescent="0.3">
      <c r="A170" s="228" t="s">
        <v>3511</v>
      </c>
      <c r="B170" s="192" t="s">
        <v>4183</v>
      </c>
      <c r="C170" s="157" t="s">
        <v>284</v>
      </c>
      <c r="D170" s="251" t="s">
        <v>3124</v>
      </c>
      <c r="E170" s="45" t="s">
        <v>2986</v>
      </c>
      <c r="F170" s="45">
        <v>50</v>
      </c>
      <c r="G170" s="24" t="s">
        <v>3160</v>
      </c>
      <c r="H170" s="33" t="s">
        <v>4485</v>
      </c>
      <c r="I170" s="33" t="s">
        <v>4470</v>
      </c>
      <c r="J170" s="177" t="s">
        <v>4629</v>
      </c>
      <c r="K170" s="179">
        <v>2</v>
      </c>
      <c r="L170" s="197" t="s">
        <v>4712</v>
      </c>
      <c r="M170" s="197" t="s">
        <v>4690</v>
      </c>
      <c r="N170" s="198">
        <v>6</v>
      </c>
      <c r="O170" s="31" t="s">
        <v>4602</v>
      </c>
    </row>
    <row r="171" spans="1:40" ht="15" customHeight="1" x14ac:dyDescent="0.3">
      <c r="A171" s="155" t="s">
        <v>3512</v>
      </c>
      <c r="B171" s="155" t="s">
        <v>4188</v>
      </c>
      <c r="C171" s="157" t="s">
        <v>285</v>
      </c>
      <c r="D171" s="251" t="s">
        <v>3124</v>
      </c>
      <c r="E171" s="45" t="s">
        <v>2986</v>
      </c>
      <c r="F171" s="45">
        <v>50</v>
      </c>
      <c r="G171" s="24" t="s">
        <v>3161</v>
      </c>
      <c r="H171" s="33" t="s">
        <v>4491</v>
      </c>
      <c r="I171" s="33" t="s">
        <v>4470</v>
      </c>
      <c r="J171" s="177" t="s">
        <v>4629</v>
      </c>
      <c r="K171" s="179">
        <v>3</v>
      </c>
      <c r="L171" s="197" t="s">
        <v>4721</v>
      </c>
      <c r="M171" s="197" t="s">
        <v>4690</v>
      </c>
      <c r="N171" s="198">
        <v>6</v>
      </c>
      <c r="O171" s="31" t="s">
        <v>4602</v>
      </c>
    </row>
    <row r="172" spans="1:40" ht="15" customHeight="1" x14ac:dyDescent="0.3">
      <c r="A172" s="155" t="s">
        <v>3513</v>
      </c>
      <c r="B172" s="155" t="s">
        <v>4188</v>
      </c>
      <c r="C172" s="157" t="s">
        <v>286</v>
      </c>
      <c r="D172" s="251" t="s">
        <v>3124</v>
      </c>
      <c r="E172" s="45" t="s">
        <v>2986</v>
      </c>
      <c r="F172" s="45">
        <v>50</v>
      </c>
      <c r="G172" s="24" t="s">
        <v>3161</v>
      </c>
      <c r="H172" s="33" t="s">
        <v>4491</v>
      </c>
      <c r="I172" s="33" t="s">
        <v>4470</v>
      </c>
      <c r="J172" s="177" t="s">
        <v>4629</v>
      </c>
      <c r="K172" s="179">
        <v>4</v>
      </c>
      <c r="L172" s="197" t="s">
        <v>4721</v>
      </c>
      <c r="M172" s="197" t="s">
        <v>4690</v>
      </c>
      <c r="N172" s="198">
        <v>6</v>
      </c>
      <c r="O172" s="31" t="s">
        <v>4602</v>
      </c>
    </row>
    <row r="173" spans="1:40" ht="15" customHeight="1" x14ac:dyDescent="0.3">
      <c r="A173" s="236" t="s">
        <v>3514</v>
      </c>
      <c r="B173" s="155" t="s">
        <v>4194</v>
      </c>
      <c r="C173" s="157" t="s">
        <v>287</v>
      </c>
      <c r="D173" s="251" t="s">
        <v>3124</v>
      </c>
      <c r="E173" s="45" t="s">
        <v>2986</v>
      </c>
      <c r="F173" s="45">
        <v>50</v>
      </c>
      <c r="G173" s="24" t="s">
        <v>3162</v>
      </c>
      <c r="H173" s="33" t="s">
        <v>4495</v>
      </c>
      <c r="I173" s="33" t="s">
        <v>4470</v>
      </c>
      <c r="J173" s="177" t="s">
        <v>4629</v>
      </c>
      <c r="K173" s="179">
        <v>5</v>
      </c>
      <c r="L173" s="197" t="s">
        <v>4730</v>
      </c>
      <c r="M173" s="197" t="s">
        <v>4690</v>
      </c>
      <c r="N173" s="198">
        <v>6</v>
      </c>
      <c r="O173" s="31" t="s">
        <v>4602</v>
      </c>
    </row>
    <row r="174" spans="1:40" s="5" customFormat="1" ht="15" customHeight="1" x14ac:dyDescent="0.3">
      <c r="A174" s="155" t="s">
        <v>3515</v>
      </c>
      <c r="B174" s="155" t="s">
        <v>4194</v>
      </c>
      <c r="C174" s="157" t="s">
        <v>288</v>
      </c>
      <c r="D174" s="251" t="s">
        <v>3124</v>
      </c>
      <c r="E174" s="45" t="s">
        <v>2986</v>
      </c>
      <c r="F174" s="45">
        <v>50</v>
      </c>
      <c r="G174" s="24" t="s">
        <v>3162</v>
      </c>
      <c r="H174" s="33" t="s">
        <v>4495</v>
      </c>
      <c r="I174" s="33" t="s">
        <v>4470</v>
      </c>
      <c r="J174" s="177" t="s">
        <v>4629</v>
      </c>
      <c r="K174" s="179">
        <v>6</v>
      </c>
      <c r="L174" s="197" t="s">
        <v>4730</v>
      </c>
      <c r="M174" s="197" t="s">
        <v>4690</v>
      </c>
      <c r="N174" s="198">
        <v>6</v>
      </c>
      <c r="O174" s="31" t="s">
        <v>4602</v>
      </c>
      <c r="P174" s="249"/>
      <c r="Q174" s="249"/>
      <c r="R174" s="249"/>
      <c r="S174" s="249"/>
      <c r="T174" s="249"/>
      <c r="U174" s="249"/>
      <c r="V174" s="249"/>
      <c r="W174" s="249"/>
      <c r="X174" s="249"/>
      <c r="Y174" s="249"/>
      <c r="Z174" s="249"/>
      <c r="AA174" s="249"/>
      <c r="AB174" s="249"/>
      <c r="AC174" s="249"/>
      <c r="AD174" s="249"/>
      <c r="AE174" s="249"/>
      <c r="AF174" s="249"/>
      <c r="AG174" s="249"/>
      <c r="AH174" s="249"/>
      <c r="AI174" s="249"/>
      <c r="AJ174" s="249"/>
      <c r="AK174" s="249"/>
      <c r="AL174" s="249"/>
      <c r="AM174" s="249"/>
      <c r="AN174" s="249"/>
    </row>
    <row r="175" spans="1:40" s="5" customFormat="1" ht="15" customHeight="1" x14ac:dyDescent="0.3">
      <c r="A175" s="155" t="s">
        <v>3516</v>
      </c>
      <c r="B175" s="155" t="s">
        <v>4196</v>
      </c>
      <c r="C175" s="157" t="s">
        <v>289</v>
      </c>
      <c r="D175" s="251" t="s">
        <v>3124</v>
      </c>
      <c r="E175" s="45" t="s">
        <v>2986</v>
      </c>
      <c r="F175" s="45">
        <v>50</v>
      </c>
      <c r="G175" s="24" t="s">
        <v>3163</v>
      </c>
      <c r="H175" s="33" t="s">
        <v>4499</v>
      </c>
      <c r="I175" s="33" t="s">
        <v>4470</v>
      </c>
      <c r="J175" s="177" t="s">
        <v>4637</v>
      </c>
      <c r="K175" s="179">
        <v>1</v>
      </c>
      <c r="L175" s="197" t="s">
        <v>4739</v>
      </c>
      <c r="M175" s="197" t="s">
        <v>4690</v>
      </c>
      <c r="N175" s="198">
        <v>6</v>
      </c>
      <c r="O175" s="31" t="s">
        <v>4602</v>
      </c>
      <c r="P175" s="249"/>
      <c r="Q175" s="249"/>
      <c r="R175" s="249"/>
      <c r="S175" s="249"/>
      <c r="T175" s="249"/>
      <c r="U175" s="249"/>
      <c r="V175" s="249"/>
      <c r="W175" s="249"/>
      <c r="X175" s="249"/>
      <c r="Y175" s="249"/>
      <c r="Z175" s="249"/>
      <c r="AA175" s="249"/>
      <c r="AB175" s="249"/>
      <c r="AC175" s="249"/>
      <c r="AD175" s="249"/>
      <c r="AE175" s="249"/>
      <c r="AF175" s="249"/>
      <c r="AG175" s="249"/>
      <c r="AH175" s="249"/>
      <c r="AI175" s="249"/>
      <c r="AJ175" s="249"/>
      <c r="AK175" s="249"/>
      <c r="AL175" s="249"/>
      <c r="AM175" s="249"/>
      <c r="AN175" s="249"/>
    </row>
    <row r="176" spans="1:40" s="5" customFormat="1" ht="15" customHeight="1" x14ac:dyDescent="0.3">
      <c r="A176" s="155" t="s">
        <v>3517</v>
      </c>
      <c r="B176" s="155" t="s">
        <v>4196</v>
      </c>
      <c r="C176" s="157" t="s">
        <v>290</v>
      </c>
      <c r="D176" s="251" t="s">
        <v>3124</v>
      </c>
      <c r="E176" s="45" t="s">
        <v>2986</v>
      </c>
      <c r="F176" s="45">
        <v>50</v>
      </c>
      <c r="G176" s="24" t="s">
        <v>3163</v>
      </c>
      <c r="H176" s="33" t="s">
        <v>4499</v>
      </c>
      <c r="I176" s="33" t="s">
        <v>4470</v>
      </c>
      <c r="J176" s="177" t="s">
        <v>4637</v>
      </c>
      <c r="K176" s="179">
        <v>2</v>
      </c>
      <c r="L176" s="197" t="s">
        <v>4739</v>
      </c>
      <c r="M176" s="197" t="s">
        <v>4690</v>
      </c>
      <c r="N176" s="198">
        <v>6</v>
      </c>
      <c r="O176" s="31" t="s">
        <v>4602</v>
      </c>
      <c r="P176" s="249"/>
      <c r="Q176" s="249"/>
      <c r="R176" s="249"/>
      <c r="S176" s="249"/>
      <c r="T176" s="249"/>
      <c r="U176" s="249"/>
      <c r="V176" s="249"/>
      <c r="W176" s="249"/>
      <c r="X176" s="249"/>
      <c r="Y176" s="249"/>
      <c r="Z176" s="249"/>
      <c r="AA176" s="249"/>
      <c r="AB176" s="249"/>
      <c r="AC176" s="249"/>
      <c r="AD176" s="249"/>
      <c r="AE176" s="249"/>
      <c r="AF176" s="249"/>
      <c r="AG176" s="249"/>
      <c r="AH176" s="249"/>
      <c r="AI176" s="249"/>
      <c r="AJ176" s="249"/>
      <c r="AK176" s="249"/>
      <c r="AL176" s="249"/>
      <c r="AM176" s="249"/>
      <c r="AN176" s="249"/>
    </row>
    <row r="177" spans="1:15" ht="15" customHeight="1" x14ac:dyDescent="0.3">
      <c r="A177" s="155" t="s">
        <v>3518</v>
      </c>
      <c r="B177" s="155" t="s">
        <v>4202</v>
      </c>
      <c r="C177" s="157" t="s">
        <v>291</v>
      </c>
      <c r="D177" s="251" t="s">
        <v>3124</v>
      </c>
      <c r="E177" s="45" t="s">
        <v>2986</v>
      </c>
      <c r="F177" s="45">
        <v>50</v>
      </c>
      <c r="G177" s="24" t="s">
        <v>3164</v>
      </c>
      <c r="H177" s="33" t="s">
        <v>4503</v>
      </c>
      <c r="I177" s="33" t="s">
        <v>4470</v>
      </c>
      <c r="J177" s="177" t="s">
        <v>4637</v>
      </c>
      <c r="K177" s="179">
        <v>3</v>
      </c>
      <c r="L177" s="197" t="s">
        <v>4748</v>
      </c>
      <c r="M177" s="197" t="s">
        <v>4690</v>
      </c>
      <c r="N177" s="198">
        <v>6</v>
      </c>
      <c r="O177" s="31" t="s">
        <v>4602</v>
      </c>
    </row>
    <row r="178" spans="1:15" ht="15" customHeight="1" x14ac:dyDescent="0.3">
      <c r="A178" s="155" t="s">
        <v>3519</v>
      </c>
      <c r="B178" s="155" t="s">
        <v>4202</v>
      </c>
      <c r="C178" s="157" t="s">
        <v>292</v>
      </c>
      <c r="D178" s="251" t="s">
        <v>3124</v>
      </c>
      <c r="E178" s="45" t="s">
        <v>2986</v>
      </c>
      <c r="F178" s="45">
        <v>50</v>
      </c>
      <c r="G178" s="24" t="s">
        <v>3164</v>
      </c>
      <c r="H178" s="33" t="s">
        <v>4503</v>
      </c>
      <c r="I178" s="33" t="s">
        <v>4470</v>
      </c>
      <c r="J178" s="177" t="s">
        <v>4637</v>
      </c>
      <c r="K178" s="179">
        <v>4</v>
      </c>
      <c r="L178" s="197" t="s">
        <v>4748</v>
      </c>
      <c r="M178" s="197" t="s">
        <v>4690</v>
      </c>
      <c r="N178" s="198">
        <v>6</v>
      </c>
      <c r="O178" s="31" t="s">
        <v>4602</v>
      </c>
    </row>
    <row r="179" spans="1:15" ht="15" customHeight="1" x14ac:dyDescent="0.3">
      <c r="A179" s="155" t="s">
        <v>3520</v>
      </c>
      <c r="B179" s="155" t="s">
        <v>4326</v>
      </c>
      <c r="C179" s="157" t="s">
        <v>293</v>
      </c>
      <c r="D179" s="251" t="s">
        <v>3124</v>
      </c>
      <c r="E179" s="45" t="s">
        <v>2986</v>
      </c>
      <c r="F179" s="45">
        <v>50</v>
      </c>
      <c r="G179" s="24" t="s">
        <v>3165</v>
      </c>
      <c r="H179" s="33" t="s">
        <v>4507</v>
      </c>
      <c r="I179" s="33" t="s">
        <v>4470</v>
      </c>
      <c r="J179" s="177" t="s">
        <v>4637</v>
      </c>
      <c r="K179" s="179">
        <v>5</v>
      </c>
      <c r="L179" s="197" t="s">
        <v>4757</v>
      </c>
      <c r="M179" s="197" t="s">
        <v>4690</v>
      </c>
      <c r="N179" s="198">
        <v>6</v>
      </c>
      <c r="O179" s="31" t="s">
        <v>4602</v>
      </c>
    </row>
    <row r="180" spans="1:15" ht="15" customHeight="1" x14ac:dyDescent="0.3">
      <c r="A180" s="155" t="s">
        <v>3521</v>
      </c>
      <c r="B180" s="155" t="s">
        <v>4326</v>
      </c>
      <c r="C180" s="157" t="s">
        <v>294</v>
      </c>
      <c r="D180" s="251" t="s">
        <v>3124</v>
      </c>
      <c r="E180" s="45" t="s">
        <v>2986</v>
      </c>
      <c r="F180" s="45">
        <v>50</v>
      </c>
      <c r="G180" s="24" t="s">
        <v>3165</v>
      </c>
      <c r="H180" s="33" t="s">
        <v>4507</v>
      </c>
      <c r="I180" s="33" t="s">
        <v>4470</v>
      </c>
      <c r="J180" s="177" t="s">
        <v>4637</v>
      </c>
      <c r="K180" s="179">
        <v>6</v>
      </c>
      <c r="L180" s="197" t="s">
        <v>4757</v>
      </c>
      <c r="M180" s="197" t="s">
        <v>4690</v>
      </c>
      <c r="N180" s="198">
        <v>6</v>
      </c>
      <c r="O180" s="31" t="s">
        <v>4602</v>
      </c>
    </row>
    <row r="181" spans="1:15" ht="15" customHeight="1" x14ac:dyDescent="0.3">
      <c r="A181" s="155" t="s">
        <v>3522</v>
      </c>
      <c r="B181" s="192" t="s">
        <v>4182</v>
      </c>
      <c r="C181" s="157" t="s">
        <v>295</v>
      </c>
      <c r="D181" s="251" t="s">
        <v>3124</v>
      </c>
      <c r="E181" s="45" t="s">
        <v>2986</v>
      </c>
      <c r="F181" s="45">
        <v>50</v>
      </c>
      <c r="G181" s="24" t="s">
        <v>3166</v>
      </c>
      <c r="H181" s="33" t="s">
        <v>4484</v>
      </c>
      <c r="I181" s="33" t="s">
        <v>4470</v>
      </c>
      <c r="J181" s="177" t="s">
        <v>4624</v>
      </c>
      <c r="K181" s="179">
        <v>1</v>
      </c>
      <c r="L181" s="197" t="s">
        <v>4711</v>
      </c>
      <c r="M181" s="197" t="s">
        <v>4697</v>
      </c>
      <c r="N181" s="198">
        <v>9</v>
      </c>
      <c r="O181" s="31" t="s">
        <v>4602</v>
      </c>
    </row>
    <row r="182" spans="1:15" ht="15" customHeight="1" x14ac:dyDescent="0.3">
      <c r="A182" s="228" t="s">
        <v>3523</v>
      </c>
      <c r="B182" s="192" t="s">
        <v>4182</v>
      </c>
      <c r="C182" s="157" t="s">
        <v>296</v>
      </c>
      <c r="D182" s="251" t="s">
        <v>3124</v>
      </c>
      <c r="E182" s="45" t="s">
        <v>2986</v>
      </c>
      <c r="F182" s="45">
        <v>50</v>
      </c>
      <c r="G182" s="24" t="s">
        <v>3166</v>
      </c>
      <c r="H182" s="33" t="s">
        <v>4484</v>
      </c>
      <c r="I182" s="33" t="s">
        <v>4470</v>
      </c>
      <c r="J182" s="177" t="s">
        <v>4624</v>
      </c>
      <c r="K182" s="179">
        <v>2</v>
      </c>
      <c r="L182" s="197" t="s">
        <v>4711</v>
      </c>
      <c r="M182" s="197" t="s">
        <v>4697</v>
      </c>
      <c r="N182" s="198">
        <v>9</v>
      </c>
      <c r="O182" s="31" t="s">
        <v>4602</v>
      </c>
    </row>
    <row r="183" spans="1:15" ht="15" customHeight="1" x14ac:dyDescent="0.3">
      <c r="A183" s="155" t="s">
        <v>3524</v>
      </c>
      <c r="B183" s="155" t="s">
        <v>4187</v>
      </c>
      <c r="C183" s="157" t="s">
        <v>297</v>
      </c>
      <c r="D183" s="251" t="s">
        <v>3124</v>
      </c>
      <c r="E183" s="45" t="s">
        <v>2986</v>
      </c>
      <c r="F183" s="45">
        <v>50</v>
      </c>
      <c r="G183" s="24" t="s">
        <v>3167</v>
      </c>
      <c r="H183" s="33" t="s">
        <v>4490</v>
      </c>
      <c r="I183" s="33" t="s">
        <v>4470</v>
      </c>
      <c r="J183" s="177" t="s">
        <v>4624</v>
      </c>
      <c r="K183" s="179">
        <v>3</v>
      </c>
      <c r="L183" s="197" t="s">
        <v>4720</v>
      </c>
      <c r="M183" s="197" t="s">
        <v>4697</v>
      </c>
      <c r="N183" s="198">
        <v>9</v>
      </c>
      <c r="O183" s="31" t="s">
        <v>4602</v>
      </c>
    </row>
    <row r="184" spans="1:15" ht="15" customHeight="1" x14ac:dyDescent="0.3">
      <c r="A184" s="155" t="s">
        <v>3525</v>
      </c>
      <c r="B184" s="155" t="s">
        <v>4187</v>
      </c>
      <c r="C184" s="157" t="s">
        <v>298</v>
      </c>
      <c r="D184" s="251" t="s">
        <v>3124</v>
      </c>
      <c r="E184" s="45" t="s">
        <v>2986</v>
      </c>
      <c r="F184" s="45">
        <v>50</v>
      </c>
      <c r="G184" s="24" t="s">
        <v>3167</v>
      </c>
      <c r="H184" s="33" t="s">
        <v>4490</v>
      </c>
      <c r="I184" s="33" t="s">
        <v>4470</v>
      </c>
      <c r="J184" s="177" t="s">
        <v>4624</v>
      </c>
      <c r="K184" s="179">
        <v>4</v>
      </c>
      <c r="L184" s="197" t="s">
        <v>4720</v>
      </c>
      <c r="M184" s="197" t="s">
        <v>4697</v>
      </c>
      <c r="N184" s="198">
        <v>9</v>
      </c>
      <c r="O184" s="31" t="s">
        <v>4602</v>
      </c>
    </row>
    <row r="185" spans="1:15" ht="15" customHeight="1" x14ac:dyDescent="0.3">
      <c r="A185" s="236" t="s">
        <v>3526</v>
      </c>
      <c r="B185" s="155" t="s">
        <v>4193</v>
      </c>
      <c r="C185" s="157" t="s">
        <v>299</v>
      </c>
      <c r="D185" s="251" t="s">
        <v>3124</v>
      </c>
      <c r="E185" s="45" t="s">
        <v>2986</v>
      </c>
      <c r="F185" s="45">
        <v>50</v>
      </c>
      <c r="G185" s="24" t="s">
        <v>3168</v>
      </c>
      <c r="H185" s="33" t="s">
        <v>4494</v>
      </c>
      <c r="I185" s="33" t="s">
        <v>4470</v>
      </c>
      <c r="J185" s="177" t="s">
        <v>4624</v>
      </c>
      <c r="K185" s="179">
        <v>5</v>
      </c>
      <c r="L185" s="197" t="s">
        <v>4729</v>
      </c>
      <c r="M185" s="197" t="s">
        <v>4697</v>
      </c>
      <c r="N185" s="198">
        <v>9</v>
      </c>
      <c r="O185" s="31" t="s">
        <v>4602</v>
      </c>
    </row>
    <row r="186" spans="1:15" ht="15" customHeight="1" x14ac:dyDescent="0.3">
      <c r="A186" s="155" t="s">
        <v>3527</v>
      </c>
      <c r="B186" s="155" t="s">
        <v>4193</v>
      </c>
      <c r="C186" s="157" t="s">
        <v>300</v>
      </c>
      <c r="D186" s="251" t="s">
        <v>3124</v>
      </c>
      <c r="E186" s="45" t="s">
        <v>2986</v>
      </c>
      <c r="F186" s="45">
        <v>50</v>
      </c>
      <c r="G186" s="24" t="s">
        <v>3168</v>
      </c>
      <c r="H186" s="33" t="s">
        <v>4494</v>
      </c>
      <c r="I186" s="33" t="s">
        <v>4470</v>
      </c>
      <c r="J186" s="177" t="s">
        <v>4624</v>
      </c>
      <c r="K186" s="179">
        <v>6</v>
      </c>
      <c r="L186" s="197" t="s">
        <v>4729</v>
      </c>
      <c r="M186" s="197" t="s">
        <v>4697</v>
      </c>
      <c r="N186" s="198">
        <v>9</v>
      </c>
      <c r="O186" s="31" t="s">
        <v>4602</v>
      </c>
    </row>
    <row r="187" spans="1:15" ht="15" customHeight="1" x14ac:dyDescent="0.3">
      <c r="A187" s="155" t="s">
        <v>3528</v>
      </c>
      <c r="B187" s="155" t="s">
        <v>4349</v>
      </c>
      <c r="C187" s="157" t="s">
        <v>301</v>
      </c>
      <c r="D187" s="251" t="s">
        <v>3124</v>
      </c>
      <c r="E187" s="45" t="s">
        <v>2986</v>
      </c>
      <c r="F187" s="45">
        <v>50</v>
      </c>
      <c r="G187" s="24" t="s">
        <v>3169</v>
      </c>
      <c r="H187" s="33" t="s">
        <v>4498</v>
      </c>
      <c r="I187" s="33" t="s">
        <v>4470</v>
      </c>
      <c r="J187" s="177" t="s">
        <v>4636</v>
      </c>
      <c r="K187" s="179">
        <v>1</v>
      </c>
      <c r="L187" s="197" t="s">
        <v>4738</v>
      </c>
      <c r="M187" s="197" t="s">
        <v>4697</v>
      </c>
      <c r="N187" s="198">
        <v>9</v>
      </c>
      <c r="O187" s="31" t="s">
        <v>4602</v>
      </c>
    </row>
    <row r="188" spans="1:15" ht="15" customHeight="1" x14ac:dyDescent="0.3">
      <c r="A188" s="155" t="s">
        <v>3529</v>
      </c>
      <c r="B188" s="155" t="s">
        <v>4349</v>
      </c>
      <c r="C188" s="157" t="s">
        <v>302</v>
      </c>
      <c r="D188" s="251" t="s">
        <v>3124</v>
      </c>
      <c r="E188" s="45" t="s">
        <v>2986</v>
      </c>
      <c r="F188" s="45">
        <v>50</v>
      </c>
      <c r="G188" s="24" t="s">
        <v>3169</v>
      </c>
      <c r="H188" s="33" t="s">
        <v>4498</v>
      </c>
      <c r="I188" s="33" t="s">
        <v>4470</v>
      </c>
      <c r="J188" s="177" t="s">
        <v>4636</v>
      </c>
      <c r="K188" s="179">
        <v>2</v>
      </c>
      <c r="L188" s="197" t="s">
        <v>4738</v>
      </c>
      <c r="M188" s="197" t="s">
        <v>4697</v>
      </c>
      <c r="N188" s="198">
        <v>9</v>
      </c>
      <c r="O188" s="31" t="s">
        <v>4602</v>
      </c>
    </row>
    <row r="189" spans="1:15" ht="15" customHeight="1" x14ac:dyDescent="0.3">
      <c r="A189" s="155" t="s">
        <v>3530</v>
      </c>
      <c r="B189" s="155" t="s">
        <v>4201</v>
      </c>
      <c r="C189" s="157" t="s">
        <v>303</v>
      </c>
      <c r="D189" s="251" t="s">
        <v>3124</v>
      </c>
      <c r="E189" s="45" t="s">
        <v>2986</v>
      </c>
      <c r="F189" s="45">
        <v>50</v>
      </c>
      <c r="G189" s="24" t="s">
        <v>3170</v>
      </c>
      <c r="H189" s="33" t="s">
        <v>4502</v>
      </c>
      <c r="I189" s="33" t="s">
        <v>4470</v>
      </c>
      <c r="J189" s="177" t="s">
        <v>4636</v>
      </c>
      <c r="K189" s="179">
        <v>3</v>
      </c>
      <c r="L189" s="197" t="s">
        <v>4747</v>
      </c>
      <c r="M189" s="197" t="s">
        <v>4697</v>
      </c>
      <c r="N189" s="198">
        <v>9</v>
      </c>
      <c r="O189" s="31" t="s">
        <v>4602</v>
      </c>
    </row>
    <row r="190" spans="1:15" ht="15" customHeight="1" x14ac:dyDescent="0.3">
      <c r="A190" s="155" t="s">
        <v>3531</v>
      </c>
      <c r="B190" s="155" t="s">
        <v>4201</v>
      </c>
      <c r="C190" s="157" t="s">
        <v>304</v>
      </c>
      <c r="D190" s="251" t="s">
        <v>3124</v>
      </c>
      <c r="E190" s="45" t="s">
        <v>2986</v>
      </c>
      <c r="F190" s="45">
        <v>50</v>
      </c>
      <c r="G190" s="24" t="s">
        <v>3170</v>
      </c>
      <c r="H190" s="33" t="s">
        <v>4320</v>
      </c>
      <c r="I190" s="33" t="s">
        <v>4470</v>
      </c>
      <c r="J190" s="177" t="s">
        <v>4636</v>
      </c>
      <c r="K190" s="179">
        <v>4</v>
      </c>
      <c r="L190" s="197" t="s">
        <v>4747</v>
      </c>
      <c r="M190" s="197" t="s">
        <v>4697</v>
      </c>
      <c r="N190" s="198">
        <v>9</v>
      </c>
      <c r="O190" s="31" t="s">
        <v>4602</v>
      </c>
    </row>
    <row r="191" spans="1:15" ht="15" customHeight="1" x14ac:dyDescent="0.3">
      <c r="A191" s="155" t="s">
        <v>3532</v>
      </c>
      <c r="B191" s="155" t="s">
        <v>4325</v>
      </c>
      <c r="C191" s="157" t="s">
        <v>305</v>
      </c>
      <c r="D191" s="251" t="s">
        <v>3124</v>
      </c>
      <c r="E191" s="45" t="s">
        <v>2986</v>
      </c>
      <c r="F191" s="45">
        <v>50</v>
      </c>
      <c r="G191" s="24" t="s">
        <v>3171</v>
      </c>
      <c r="H191" s="33" t="s">
        <v>4506</v>
      </c>
      <c r="I191" s="33" t="s">
        <v>4470</v>
      </c>
      <c r="J191" s="177" t="s">
        <v>4636</v>
      </c>
      <c r="K191" s="179">
        <v>5</v>
      </c>
      <c r="L191" s="197" t="s">
        <v>4756</v>
      </c>
      <c r="M191" s="197" t="s">
        <v>4697</v>
      </c>
      <c r="N191" s="198">
        <v>9</v>
      </c>
      <c r="O191" s="31" t="s">
        <v>4602</v>
      </c>
    </row>
    <row r="192" spans="1:15" ht="15" customHeight="1" x14ac:dyDescent="0.3">
      <c r="A192" s="155" t="s">
        <v>3533</v>
      </c>
      <c r="B192" s="155" t="s">
        <v>4325</v>
      </c>
      <c r="C192" s="157" t="s">
        <v>306</v>
      </c>
      <c r="D192" s="251" t="s">
        <v>3124</v>
      </c>
      <c r="E192" s="45" t="s">
        <v>2986</v>
      </c>
      <c r="F192" s="45">
        <v>50</v>
      </c>
      <c r="G192" s="24" t="s">
        <v>3171</v>
      </c>
      <c r="H192" s="33" t="s">
        <v>4506</v>
      </c>
      <c r="I192" s="33" t="s">
        <v>4470</v>
      </c>
      <c r="J192" s="177" t="s">
        <v>4636</v>
      </c>
      <c r="K192" s="179">
        <v>6</v>
      </c>
      <c r="L192" s="197" t="s">
        <v>4756</v>
      </c>
      <c r="M192" s="197" t="s">
        <v>4697</v>
      </c>
      <c r="N192" s="198">
        <v>9</v>
      </c>
      <c r="O192" s="31" t="s">
        <v>4602</v>
      </c>
    </row>
    <row r="193" spans="1:15" ht="15" customHeight="1" x14ac:dyDescent="0.3">
      <c r="A193" s="258" t="s">
        <v>4181</v>
      </c>
      <c r="B193" s="192" t="s">
        <v>4182</v>
      </c>
      <c r="C193" s="259" t="s">
        <v>307</v>
      </c>
      <c r="D193" s="45" t="s">
        <v>3124</v>
      </c>
      <c r="E193" s="45" t="s">
        <v>2986</v>
      </c>
      <c r="F193" s="45"/>
      <c r="G193" s="24" t="s">
        <v>3172</v>
      </c>
      <c r="H193" s="33" t="s">
        <v>4484</v>
      </c>
      <c r="I193" s="33" t="s">
        <v>4470</v>
      </c>
      <c r="J193" s="177" t="s">
        <v>4628</v>
      </c>
      <c r="K193" s="179">
        <v>5</v>
      </c>
      <c r="L193" s="197" t="s">
        <v>4711</v>
      </c>
      <c r="M193" s="197" t="s">
        <v>4697</v>
      </c>
      <c r="N193" s="198">
        <v>9</v>
      </c>
      <c r="O193" s="31" t="s">
        <v>4602</v>
      </c>
    </row>
    <row r="194" spans="1:15" ht="15" customHeight="1" x14ac:dyDescent="0.3">
      <c r="A194" s="258" t="s">
        <v>4186</v>
      </c>
      <c r="B194" s="155" t="s">
        <v>4187</v>
      </c>
      <c r="C194" s="259" t="s">
        <v>308</v>
      </c>
      <c r="D194" s="45" t="s">
        <v>3124</v>
      </c>
      <c r="E194" s="45" t="s">
        <v>2986</v>
      </c>
      <c r="F194" s="45"/>
      <c r="G194" s="24" t="s">
        <v>3173</v>
      </c>
      <c r="H194" s="33" t="s">
        <v>4490</v>
      </c>
      <c r="I194" s="33" t="s">
        <v>4470</v>
      </c>
      <c r="J194" s="177" t="s">
        <v>4628</v>
      </c>
      <c r="K194" s="179">
        <v>6</v>
      </c>
      <c r="L194" s="197" t="s">
        <v>4720</v>
      </c>
      <c r="M194" s="197" t="s">
        <v>4697</v>
      </c>
      <c r="N194" s="198">
        <v>9</v>
      </c>
      <c r="O194" s="31" t="s">
        <v>4602</v>
      </c>
    </row>
    <row r="195" spans="1:15" ht="15" customHeight="1" x14ac:dyDescent="0.3">
      <c r="A195" s="258" t="s">
        <v>4191</v>
      </c>
      <c r="B195" s="155" t="s">
        <v>4193</v>
      </c>
      <c r="C195" s="259" t="s">
        <v>309</v>
      </c>
      <c r="D195" s="45" t="s">
        <v>3124</v>
      </c>
      <c r="E195" s="45" t="s">
        <v>2986</v>
      </c>
      <c r="F195" s="45"/>
      <c r="G195" s="24" t="s">
        <v>3174</v>
      </c>
      <c r="H195" s="33" t="s">
        <v>4494</v>
      </c>
      <c r="I195" s="33" t="s">
        <v>4470</v>
      </c>
      <c r="J195" s="177" t="s">
        <v>4628</v>
      </c>
      <c r="K195" s="179">
        <v>7</v>
      </c>
      <c r="L195" s="197" t="s">
        <v>4729</v>
      </c>
      <c r="M195" s="197" t="s">
        <v>4697</v>
      </c>
      <c r="N195" s="198">
        <v>9</v>
      </c>
      <c r="O195" s="31" t="s">
        <v>4602</v>
      </c>
    </row>
    <row r="196" spans="1:15" ht="15" customHeight="1" x14ac:dyDescent="0.3">
      <c r="A196" s="258" t="s">
        <v>4192</v>
      </c>
      <c r="B196" s="155" t="s">
        <v>4349</v>
      </c>
      <c r="C196" s="259" t="s">
        <v>310</v>
      </c>
      <c r="D196" s="45" t="s">
        <v>3124</v>
      </c>
      <c r="E196" s="45" t="s">
        <v>2986</v>
      </c>
      <c r="F196" s="45"/>
      <c r="G196" s="24" t="s">
        <v>3175</v>
      </c>
      <c r="H196" s="33" t="s">
        <v>4498</v>
      </c>
      <c r="I196" s="33" t="s">
        <v>4470</v>
      </c>
      <c r="J196" s="177" t="s">
        <v>4628</v>
      </c>
      <c r="K196" s="179">
        <v>8</v>
      </c>
      <c r="L196" s="197" t="s">
        <v>4738</v>
      </c>
      <c r="M196" s="197" t="s">
        <v>4697</v>
      </c>
      <c r="N196" s="198">
        <v>9</v>
      </c>
      <c r="O196" s="31" t="s">
        <v>4602</v>
      </c>
    </row>
    <row r="197" spans="1:15" ht="15" customHeight="1" x14ac:dyDescent="0.3">
      <c r="A197" s="258" t="s">
        <v>4199</v>
      </c>
      <c r="B197" s="155" t="s">
        <v>4201</v>
      </c>
      <c r="C197" s="259" t="s">
        <v>311</v>
      </c>
      <c r="D197" s="45" t="s">
        <v>3124</v>
      </c>
      <c r="E197" s="45" t="s">
        <v>2986</v>
      </c>
      <c r="F197" s="45"/>
      <c r="G197" s="24" t="s">
        <v>3176</v>
      </c>
      <c r="H197" s="33" t="s">
        <v>4321</v>
      </c>
      <c r="I197" s="33" t="s">
        <v>4470</v>
      </c>
      <c r="J197" s="177" t="s">
        <v>4637</v>
      </c>
      <c r="K197" s="179">
        <v>7</v>
      </c>
      <c r="L197" s="197" t="s">
        <v>4747</v>
      </c>
      <c r="M197" s="197" t="s">
        <v>4697</v>
      </c>
      <c r="N197" s="198">
        <v>9</v>
      </c>
      <c r="O197" s="31" t="s">
        <v>4602</v>
      </c>
    </row>
    <row r="198" spans="1:15" ht="15" customHeight="1" x14ac:dyDescent="0.3">
      <c r="A198" s="258" t="s">
        <v>4200</v>
      </c>
      <c r="B198" s="155" t="s">
        <v>4325</v>
      </c>
      <c r="C198" s="259" t="s">
        <v>312</v>
      </c>
      <c r="D198" s="45" t="s">
        <v>3124</v>
      </c>
      <c r="E198" s="45" t="s">
        <v>2986</v>
      </c>
      <c r="F198" s="45"/>
      <c r="G198" s="24" t="s">
        <v>3177</v>
      </c>
      <c r="H198" s="33" t="s">
        <v>4506</v>
      </c>
      <c r="I198" s="33" t="s">
        <v>4470</v>
      </c>
      <c r="J198" s="177" t="s">
        <v>4637</v>
      </c>
      <c r="K198" s="179">
        <v>8</v>
      </c>
      <c r="L198" s="197" t="s">
        <v>4756</v>
      </c>
      <c r="M198" s="197" t="s">
        <v>4697</v>
      </c>
      <c r="N198" s="198">
        <v>9</v>
      </c>
      <c r="O198" s="31" t="s">
        <v>4602</v>
      </c>
    </row>
    <row r="199" spans="1:15" ht="15" customHeight="1" x14ac:dyDescent="0.3">
      <c r="A199" s="155" t="s">
        <v>3617</v>
      </c>
      <c r="B199" s="192" t="s">
        <v>4346</v>
      </c>
      <c r="C199" s="157" t="s">
        <v>432</v>
      </c>
      <c r="D199" s="251" t="s">
        <v>3124</v>
      </c>
      <c r="E199" s="45" t="s">
        <v>2986</v>
      </c>
      <c r="F199" s="45">
        <v>90</v>
      </c>
      <c r="G199" s="24" t="s">
        <v>3136</v>
      </c>
      <c r="H199" s="192" t="s">
        <v>4346</v>
      </c>
      <c r="I199" s="33" t="s">
        <v>4462</v>
      </c>
      <c r="J199" s="177" t="s">
        <v>4584</v>
      </c>
      <c r="K199" s="179">
        <v>4</v>
      </c>
      <c r="L199" s="197" t="s">
        <v>4775</v>
      </c>
      <c r="M199" s="197" t="s">
        <v>4469</v>
      </c>
      <c r="N199" s="198">
        <v>3</v>
      </c>
      <c r="O199" s="31" t="s">
        <v>4604</v>
      </c>
    </row>
    <row r="200" spans="1:15" ht="15" customHeight="1" x14ac:dyDescent="0.3">
      <c r="A200" s="258" t="s">
        <v>4370</v>
      </c>
      <c r="B200" s="192" t="s">
        <v>4346</v>
      </c>
      <c r="C200" s="260" t="s">
        <v>3252</v>
      </c>
      <c r="D200" s="166" t="s">
        <v>3124</v>
      </c>
      <c r="E200" s="45" t="s">
        <v>2986</v>
      </c>
      <c r="F200" s="45"/>
      <c r="G200" s="24" t="s">
        <v>3253</v>
      </c>
      <c r="H200" s="192" t="s">
        <v>4346</v>
      </c>
      <c r="I200" s="33" t="s">
        <v>4462</v>
      </c>
      <c r="J200" s="177" t="s">
        <v>4584</v>
      </c>
      <c r="K200" s="179">
        <v>6</v>
      </c>
      <c r="L200" s="197" t="s">
        <v>4776</v>
      </c>
      <c r="M200" s="197" t="s">
        <v>4469</v>
      </c>
      <c r="N200" s="198">
        <v>3</v>
      </c>
      <c r="O200" s="31" t="s">
        <v>4604</v>
      </c>
    </row>
    <row r="201" spans="1:15" ht="15" customHeight="1" x14ac:dyDescent="0.3">
      <c r="A201" s="261" t="s">
        <v>3289</v>
      </c>
      <c r="B201" s="192" t="s">
        <v>4346</v>
      </c>
      <c r="C201" s="250" t="s">
        <v>430</v>
      </c>
      <c r="D201" s="251" t="s">
        <v>3124</v>
      </c>
      <c r="E201" s="45" t="s">
        <v>2986</v>
      </c>
      <c r="F201" s="262" t="s">
        <v>3122</v>
      </c>
      <c r="G201" s="24" t="s">
        <v>3123</v>
      </c>
      <c r="H201" s="192" t="s">
        <v>4346</v>
      </c>
      <c r="I201" s="33" t="s">
        <v>4462</v>
      </c>
      <c r="J201" s="177" t="s">
        <v>4584</v>
      </c>
      <c r="K201" s="179">
        <v>5</v>
      </c>
      <c r="L201" s="197" t="s">
        <v>4777</v>
      </c>
      <c r="M201" s="197" t="s">
        <v>4469</v>
      </c>
      <c r="N201" s="198">
        <v>3</v>
      </c>
      <c r="O201" s="31" t="s">
        <v>4604</v>
      </c>
    </row>
    <row r="202" spans="1:15" ht="15" customHeight="1" x14ac:dyDescent="0.3">
      <c r="A202" s="155" t="s">
        <v>3284</v>
      </c>
      <c r="B202" s="192" t="s">
        <v>4346</v>
      </c>
      <c r="C202" s="155" t="s">
        <v>3286</v>
      </c>
      <c r="D202" s="251" t="s">
        <v>3124</v>
      </c>
      <c r="E202" s="45" t="s">
        <v>2986</v>
      </c>
      <c r="F202" s="45">
        <v>50</v>
      </c>
      <c r="G202" s="24" t="s">
        <v>3178</v>
      </c>
      <c r="H202" s="192" t="s">
        <v>4346</v>
      </c>
      <c r="I202" s="33" t="s">
        <v>4470</v>
      </c>
      <c r="J202" s="177" t="s">
        <v>4641</v>
      </c>
      <c r="K202" s="179">
        <v>5</v>
      </c>
      <c r="L202" s="197" t="s">
        <v>4778</v>
      </c>
      <c r="M202" s="197" t="s">
        <v>4469</v>
      </c>
      <c r="N202" s="198">
        <v>3</v>
      </c>
      <c r="O202" s="31" t="s">
        <v>4602</v>
      </c>
    </row>
    <row r="203" spans="1:15" ht="15" customHeight="1" x14ac:dyDescent="0.3">
      <c r="A203" s="155" t="s">
        <v>3285</v>
      </c>
      <c r="B203" s="192" t="s">
        <v>4346</v>
      </c>
      <c r="C203" s="155" t="s">
        <v>3286</v>
      </c>
      <c r="D203" s="251" t="s">
        <v>3124</v>
      </c>
      <c r="E203" s="45" t="s">
        <v>2986</v>
      </c>
      <c r="F203" s="45">
        <v>50</v>
      </c>
      <c r="G203" s="24" t="s">
        <v>3178</v>
      </c>
      <c r="H203" s="192" t="s">
        <v>4346</v>
      </c>
      <c r="I203" s="33" t="s">
        <v>4470</v>
      </c>
      <c r="J203" s="177" t="s">
        <v>4641</v>
      </c>
      <c r="K203" s="179">
        <v>6</v>
      </c>
      <c r="L203" s="197" t="s">
        <v>4779</v>
      </c>
      <c r="M203" s="197" t="s">
        <v>4469</v>
      </c>
      <c r="N203" s="198">
        <v>3</v>
      </c>
      <c r="O203" s="31" t="s">
        <v>4602</v>
      </c>
    </row>
    <row r="204" spans="1:15" ht="15" customHeight="1" x14ac:dyDescent="0.3">
      <c r="A204" s="155" t="s">
        <v>3295</v>
      </c>
      <c r="B204" s="155" t="s">
        <v>4373</v>
      </c>
      <c r="C204" s="157" t="s">
        <v>327</v>
      </c>
      <c r="D204" s="45" t="s">
        <v>3124</v>
      </c>
      <c r="E204" s="45" t="s">
        <v>2987</v>
      </c>
      <c r="F204" s="45">
        <v>55</v>
      </c>
      <c r="G204" s="24" t="s">
        <v>3186</v>
      </c>
      <c r="H204" s="33" t="s">
        <v>4522</v>
      </c>
      <c r="I204" s="33" t="s">
        <v>4523</v>
      </c>
      <c r="J204" s="177" t="s">
        <v>4649</v>
      </c>
      <c r="K204" s="179">
        <v>1</v>
      </c>
      <c r="L204" s="197" t="s">
        <v>4802</v>
      </c>
      <c r="M204" s="197" t="s">
        <v>4661</v>
      </c>
      <c r="N204" s="198">
        <v>24</v>
      </c>
      <c r="O204" s="31" t="s">
        <v>4604</v>
      </c>
    </row>
    <row r="205" spans="1:15" ht="15" customHeight="1" x14ac:dyDescent="0.3">
      <c r="A205" s="155" t="s">
        <v>3296</v>
      </c>
      <c r="B205" s="155" t="s">
        <v>4373</v>
      </c>
      <c r="C205" s="157" t="s">
        <v>328</v>
      </c>
      <c r="D205" s="45" t="s">
        <v>3124</v>
      </c>
      <c r="E205" s="45" t="s">
        <v>2987</v>
      </c>
      <c r="F205" s="45">
        <v>55</v>
      </c>
      <c r="G205" s="24" t="s">
        <v>3186</v>
      </c>
      <c r="H205" s="33" t="s">
        <v>4522</v>
      </c>
      <c r="I205" s="33" t="s">
        <v>4523</v>
      </c>
      <c r="J205" s="177" t="s">
        <v>4649</v>
      </c>
      <c r="K205" s="179">
        <v>2</v>
      </c>
      <c r="L205" s="197" t="s">
        <v>4802</v>
      </c>
      <c r="M205" s="197" t="s">
        <v>4661</v>
      </c>
      <c r="N205" s="198">
        <v>24</v>
      </c>
      <c r="O205" s="31" t="s">
        <v>4604</v>
      </c>
    </row>
    <row r="206" spans="1:15" ht="15" customHeight="1" x14ac:dyDescent="0.3">
      <c r="A206" s="155" t="s">
        <v>3297</v>
      </c>
      <c r="B206" s="155" t="s">
        <v>4373</v>
      </c>
      <c r="C206" s="157" t="s">
        <v>329</v>
      </c>
      <c r="D206" s="45" t="s">
        <v>3124</v>
      </c>
      <c r="E206" s="45" t="s">
        <v>2987</v>
      </c>
      <c r="F206" s="45">
        <v>55</v>
      </c>
      <c r="G206" s="24" t="s">
        <v>3186</v>
      </c>
      <c r="H206" s="33" t="s">
        <v>4522</v>
      </c>
      <c r="I206" s="33" t="s">
        <v>4523</v>
      </c>
      <c r="J206" s="177" t="s">
        <v>4649</v>
      </c>
      <c r="K206" s="179">
        <v>3</v>
      </c>
      <c r="L206" s="197" t="s">
        <v>4802</v>
      </c>
      <c r="M206" s="197" t="s">
        <v>4661</v>
      </c>
      <c r="N206" s="198">
        <v>24</v>
      </c>
      <c r="O206" s="31" t="s">
        <v>4604</v>
      </c>
    </row>
    <row r="207" spans="1:15" ht="15" customHeight="1" x14ac:dyDescent="0.3">
      <c r="A207" s="155" t="s">
        <v>3298</v>
      </c>
      <c r="B207" s="155" t="s">
        <v>4373</v>
      </c>
      <c r="C207" s="157" t="s">
        <v>330</v>
      </c>
      <c r="D207" s="45" t="s">
        <v>3124</v>
      </c>
      <c r="E207" s="45" t="s">
        <v>2987</v>
      </c>
      <c r="F207" s="45">
        <v>55</v>
      </c>
      <c r="G207" s="24" t="s">
        <v>3186</v>
      </c>
      <c r="H207" s="33" t="s">
        <v>4522</v>
      </c>
      <c r="I207" s="33" t="s">
        <v>4523</v>
      </c>
      <c r="J207" s="177" t="s">
        <v>4649</v>
      </c>
      <c r="K207" s="179">
        <v>4</v>
      </c>
      <c r="L207" s="197" t="s">
        <v>4802</v>
      </c>
      <c r="M207" s="197" t="s">
        <v>4661</v>
      </c>
      <c r="N207" s="198">
        <v>24</v>
      </c>
      <c r="O207" s="31" t="s">
        <v>4604</v>
      </c>
    </row>
    <row r="208" spans="1:15" ht="15" customHeight="1" x14ac:dyDescent="0.3">
      <c r="A208" s="155" t="s">
        <v>3299</v>
      </c>
      <c r="B208" s="155" t="s">
        <v>4373</v>
      </c>
      <c r="C208" s="157" t="s">
        <v>932</v>
      </c>
      <c r="D208" s="45" t="s">
        <v>3124</v>
      </c>
      <c r="E208" s="45" t="s">
        <v>2987</v>
      </c>
      <c r="F208" s="45">
        <v>55</v>
      </c>
      <c r="G208" s="24" t="s">
        <v>3186</v>
      </c>
      <c r="H208" s="33" t="s">
        <v>4522</v>
      </c>
      <c r="I208" s="33" t="s">
        <v>4523</v>
      </c>
      <c r="J208" s="177" t="s">
        <v>4649</v>
      </c>
      <c r="K208" s="179">
        <v>5</v>
      </c>
      <c r="L208" s="197" t="s">
        <v>4802</v>
      </c>
      <c r="M208" s="197" t="s">
        <v>4661</v>
      </c>
      <c r="N208" s="198">
        <v>24</v>
      </c>
      <c r="O208" s="31" t="s">
        <v>4604</v>
      </c>
    </row>
    <row r="209" spans="1:15" ht="15" customHeight="1" x14ac:dyDescent="0.3">
      <c r="A209" s="155" t="s">
        <v>3300</v>
      </c>
      <c r="B209" s="155" t="s">
        <v>4373</v>
      </c>
      <c r="C209" s="157" t="s">
        <v>331</v>
      </c>
      <c r="D209" s="45" t="s">
        <v>3124</v>
      </c>
      <c r="E209" s="45" t="s">
        <v>2987</v>
      </c>
      <c r="F209" s="45">
        <v>55</v>
      </c>
      <c r="G209" s="24" t="s">
        <v>3186</v>
      </c>
      <c r="H209" s="33" t="s">
        <v>4522</v>
      </c>
      <c r="I209" s="33" t="s">
        <v>4523</v>
      </c>
      <c r="J209" s="177" t="s">
        <v>4649</v>
      </c>
      <c r="K209" s="179">
        <v>6</v>
      </c>
      <c r="L209" s="197" t="s">
        <v>4802</v>
      </c>
      <c r="M209" s="197" t="s">
        <v>4661</v>
      </c>
      <c r="N209" s="198">
        <v>24</v>
      </c>
      <c r="O209" s="31" t="s">
        <v>4604</v>
      </c>
    </row>
    <row r="210" spans="1:15" ht="15" customHeight="1" x14ac:dyDescent="0.3">
      <c r="A210" s="155" t="s">
        <v>3301</v>
      </c>
      <c r="B210" s="155" t="s">
        <v>4373</v>
      </c>
      <c r="C210" s="157" t="s">
        <v>332</v>
      </c>
      <c r="D210" s="45" t="s">
        <v>3124</v>
      </c>
      <c r="E210" s="45" t="s">
        <v>2987</v>
      </c>
      <c r="F210" s="45">
        <v>55</v>
      </c>
      <c r="G210" s="24" t="s">
        <v>3186</v>
      </c>
      <c r="H210" s="33" t="s">
        <v>4522</v>
      </c>
      <c r="I210" s="33" t="s">
        <v>4523</v>
      </c>
      <c r="J210" s="177" t="s">
        <v>4649</v>
      </c>
      <c r="K210" s="179">
        <v>7</v>
      </c>
      <c r="L210" s="197" t="s">
        <v>4802</v>
      </c>
      <c r="M210" s="197" t="s">
        <v>4661</v>
      </c>
      <c r="N210" s="198">
        <v>24</v>
      </c>
      <c r="O210" s="31" t="s">
        <v>4604</v>
      </c>
    </row>
    <row r="211" spans="1:15" ht="15" customHeight="1" x14ac:dyDescent="0.3">
      <c r="A211" s="258" t="s">
        <v>4374</v>
      </c>
      <c r="B211" s="155" t="s">
        <v>4373</v>
      </c>
      <c r="C211" s="248" t="s">
        <v>333</v>
      </c>
      <c r="D211" s="45" t="s">
        <v>3124</v>
      </c>
      <c r="E211" s="45" t="s">
        <v>2987</v>
      </c>
      <c r="F211" s="45">
        <v>55</v>
      </c>
      <c r="G211" s="24" t="s">
        <v>3186</v>
      </c>
      <c r="H211" s="33" t="s">
        <v>4522</v>
      </c>
      <c r="I211" s="33" t="s">
        <v>4523</v>
      </c>
      <c r="J211" s="177" t="s">
        <v>4649</v>
      </c>
      <c r="K211" s="179">
        <v>8</v>
      </c>
      <c r="L211" s="197" t="s">
        <v>4802</v>
      </c>
      <c r="M211" s="197" t="s">
        <v>4661</v>
      </c>
      <c r="N211" s="198">
        <v>24</v>
      </c>
      <c r="O211" s="31" t="s">
        <v>4604</v>
      </c>
    </row>
    <row r="212" spans="1:15" ht="15" customHeight="1" x14ac:dyDescent="0.3">
      <c r="A212" s="155" t="s">
        <v>3302</v>
      </c>
      <c r="B212" s="155" t="s">
        <v>4373</v>
      </c>
      <c r="C212" s="157" t="s">
        <v>313</v>
      </c>
      <c r="D212" s="45" t="s">
        <v>3124</v>
      </c>
      <c r="E212" s="45" t="s">
        <v>2987</v>
      </c>
      <c r="F212" s="45">
        <v>55</v>
      </c>
      <c r="G212" s="24" t="s">
        <v>3179</v>
      </c>
      <c r="H212" s="33" t="s">
        <v>4522</v>
      </c>
      <c r="I212" s="33" t="s">
        <v>4523</v>
      </c>
      <c r="J212" s="177" t="s">
        <v>4650</v>
      </c>
      <c r="K212" s="179">
        <v>1</v>
      </c>
      <c r="L212" s="197" t="s">
        <v>4803</v>
      </c>
      <c r="M212" s="197" t="s">
        <v>4661</v>
      </c>
      <c r="N212" s="198">
        <v>24</v>
      </c>
      <c r="O212" s="31" t="s">
        <v>4604</v>
      </c>
    </row>
    <row r="213" spans="1:15" ht="15" customHeight="1" x14ac:dyDescent="0.3">
      <c r="A213" s="155" t="s">
        <v>3303</v>
      </c>
      <c r="B213" s="155" t="s">
        <v>4373</v>
      </c>
      <c r="C213" s="157" t="s">
        <v>314</v>
      </c>
      <c r="D213" s="45" t="s">
        <v>3124</v>
      </c>
      <c r="E213" s="45" t="s">
        <v>2987</v>
      </c>
      <c r="F213" s="45">
        <v>55</v>
      </c>
      <c r="G213" s="24" t="s">
        <v>3179</v>
      </c>
      <c r="H213" s="33" t="s">
        <v>4522</v>
      </c>
      <c r="I213" s="33" t="s">
        <v>4523</v>
      </c>
      <c r="J213" s="177" t="s">
        <v>4650</v>
      </c>
      <c r="K213" s="179">
        <v>2</v>
      </c>
      <c r="L213" s="197" t="s">
        <v>4803</v>
      </c>
      <c r="M213" s="197" t="s">
        <v>4661</v>
      </c>
      <c r="N213" s="198">
        <v>24</v>
      </c>
      <c r="O213" s="31" t="s">
        <v>4604</v>
      </c>
    </row>
    <row r="214" spans="1:15" ht="15" customHeight="1" x14ac:dyDescent="0.3">
      <c r="A214" s="155" t="s">
        <v>3304</v>
      </c>
      <c r="B214" s="155" t="s">
        <v>4373</v>
      </c>
      <c r="C214" s="157" t="s">
        <v>315</v>
      </c>
      <c r="D214" s="45" t="s">
        <v>3124</v>
      </c>
      <c r="E214" s="45" t="s">
        <v>2987</v>
      </c>
      <c r="F214" s="45">
        <v>55</v>
      </c>
      <c r="G214" s="24" t="s">
        <v>3179</v>
      </c>
      <c r="H214" s="33" t="s">
        <v>4522</v>
      </c>
      <c r="I214" s="33" t="s">
        <v>4523</v>
      </c>
      <c r="J214" s="177" t="s">
        <v>4650</v>
      </c>
      <c r="K214" s="179">
        <v>3</v>
      </c>
      <c r="L214" s="197" t="s">
        <v>4803</v>
      </c>
      <c r="M214" s="197" t="s">
        <v>4661</v>
      </c>
      <c r="N214" s="198">
        <v>24</v>
      </c>
      <c r="O214" s="31" t="s">
        <v>4604</v>
      </c>
    </row>
    <row r="215" spans="1:15" ht="15" customHeight="1" x14ac:dyDescent="0.3">
      <c r="A215" s="155" t="s">
        <v>3305</v>
      </c>
      <c r="B215" s="155" t="s">
        <v>4373</v>
      </c>
      <c r="C215" s="157" t="s">
        <v>316</v>
      </c>
      <c r="D215" s="45" t="s">
        <v>3124</v>
      </c>
      <c r="E215" s="45" t="s">
        <v>2987</v>
      </c>
      <c r="F215" s="45">
        <v>55</v>
      </c>
      <c r="G215" s="24" t="s">
        <v>3179</v>
      </c>
      <c r="H215" s="33" t="s">
        <v>4522</v>
      </c>
      <c r="I215" s="33" t="s">
        <v>4523</v>
      </c>
      <c r="J215" s="177" t="s">
        <v>4650</v>
      </c>
      <c r="K215" s="179">
        <v>4</v>
      </c>
      <c r="L215" s="197" t="s">
        <v>4803</v>
      </c>
      <c r="M215" s="197" t="s">
        <v>4661</v>
      </c>
      <c r="N215" s="198">
        <v>24</v>
      </c>
      <c r="O215" s="31" t="s">
        <v>4604</v>
      </c>
    </row>
    <row r="216" spans="1:15" ht="15" customHeight="1" x14ac:dyDescent="0.3">
      <c r="A216" s="155" t="s">
        <v>3306</v>
      </c>
      <c r="B216" s="155" t="s">
        <v>4373</v>
      </c>
      <c r="C216" s="157" t="s">
        <v>317</v>
      </c>
      <c r="D216" s="45" t="s">
        <v>3124</v>
      </c>
      <c r="E216" s="45" t="s">
        <v>2987</v>
      </c>
      <c r="F216" s="45">
        <v>55</v>
      </c>
      <c r="G216" s="24" t="s">
        <v>3179</v>
      </c>
      <c r="H216" s="33" t="s">
        <v>4522</v>
      </c>
      <c r="I216" s="33" t="s">
        <v>4523</v>
      </c>
      <c r="J216" s="177" t="s">
        <v>4650</v>
      </c>
      <c r="K216" s="179">
        <v>5</v>
      </c>
      <c r="L216" s="197" t="s">
        <v>4803</v>
      </c>
      <c r="M216" s="197" t="s">
        <v>4661</v>
      </c>
      <c r="N216" s="198">
        <v>24</v>
      </c>
      <c r="O216" s="31" t="s">
        <v>4604</v>
      </c>
    </row>
    <row r="217" spans="1:15" ht="15" customHeight="1" x14ac:dyDescent="0.3">
      <c r="A217" s="155" t="s">
        <v>3307</v>
      </c>
      <c r="B217" s="155" t="s">
        <v>4373</v>
      </c>
      <c r="C217" s="157" t="s">
        <v>318</v>
      </c>
      <c r="D217" s="45" t="s">
        <v>3124</v>
      </c>
      <c r="E217" s="45" t="s">
        <v>2987</v>
      </c>
      <c r="F217" s="45">
        <v>55</v>
      </c>
      <c r="G217" s="24" t="s">
        <v>3179</v>
      </c>
      <c r="H217" s="33" t="s">
        <v>4522</v>
      </c>
      <c r="I217" s="33" t="s">
        <v>4523</v>
      </c>
      <c r="J217" s="177" t="s">
        <v>4650</v>
      </c>
      <c r="K217" s="179">
        <v>6</v>
      </c>
      <c r="L217" s="197" t="s">
        <v>4803</v>
      </c>
      <c r="M217" s="197" t="s">
        <v>4661</v>
      </c>
      <c r="N217" s="198">
        <v>24</v>
      </c>
      <c r="O217" s="31" t="s">
        <v>4604</v>
      </c>
    </row>
    <row r="218" spans="1:15" ht="15" customHeight="1" x14ac:dyDescent="0.3">
      <c r="A218" s="155" t="s">
        <v>3308</v>
      </c>
      <c r="B218" s="155" t="s">
        <v>4373</v>
      </c>
      <c r="C218" s="157" t="s">
        <v>319</v>
      </c>
      <c r="D218" s="45" t="s">
        <v>3124</v>
      </c>
      <c r="E218" s="45" t="s">
        <v>2987</v>
      </c>
      <c r="F218" s="45">
        <v>55</v>
      </c>
      <c r="G218" s="24" t="s">
        <v>3179</v>
      </c>
      <c r="H218" s="33" t="s">
        <v>4522</v>
      </c>
      <c r="I218" s="33" t="s">
        <v>4523</v>
      </c>
      <c r="J218" s="177" t="s">
        <v>4650</v>
      </c>
      <c r="K218" s="179">
        <v>7</v>
      </c>
      <c r="L218" s="197" t="s">
        <v>4803</v>
      </c>
      <c r="M218" s="197" t="s">
        <v>4661</v>
      </c>
      <c r="N218" s="198">
        <v>24</v>
      </c>
      <c r="O218" s="31" t="s">
        <v>4604</v>
      </c>
    </row>
    <row r="219" spans="1:15" ht="15" customHeight="1" x14ac:dyDescent="0.3">
      <c r="A219" s="257" t="s">
        <v>4375</v>
      </c>
      <c r="B219" s="155" t="s">
        <v>4373</v>
      </c>
      <c r="C219" s="157" t="s">
        <v>320</v>
      </c>
      <c r="D219" s="45" t="s">
        <v>3124</v>
      </c>
      <c r="E219" s="45" t="s">
        <v>2987</v>
      </c>
      <c r="F219" s="45">
        <v>55</v>
      </c>
      <c r="G219" s="24" t="s">
        <v>3179</v>
      </c>
      <c r="H219" s="33" t="s">
        <v>4522</v>
      </c>
      <c r="I219" s="33" t="s">
        <v>4523</v>
      </c>
      <c r="J219" s="177" t="s">
        <v>4650</v>
      </c>
      <c r="K219" s="179">
        <v>8</v>
      </c>
      <c r="L219" s="197" t="s">
        <v>4803</v>
      </c>
      <c r="M219" s="197" t="s">
        <v>4661</v>
      </c>
      <c r="N219" s="198">
        <v>24</v>
      </c>
      <c r="O219" s="31" t="s">
        <v>4604</v>
      </c>
    </row>
    <row r="220" spans="1:15" ht="15" customHeight="1" x14ac:dyDescent="0.3">
      <c r="A220" s="155" t="s">
        <v>3294</v>
      </c>
      <c r="B220" s="155" t="s">
        <v>4373</v>
      </c>
      <c r="C220" s="157" t="s">
        <v>321</v>
      </c>
      <c r="D220" s="45" t="s">
        <v>3124</v>
      </c>
      <c r="E220" s="45" t="s">
        <v>2987</v>
      </c>
      <c r="F220" s="45">
        <v>55</v>
      </c>
      <c r="G220" s="24" t="s">
        <v>3180</v>
      </c>
      <c r="H220" s="33" t="s">
        <v>4522</v>
      </c>
      <c r="I220" s="33" t="s">
        <v>4523</v>
      </c>
      <c r="J220" s="177" t="s">
        <v>4648</v>
      </c>
      <c r="K220" s="179">
        <v>1</v>
      </c>
      <c r="L220" s="197" t="s">
        <v>4801</v>
      </c>
      <c r="M220" s="197" t="s">
        <v>4697</v>
      </c>
      <c r="N220" s="198">
        <v>12</v>
      </c>
      <c r="O220" s="31" t="s">
        <v>4604</v>
      </c>
    </row>
    <row r="221" spans="1:15" ht="15" customHeight="1" x14ac:dyDescent="0.3">
      <c r="A221" s="155" t="s">
        <v>3313</v>
      </c>
      <c r="B221" s="155" t="s">
        <v>4378</v>
      </c>
      <c r="C221" s="157" t="s">
        <v>322</v>
      </c>
      <c r="D221" s="45" t="s">
        <v>3124</v>
      </c>
      <c r="E221" s="45" t="s">
        <v>2987</v>
      </c>
      <c r="F221" s="45">
        <v>55</v>
      </c>
      <c r="G221" s="24" t="s">
        <v>3181</v>
      </c>
      <c r="H221" s="33" t="s">
        <v>4524</v>
      </c>
      <c r="I221" s="33" t="s">
        <v>4523</v>
      </c>
      <c r="J221" s="177" t="s">
        <v>4648</v>
      </c>
      <c r="K221" s="179">
        <v>2</v>
      </c>
      <c r="L221" s="197" t="s">
        <v>4804</v>
      </c>
      <c r="M221" s="197" t="s">
        <v>4697</v>
      </c>
      <c r="N221" s="198">
        <v>12</v>
      </c>
      <c r="O221" s="31" t="s">
        <v>4604</v>
      </c>
    </row>
    <row r="222" spans="1:15" ht="15" customHeight="1" x14ac:dyDescent="0.3">
      <c r="A222" s="155" t="s">
        <v>3314</v>
      </c>
      <c r="B222" s="155" t="s">
        <v>4378</v>
      </c>
      <c r="C222" s="155" t="s">
        <v>3315</v>
      </c>
      <c r="D222" s="45"/>
      <c r="E222" s="45" t="s">
        <v>2987</v>
      </c>
      <c r="F222" s="45"/>
      <c r="G222" s="24"/>
      <c r="H222" s="33" t="s">
        <v>4524</v>
      </c>
      <c r="I222" s="33" t="s">
        <v>4523</v>
      </c>
      <c r="J222" s="143" t="s">
        <v>4480</v>
      </c>
      <c r="K222" s="143" t="s">
        <v>4480</v>
      </c>
      <c r="L222" s="197" t="s">
        <v>4804</v>
      </c>
      <c r="M222" s="197" t="s">
        <v>4697</v>
      </c>
      <c r="N222" s="198">
        <v>12</v>
      </c>
      <c r="O222" s="143" t="s">
        <v>4480</v>
      </c>
    </row>
    <row r="223" spans="1:15" ht="15" customHeight="1" x14ac:dyDescent="0.3">
      <c r="A223" s="155" t="s">
        <v>3316</v>
      </c>
      <c r="B223" s="155" t="s">
        <v>4378</v>
      </c>
      <c r="C223" s="157" t="s">
        <v>323</v>
      </c>
      <c r="D223" s="45" t="s">
        <v>3124</v>
      </c>
      <c r="E223" s="45" t="s">
        <v>2987</v>
      </c>
      <c r="F223" s="45">
        <v>55</v>
      </c>
      <c r="G223" s="24" t="s">
        <v>3182</v>
      </c>
      <c r="H223" s="33" t="s">
        <v>4524</v>
      </c>
      <c r="I223" s="33" t="s">
        <v>4523</v>
      </c>
      <c r="J223" s="181" t="s">
        <v>4648</v>
      </c>
      <c r="K223" s="167">
        <v>3</v>
      </c>
      <c r="L223" s="197" t="s">
        <v>4804</v>
      </c>
      <c r="M223" s="197" t="s">
        <v>4697</v>
      </c>
      <c r="N223" s="198">
        <v>12</v>
      </c>
      <c r="O223" s="31" t="s">
        <v>4604</v>
      </c>
    </row>
    <row r="224" spans="1:15" ht="15" customHeight="1" x14ac:dyDescent="0.3">
      <c r="A224" s="155" t="s">
        <v>3317</v>
      </c>
      <c r="B224" s="155" t="s">
        <v>4378</v>
      </c>
      <c r="C224" s="155" t="s">
        <v>3318</v>
      </c>
      <c r="D224" s="45"/>
      <c r="E224" s="45" t="s">
        <v>2987</v>
      </c>
      <c r="F224" s="45"/>
      <c r="G224" s="24"/>
      <c r="H224" s="33" t="s">
        <v>4524</v>
      </c>
      <c r="I224" s="33" t="s">
        <v>4523</v>
      </c>
      <c r="J224" s="143" t="s">
        <v>4480</v>
      </c>
      <c r="K224" s="143" t="s">
        <v>4480</v>
      </c>
      <c r="L224" s="197" t="s">
        <v>4804</v>
      </c>
      <c r="M224" s="197" t="s">
        <v>4697</v>
      </c>
      <c r="N224" s="198">
        <v>12</v>
      </c>
      <c r="O224" s="143" t="s">
        <v>4480</v>
      </c>
    </row>
    <row r="225" spans="1:40" ht="15" customHeight="1" x14ac:dyDescent="0.3">
      <c r="A225" s="155" t="s">
        <v>3319</v>
      </c>
      <c r="B225" s="155" t="s">
        <v>4379</v>
      </c>
      <c r="C225" s="157" t="s">
        <v>324</v>
      </c>
      <c r="D225" s="45" t="s">
        <v>3124</v>
      </c>
      <c r="E225" s="45" t="s">
        <v>2987</v>
      </c>
      <c r="F225" s="45">
        <v>55</v>
      </c>
      <c r="G225" s="24" t="s">
        <v>3183</v>
      </c>
      <c r="H225" s="33" t="s">
        <v>4525</v>
      </c>
      <c r="I225" s="33" t="s">
        <v>4523</v>
      </c>
      <c r="J225" s="181" t="s">
        <v>4648</v>
      </c>
      <c r="K225" s="167">
        <v>4</v>
      </c>
      <c r="L225" s="197" t="s">
        <v>4808</v>
      </c>
      <c r="M225" s="197" t="s">
        <v>4661</v>
      </c>
      <c r="N225" s="198">
        <v>24</v>
      </c>
      <c r="O225" s="31" t="s">
        <v>4602</v>
      </c>
    </row>
    <row r="226" spans="1:40" ht="15" customHeight="1" x14ac:dyDescent="0.3">
      <c r="A226" s="155" t="s">
        <v>3320</v>
      </c>
      <c r="B226" s="155" t="s">
        <v>4379</v>
      </c>
      <c r="C226" s="155" t="s">
        <v>3321</v>
      </c>
      <c r="D226" s="45"/>
      <c r="E226" s="45" t="s">
        <v>2987</v>
      </c>
      <c r="F226" s="45"/>
      <c r="G226" s="24"/>
      <c r="H226" s="33" t="s">
        <v>4525</v>
      </c>
      <c r="I226" s="33" t="s">
        <v>4523</v>
      </c>
      <c r="J226" s="143" t="s">
        <v>4480</v>
      </c>
      <c r="K226" s="143" t="s">
        <v>4480</v>
      </c>
      <c r="L226" s="197" t="s">
        <v>4808</v>
      </c>
      <c r="M226" s="197" t="s">
        <v>4661</v>
      </c>
      <c r="N226" s="198">
        <v>24</v>
      </c>
      <c r="O226" s="143" t="s">
        <v>4480</v>
      </c>
    </row>
    <row r="227" spans="1:40" ht="15" customHeight="1" x14ac:dyDescent="0.3">
      <c r="A227" s="263" t="s">
        <v>3672</v>
      </c>
      <c r="B227" s="155" t="s">
        <v>4379</v>
      </c>
      <c r="C227" s="157" t="s">
        <v>325</v>
      </c>
      <c r="D227" s="45" t="s">
        <v>3124</v>
      </c>
      <c r="E227" s="45" t="s">
        <v>2987</v>
      </c>
      <c r="F227" s="45">
        <v>55</v>
      </c>
      <c r="G227" s="24" t="s">
        <v>3184</v>
      </c>
      <c r="H227" s="33" t="s">
        <v>4525</v>
      </c>
      <c r="I227" s="33" t="s">
        <v>4523</v>
      </c>
      <c r="J227" s="181" t="s">
        <v>4648</v>
      </c>
      <c r="K227" s="167">
        <v>5</v>
      </c>
      <c r="L227" s="197" t="s">
        <v>4808</v>
      </c>
      <c r="M227" s="197" t="s">
        <v>4661</v>
      </c>
      <c r="N227" s="198">
        <v>24</v>
      </c>
      <c r="O227" s="31" t="s">
        <v>4602</v>
      </c>
    </row>
    <row r="228" spans="1:40" s="116" customFormat="1" ht="15" customHeight="1" x14ac:dyDescent="0.3">
      <c r="A228" s="263" t="s">
        <v>3673</v>
      </c>
      <c r="B228" s="155" t="s">
        <v>4379</v>
      </c>
      <c r="C228" s="155" t="s">
        <v>3674</v>
      </c>
      <c r="D228" s="45"/>
      <c r="E228" s="45"/>
      <c r="F228" s="45"/>
      <c r="G228" s="24"/>
      <c r="H228" s="33" t="s">
        <v>4525</v>
      </c>
      <c r="I228" s="33" t="s">
        <v>4523</v>
      </c>
      <c r="J228" s="143" t="s">
        <v>4480</v>
      </c>
      <c r="K228" s="143" t="s">
        <v>4480</v>
      </c>
      <c r="L228" s="197" t="s">
        <v>4808</v>
      </c>
      <c r="M228" s="197" t="s">
        <v>4661</v>
      </c>
      <c r="N228" s="198">
        <v>24</v>
      </c>
      <c r="O228" s="143" t="s">
        <v>4480</v>
      </c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</row>
    <row r="229" spans="1:40" ht="15" customHeight="1" x14ac:dyDescent="0.3">
      <c r="A229" s="257" t="s">
        <v>4480</v>
      </c>
      <c r="B229" s="257" t="s">
        <v>4385</v>
      </c>
      <c r="C229" s="157" t="s">
        <v>326</v>
      </c>
      <c r="D229" s="45" t="s">
        <v>3124</v>
      </c>
      <c r="E229" s="45" t="s">
        <v>2987</v>
      </c>
      <c r="F229" s="45">
        <v>55</v>
      </c>
      <c r="G229" s="24" t="s">
        <v>3185</v>
      </c>
      <c r="H229" s="33" t="s">
        <v>4527</v>
      </c>
      <c r="I229" s="33" t="s">
        <v>4523</v>
      </c>
      <c r="J229" s="143" t="s">
        <v>4480</v>
      </c>
      <c r="K229" s="143" t="s">
        <v>4480</v>
      </c>
      <c r="L229" s="197" t="s">
        <v>4811</v>
      </c>
      <c r="M229" s="197" t="s">
        <v>4690</v>
      </c>
      <c r="N229" s="198">
        <v>9</v>
      </c>
      <c r="O229" s="143" t="s">
        <v>4480</v>
      </c>
    </row>
    <row r="230" spans="1:40" s="116" customFormat="1" ht="15" customHeight="1" x14ac:dyDescent="0.3">
      <c r="A230" s="264" t="s">
        <v>4480</v>
      </c>
      <c r="B230" s="257" t="s">
        <v>4385</v>
      </c>
      <c r="C230" s="155" t="s">
        <v>4247</v>
      </c>
      <c r="D230" s="45"/>
      <c r="E230" s="45"/>
      <c r="F230" s="45"/>
      <c r="G230" s="24"/>
      <c r="H230" s="33" t="s">
        <v>4527</v>
      </c>
      <c r="I230" s="33" t="s">
        <v>4523</v>
      </c>
      <c r="J230" s="143" t="s">
        <v>4480</v>
      </c>
      <c r="K230" s="143" t="s">
        <v>4480</v>
      </c>
      <c r="L230" s="197" t="s">
        <v>4810</v>
      </c>
      <c r="M230" s="197" t="s">
        <v>4697</v>
      </c>
      <c r="N230" s="198">
        <v>12</v>
      </c>
      <c r="O230" s="143" t="s">
        <v>4480</v>
      </c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</row>
    <row r="231" spans="1:40" ht="15" customHeight="1" x14ac:dyDescent="0.3">
      <c r="A231" s="155" t="s">
        <v>3361</v>
      </c>
      <c r="B231" s="155" t="s">
        <v>4373</v>
      </c>
      <c r="C231" s="157" t="s">
        <v>933</v>
      </c>
      <c r="D231" s="45" t="s">
        <v>3124</v>
      </c>
      <c r="E231" s="45" t="s">
        <v>2987</v>
      </c>
      <c r="F231" s="45">
        <v>40</v>
      </c>
      <c r="G231" s="24" t="s">
        <v>3187</v>
      </c>
      <c r="H231" s="33" t="s">
        <v>4522</v>
      </c>
      <c r="I231" s="33" t="s">
        <v>4523</v>
      </c>
      <c r="J231" s="177" t="s">
        <v>4646</v>
      </c>
      <c r="K231" s="179">
        <v>1</v>
      </c>
      <c r="L231" s="197" t="s">
        <v>4801</v>
      </c>
      <c r="M231" s="197" t="s">
        <v>4697</v>
      </c>
      <c r="N231" s="198">
        <v>12</v>
      </c>
      <c r="O231" s="31" t="s">
        <v>4604</v>
      </c>
    </row>
    <row r="232" spans="1:40" ht="15" customHeight="1" x14ac:dyDescent="0.3">
      <c r="A232" s="155" t="s">
        <v>3362</v>
      </c>
      <c r="B232" s="155" t="s">
        <v>4378</v>
      </c>
      <c r="C232" s="157" t="s">
        <v>334</v>
      </c>
      <c r="D232" s="45" t="s">
        <v>3124</v>
      </c>
      <c r="E232" s="45" t="s">
        <v>2987</v>
      </c>
      <c r="F232" s="45">
        <v>40</v>
      </c>
      <c r="G232" s="24" t="s">
        <v>3188</v>
      </c>
      <c r="H232" s="33" t="s">
        <v>4524</v>
      </c>
      <c r="I232" s="33" t="s">
        <v>4523</v>
      </c>
      <c r="J232" s="177" t="s">
        <v>4646</v>
      </c>
      <c r="K232" s="179">
        <v>2</v>
      </c>
      <c r="L232" s="197" t="s">
        <v>4805</v>
      </c>
      <c r="M232" s="197" t="s">
        <v>4690</v>
      </c>
      <c r="N232" s="198">
        <v>6</v>
      </c>
      <c r="O232" s="31" t="s">
        <v>4604</v>
      </c>
    </row>
    <row r="233" spans="1:40" ht="15" customHeight="1" x14ac:dyDescent="0.3">
      <c r="A233" s="155" t="s">
        <v>3363</v>
      </c>
      <c r="B233" s="155" t="s">
        <v>4378</v>
      </c>
      <c r="C233" s="157" t="s">
        <v>934</v>
      </c>
      <c r="D233" s="45" t="s">
        <v>3124</v>
      </c>
      <c r="E233" s="45" t="s">
        <v>2987</v>
      </c>
      <c r="F233" s="45">
        <v>40</v>
      </c>
      <c r="G233" s="24" t="s">
        <v>3189</v>
      </c>
      <c r="H233" s="33" t="s">
        <v>4524</v>
      </c>
      <c r="I233" s="33" t="s">
        <v>4523</v>
      </c>
      <c r="J233" s="177" t="s">
        <v>4646</v>
      </c>
      <c r="K233" s="179">
        <v>3</v>
      </c>
      <c r="L233" s="197" t="s">
        <v>4805</v>
      </c>
      <c r="M233" s="197" t="s">
        <v>4690</v>
      </c>
      <c r="N233" s="198">
        <v>6</v>
      </c>
      <c r="O233" s="31" t="s">
        <v>4604</v>
      </c>
    </row>
    <row r="234" spans="1:40" ht="15" customHeight="1" x14ac:dyDescent="0.3">
      <c r="A234" s="155" t="s">
        <v>3364</v>
      </c>
      <c r="B234" s="155" t="s">
        <v>4379</v>
      </c>
      <c r="C234" s="157" t="s">
        <v>935</v>
      </c>
      <c r="D234" s="45" t="s">
        <v>3124</v>
      </c>
      <c r="E234" s="45" t="s">
        <v>2987</v>
      </c>
      <c r="F234" s="45">
        <v>40</v>
      </c>
      <c r="G234" s="24" t="s">
        <v>3190</v>
      </c>
      <c r="H234" s="33" t="s">
        <v>4525</v>
      </c>
      <c r="I234" s="33" t="s">
        <v>4523</v>
      </c>
      <c r="J234" s="177" t="s">
        <v>4646</v>
      </c>
      <c r="K234" s="179">
        <v>4</v>
      </c>
      <c r="L234" s="197" t="s">
        <v>4808</v>
      </c>
      <c r="M234" s="197" t="s">
        <v>4661</v>
      </c>
      <c r="N234" s="198">
        <v>24</v>
      </c>
      <c r="O234" s="31" t="s">
        <v>4602</v>
      </c>
    </row>
    <row r="235" spans="1:40" ht="15" customHeight="1" x14ac:dyDescent="0.3">
      <c r="A235" s="155" t="s">
        <v>3365</v>
      </c>
      <c r="B235" s="155" t="s">
        <v>4379</v>
      </c>
      <c r="C235" s="157" t="s">
        <v>936</v>
      </c>
      <c r="D235" s="45" t="s">
        <v>3124</v>
      </c>
      <c r="E235" s="45" t="s">
        <v>2987</v>
      </c>
      <c r="F235" s="45">
        <v>40</v>
      </c>
      <c r="G235" s="24" t="s">
        <v>3191</v>
      </c>
      <c r="H235" s="33" t="s">
        <v>4525</v>
      </c>
      <c r="I235" s="33" t="s">
        <v>4523</v>
      </c>
      <c r="J235" s="177" t="s">
        <v>4646</v>
      </c>
      <c r="K235" s="179">
        <v>5</v>
      </c>
      <c r="L235" s="197" t="s">
        <v>4808</v>
      </c>
      <c r="M235" s="197" t="s">
        <v>4661</v>
      </c>
      <c r="N235" s="198">
        <v>24</v>
      </c>
      <c r="O235" s="31" t="s">
        <v>4602</v>
      </c>
    </row>
    <row r="236" spans="1:40" ht="15" customHeight="1" x14ac:dyDescent="0.3">
      <c r="A236" s="155" t="s">
        <v>3366</v>
      </c>
      <c r="B236" s="155" t="s">
        <v>4385</v>
      </c>
      <c r="C236" s="157" t="s">
        <v>937</v>
      </c>
      <c r="D236" s="45" t="s">
        <v>3124</v>
      </c>
      <c r="E236" s="45" t="s">
        <v>2987</v>
      </c>
      <c r="F236" s="45">
        <v>40</v>
      </c>
      <c r="G236" s="24" t="s">
        <v>3192</v>
      </c>
      <c r="H236" s="33" t="s">
        <v>4527</v>
      </c>
      <c r="I236" s="33" t="s">
        <v>4523</v>
      </c>
      <c r="J236" s="177" t="s">
        <v>4646</v>
      </c>
      <c r="K236" s="179">
        <v>6</v>
      </c>
      <c r="L236" s="197" t="s">
        <v>4810</v>
      </c>
      <c r="M236" s="197" t="s">
        <v>4697</v>
      </c>
      <c r="N236" s="198">
        <v>12</v>
      </c>
      <c r="O236" s="31" t="s">
        <v>4602</v>
      </c>
    </row>
    <row r="237" spans="1:40" ht="15" customHeight="1" x14ac:dyDescent="0.3">
      <c r="A237" s="155" t="s">
        <v>3371</v>
      </c>
      <c r="B237" s="155" t="s">
        <v>4379</v>
      </c>
      <c r="C237" s="157" t="s">
        <v>344</v>
      </c>
      <c r="D237" s="251" t="s">
        <v>3124</v>
      </c>
      <c r="E237" s="45" t="s">
        <v>2987</v>
      </c>
      <c r="F237" s="45">
        <v>40</v>
      </c>
      <c r="G237" s="24" t="s">
        <v>3194</v>
      </c>
      <c r="H237" s="33" t="s">
        <v>4525</v>
      </c>
      <c r="I237" s="33" t="s">
        <v>4523</v>
      </c>
      <c r="J237" s="177" t="s">
        <v>4647</v>
      </c>
      <c r="K237" s="179">
        <v>3</v>
      </c>
      <c r="L237" s="197" t="s">
        <v>4808</v>
      </c>
      <c r="M237" s="197" t="s">
        <v>4661</v>
      </c>
      <c r="N237" s="198">
        <v>24</v>
      </c>
      <c r="O237" s="31" t="s">
        <v>4602</v>
      </c>
    </row>
    <row r="238" spans="1:40" ht="15" customHeight="1" x14ac:dyDescent="0.3">
      <c r="A238" s="155" t="s">
        <v>3372</v>
      </c>
      <c r="B238" s="155" t="s">
        <v>4385</v>
      </c>
      <c r="C238" s="157" t="s">
        <v>345</v>
      </c>
      <c r="D238" s="251" t="s">
        <v>3124</v>
      </c>
      <c r="E238" s="45" t="s">
        <v>2987</v>
      </c>
      <c r="F238" s="45">
        <v>40</v>
      </c>
      <c r="G238" s="24" t="s">
        <v>3194</v>
      </c>
      <c r="H238" s="33" t="s">
        <v>4527</v>
      </c>
      <c r="I238" s="33" t="s">
        <v>4523</v>
      </c>
      <c r="J238" s="177" t="s">
        <v>4647</v>
      </c>
      <c r="K238" s="179">
        <v>4</v>
      </c>
      <c r="L238" s="197" t="s">
        <v>4810</v>
      </c>
      <c r="M238" s="197" t="s">
        <v>4697</v>
      </c>
      <c r="N238" s="198">
        <v>12</v>
      </c>
      <c r="O238" s="31" t="s">
        <v>4602</v>
      </c>
    </row>
    <row r="239" spans="1:40" ht="15" customHeight="1" x14ac:dyDescent="0.3">
      <c r="A239" s="155" t="s">
        <v>3367</v>
      </c>
      <c r="B239" s="155" t="s">
        <v>4373</v>
      </c>
      <c r="C239" s="157" t="s">
        <v>336</v>
      </c>
      <c r="D239" s="45" t="s">
        <v>3124</v>
      </c>
      <c r="E239" s="45" t="s">
        <v>2987</v>
      </c>
      <c r="F239" s="45">
        <v>40</v>
      </c>
      <c r="G239" s="24" t="s">
        <v>3193</v>
      </c>
      <c r="H239" s="33" t="s">
        <v>4522</v>
      </c>
      <c r="I239" s="33" t="s">
        <v>4523</v>
      </c>
      <c r="J239" s="177" t="s">
        <v>4647</v>
      </c>
      <c r="K239" s="179">
        <v>1</v>
      </c>
      <c r="L239" s="197" t="s">
        <v>4801</v>
      </c>
      <c r="M239" s="197" t="s">
        <v>4697</v>
      </c>
      <c r="N239" s="198">
        <v>12</v>
      </c>
      <c r="O239" s="31" t="s">
        <v>4604</v>
      </c>
    </row>
    <row r="240" spans="1:40" ht="15" customHeight="1" x14ac:dyDescent="0.3">
      <c r="A240" s="155" t="s">
        <v>3368</v>
      </c>
      <c r="B240" s="155" t="s">
        <v>4373</v>
      </c>
      <c r="C240" s="157" t="s">
        <v>337</v>
      </c>
      <c r="D240" s="45" t="s">
        <v>3124</v>
      </c>
      <c r="E240" s="45" t="s">
        <v>2987</v>
      </c>
      <c r="F240" s="45">
        <v>40</v>
      </c>
      <c r="G240" s="24" t="s">
        <v>3193</v>
      </c>
      <c r="H240" s="33" t="s">
        <v>4522</v>
      </c>
      <c r="I240" s="33" t="s">
        <v>4523</v>
      </c>
      <c r="J240" s="177" t="s">
        <v>4647</v>
      </c>
      <c r="K240" s="179">
        <v>2</v>
      </c>
      <c r="L240" s="197" t="s">
        <v>4801</v>
      </c>
      <c r="M240" s="197" t="s">
        <v>4697</v>
      </c>
      <c r="N240" s="198">
        <v>12</v>
      </c>
      <c r="O240" s="31" t="s">
        <v>4604</v>
      </c>
    </row>
    <row r="241" spans="1:15" ht="15" customHeight="1" x14ac:dyDescent="0.3">
      <c r="A241" s="155" t="s">
        <v>3369</v>
      </c>
      <c r="B241" s="155" t="s">
        <v>4379</v>
      </c>
      <c r="C241" s="157" t="s">
        <v>335</v>
      </c>
      <c r="D241" s="45" t="s">
        <v>3124</v>
      </c>
      <c r="E241" s="45" t="s">
        <v>2987</v>
      </c>
      <c r="F241" s="45">
        <v>40</v>
      </c>
      <c r="G241" s="24" t="s">
        <v>3201</v>
      </c>
      <c r="H241" s="33" t="s">
        <v>4525</v>
      </c>
      <c r="I241" s="33" t="s">
        <v>4523</v>
      </c>
      <c r="J241" s="177" t="s">
        <v>4646</v>
      </c>
      <c r="K241" s="179">
        <v>7</v>
      </c>
      <c r="L241" s="197" t="s">
        <v>4808</v>
      </c>
      <c r="M241" s="197" t="s">
        <v>4661</v>
      </c>
      <c r="N241" s="198">
        <v>24</v>
      </c>
      <c r="O241" s="31" t="s">
        <v>4602</v>
      </c>
    </row>
    <row r="242" spans="1:15" ht="15" customHeight="1" x14ac:dyDescent="0.3">
      <c r="A242" s="155" t="s">
        <v>3370</v>
      </c>
      <c r="B242" s="155" t="s">
        <v>4385</v>
      </c>
      <c r="C242" s="157" t="s">
        <v>4386</v>
      </c>
      <c r="D242" s="45" t="s">
        <v>3124</v>
      </c>
      <c r="E242" s="45" t="s">
        <v>2987</v>
      </c>
      <c r="F242" s="45">
        <v>40</v>
      </c>
      <c r="G242" s="24" t="s">
        <v>3202</v>
      </c>
      <c r="H242" s="33" t="s">
        <v>4653</v>
      </c>
      <c r="I242" s="33" t="s">
        <v>4523</v>
      </c>
      <c r="J242" s="177" t="s">
        <v>4646</v>
      </c>
      <c r="K242" s="179">
        <v>8</v>
      </c>
      <c r="L242" s="197" t="s">
        <v>4810</v>
      </c>
      <c r="M242" s="197" t="s">
        <v>4697</v>
      </c>
      <c r="N242" s="198">
        <v>12</v>
      </c>
      <c r="O242" s="31" t="s">
        <v>4602</v>
      </c>
    </row>
    <row r="243" spans="1:15" ht="15" customHeight="1" x14ac:dyDescent="0.3">
      <c r="A243" s="155" t="s">
        <v>3385</v>
      </c>
      <c r="B243" s="155" t="s">
        <v>4414</v>
      </c>
      <c r="C243" s="157" t="s">
        <v>338</v>
      </c>
      <c r="D243" s="45" t="s">
        <v>3124</v>
      </c>
      <c r="E243" s="45" t="s">
        <v>2987</v>
      </c>
      <c r="F243" s="45">
        <v>40</v>
      </c>
      <c r="G243" s="24" t="s">
        <v>3250</v>
      </c>
      <c r="H243" s="33" t="s">
        <v>4562</v>
      </c>
      <c r="I243" s="33" t="s">
        <v>4529</v>
      </c>
      <c r="J243" s="177" t="s">
        <v>4619</v>
      </c>
      <c r="K243" s="179">
        <v>4</v>
      </c>
      <c r="L243" s="197" t="s">
        <v>4857</v>
      </c>
      <c r="M243" s="197" t="s">
        <v>4669</v>
      </c>
      <c r="N243" s="198">
        <v>18</v>
      </c>
      <c r="O243" s="31" t="s">
        <v>4604</v>
      </c>
    </row>
    <row r="244" spans="1:15" ht="15" customHeight="1" x14ac:dyDescent="0.3">
      <c r="A244" s="155" t="s">
        <v>3386</v>
      </c>
      <c r="B244" s="155" t="s">
        <v>4414</v>
      </c>
      <c r="C244" s="157" t="s">
        <v>339</v>
      </c>
      <c r="D244" s="45" t="s">
        <v>3124</v>
      </c>
      <c r="E244" s="45" t="s">
        <v>2987</v>
      </c>
      <c r="F244" s="45">
        <v>40</v>
      </c>
      <c r="G244" s="24" t="s">
        <v>3251</v>
      </c>
      <c r="H244" s="33" t="s">
        <v>4562</v>
      </c>
      <c r="I244" s="33" t="s">
        <v>4529</v>
      </c>
      <c r="J244" s="177" t="s">
        <v>4619</v>
      </c>
      <c r="K244" s="179">
        <v>5</v>
      </c>
      <c r="L244" s="197" t="s">
        <v>4857</v>
      </c>
      <c r="M244" s="197" t="s">
        <v>4669</v>
      </c>
      <c r="N244" s="198">
        <v>18</v>
      </c>
      <c r="O244" s="31" t="s">
        <v>4604</v>
      </c>
    </row>
    <row r="245" spans="1:15" ht="15" customHeight="1" x14ac:dyDescent="0.3">
      <c r="A245" s="155" t="s">
        <v>3387</v>
      </c>
      <c r="B245" s="155" t="s">
        <v>4414</v>
      </c>
      <c r="C245" s="157" t="s">
        <v>941</v>
      </c>
      <c r="D245" s="45" t="s">
        <v>3124</v>
      </c>
      <c r="E245" s="45" t="s">
        <v>2987</v>
      </c>
      <c r="F245" s="45">
        <v>40</v>
      </c>
      <c r="G245" s="24" t="s">
        <v>3251</v>
      </c>
      <c r="H245" s="33" t="s">
        <v>4562</v>
      </c>
      <c r="I245" s="33" t="s">
        <v>4529</v>
      </c>
      <c r="J245" s="177" t="s">
        <v>4619</v>
      </c>
      <c r="K245" s="179">
        <v>1</v>
      </c>
      <c r="L245" s="197" t="s">
        <v>4857</v>
      </c>
      <c r="M245" s="197" t="s">
        <v>4669</v>
      </c>
      <c r="N245" s="198">
        <v>18</v>
      </c>
      <c r="O245" s="31" t="s">
        <v>4604</v>
      </c>
    </row>
    <row r="246" spans="1:15" ht="15" customHeight="1" x14ac:dyDescent="0.3">
      <c r="A246" s="155" t="s">
        <v>3388</v>
      </c>
      <c r="B246" s="155" t="s">
        <v>4414</v>
      </c>
      <c r="C246" s="157" t="s">
        <v>942</v>
      </c>
      <c r="D246" s="45" t="s">
        <v>3124</v>
      </c>
      <c r="E246" s="45" t="s">
        <v>2987</v>
      </c>
      <c r="F246" s="45">
        <v>40</v>
      </c>
      <c r="G246" s="24" t="s">
        <v>3251</v>
      </c>
      <c r="H246" s="33" t="s">
        <v>4562</v>
      </c>
      <c r="I246" s="33" t="s">
        <v>4529</v>
      </c>
      <c r="J246" s="177" t="s">
        <v>4619</v>
      </c>
      <c r="K246" s="179">
        <v>2</v>
      </c>
      <c r="L246" s="197" t="s">
        <v>4857</v>
      </c>
      <c r="M246" s="197" t="s">
        <v>4669</v>
      </c>
      <c r="N246" s="198">
        <v>18</v>
      </c>
      <c r="O246" s="31" t="s">
        <v>4604</v>
      </c>
    </row>
    <row r="247" spans="1:15" ht="15" customHeight="1" x14ac:dyDescent="0.3">
      <c r="A247" s="155" t="s">
        <v>3389</v>
      </c>
      <c r="B247" s="155" t="s">
        <v>4414</v>
      </c>
      <c r="C247" s="157" t="s">
        <v>943</v>
      </c>
      <c r="D247" s="45" t="s">
        <v>3124</v>
      </c>
      <c r="E247" s="45" t="s">
        <v>2987</v>
      </c>
      <c r="F247" s="45">
        <v>40</v>
      </c>
      <c r="G247" s="24" t="s">
        <v>3251</v>
      </c>
      <c r="H247" s="33" t="s">
        <v>4562</v>
      </c>
      <c r="I247" s="33" t="s">
        <v>4529</v>
      </c>
      <c r="J247" s="177" t="s">
        <v>4619</v>
      </c>
      <c r="K247" s="179">
        <v>3</v>
      </c>
      <c r="L247" s="197" t="s">
        <v>4857</v>
      </c>
      <c r="M247" s="197" t="s">
        <v>4669</v>
      </c>
      <c r="N247" s="198">
        <v>18</v>
      </c>
      <c r="O247" s="31" t="s">
        <v>4604</v>
      </c>
    </row>
    <row r="248" spans="1:15" ht="15" customHeight="1" x14ac:dyDescent="0.3">
      <c r="A248" s="155" t="s">
        <v>3290</v>
      </c>
      <c r="B248" s="155" t="s">
        <v>4558</v>
      </c>
      <c r="C248" s="157" t="s">
        <v>938</v>
      </c>
      <c r="D248" s="45" t="s">
        <v>3124</v>
      </c>
      <c r="E248" s="45" t="s">
        <v>2987</v>
      </c>
      <c r="F248" s="45">
        <v>40</v>
      </c>
      <c r="G248" s="24" t="s">
        <v>3251</v>
      </c>
      <c r="H248" s="33" t="s">
        <v>4563</v>
      </c>
      <c r="I248" s="33" t="s">
        <v>4529</v>
      </c>
      <c r="J248" s="177" t="s">
        <v>4623</v>
      </c>
      <c r="K248" s="179">
        <v>6</v>
      </c>
      <c r="L248" s="197" t="s">
        <v>4858</v>
      </c>
      <c r="M248" s="197" t="s">
        <v>4697</v>
      </c>
      <c r="N248" s="198">
        <v>9</v>
      </c>
      <c r="O248" s="31" t="s">
        <v>4604</v>
      </c>
    </row>
    <row r="249" spans="1:15" ht="15" customHeight="1" x14ac:dyDescent="0.3">
      <c r="A249" s="155" t="s">
        <v>3291</v>
      </c>
      <c r="B249" s="155" t="s">
        <v>4558</v>
      </c>
      <c r="C249" s="157" t="s">
        <v>939</v>
      </c>
      <c r="D249" s="45" t="s">
        <v>3124</v>
      </c>
      <c r="E249" s="45" t="s">
        <v>2987</v>
      </c>
      <c r="F249" s="45">
        <v>40</v>
      </c>
      <c r="G249" s="24" t="s">
        <v>3251</v>
      </c>
      <c r="H249" s="33" t="s">
        <v>4563</v>
      </c>
      <c r="I249" s="33" t="s">
        <v>4529</v>
      </c>
      <c r="J249" s="177" t="s">
        <v>4623</v>
      </c>
      <c r="K249" s="179">
        <v>7</v>
      </c>
      <c r="L249" s="197" t="s">
        <v>4858</v>
      </c>
      <c r="M249" s="197" t="s">
        <v>4697</v>
      </c>
      <c r="N249" s="198">
        <v>9</v>
      </c>
      <c r="O249" s="31" t="s">
        <v>4604</v>
      </c>
    </row>
    <row r="250" spans="1:15" ht="15" customHeight="1" x14ac:dyDescent="0.3">
      <c r="A250" s="155" t="s">
        <v>3292</v>
      </c>
      <c r="B250" s="155" t="s">
        <v>4558</v>
      </c>
      <c r="C250" s="157" t="s">
        <v>940</v>
      </c>
      <c r="D250" s="45" t="s">
        <v>3124</v>
      </c>
      <c r="E250" s="45" t="s">
        <v>2987</v>
      </c>
      <c r="F250" s="45">
        <v>40</v>
      </c>
      <c r="G250" s="24" t="s">
        <v>3251</v>
      </c>
      <c r="H250" s="33" t="s">
        <v>4563</v>
      </c>
      <c r="I250" s="33" t="s">
        <v>4529</v>
      </c>
      <c r="J250" s="177" t="s">
        <v>4623</v>
      </c>
      <c r="K250" s="179">
        <v>8</v>
      </c>
      <c r="L250" s="197" t="s">
        <v>4858</v>
      </c>
      <c r="M250" s="197" t="s">
        <v>4697</v>
      </c>
      <c r="N250" s="198">
        <v>9</v>
      </c>
      <c r="O250" s="31" t="s">
        <v>4604</v>
      </c>
    </row>
    <row r="251" spans="1:15" ht="15" customHeight="1" x14ac:dyDescent="0.3">
      <c r="A251" s="155" t="s">
        <v>3390</v>
      </c>
      <c r="B251" s="155" t="s">
        <v>4412</v>
      </c>
      <c r="C251" s="157" t="s">
        <v>945</v>
      </c>
      <c r="D251" s="251" t="s">
        <v>3124</v>
      </c>
      <c r="E251" s="45" t="s">
        <v>2987</v>
      </c>
      <c r="F251" s="45">
        <v>40</v>
      </c>
      <c r="G251" s="24" t="s">
        <v>3199</v>
      </c>
      <c r="H251" s="33" t="s">
        <v>4561</v>
      </c>
      <c r="I251" s="33" t="s">
        <v>4529</v>
      </c>
      <c r="J251" s="177" t="s">
        <v>4623</v>
      </c>
      <c r="K251" s="179">
        <v>1</v>
      </c>
      <c r="L251" s="197" t="s">
        <v>4855</v>
      </c>
      <c r="M251" s="197" t="s">
        <v>4697</v>
      </c>
      <c r="N251" s="198">
        <v>12</v>
      </c>
      <c r="O251" s="31" t="s">
        <v>4604</v>
      </c>
    </row>
    <row r="252" spans="1:15" ht="15" customHeight="1" x14ac:dyDescent="0.3">
      <c r="A252" s="155" t="s">
        <v>3395</v>
      </c>
      <c r="B252" s="155" t="s">
        <v>4412</v>
      </c>
      <c r="C252" s="157" t="s">
        <v>944</v>
      </c>
      <c r="D252" s="251" t="s">
        <v>3124</v>
      </c>
      <c r="E252" s="45" t="s">
        <v>2987</v>
      </c>
      <c r="F252" s="45">
        <v>40</v>
      </c>
      <c r="G252" s="24" t="s">
        <v>3200</v>
      </c>
      <c r="H252" s="33" t="s">
        <v>4561</v>
      </c>
      <c r="I252" s="33" t="s">
        <v>4529</v>
      </c>
      <c r="J252" s="177" t="s">
        <v>4623</v>
      </c>
      <c r="K252" s="179">
        <v>2</v>
      </c>
      <c r="L252" s="197" t="s">
        <v>4855</v>
      </c>
      <c r="M252" s="197" t="s">
        <v>4697</v>
      </c>
      <c r="N252" s="198">
        <v>12</v>
      </c>
      <c r="O252" s="31" t="s">
        <v>4604</v>
      </c>
    </row>
    <row r="253" spans="1:15" ht="15" customHeight="1" x14ac:dyDescent="0.3">
      <c r="A253" s="155" t="s">
        <v>3391</v>
      </c>
      <c r="B253" s="155" t="s">
        <v>4412</v>
      </c>
      <c r="C253" s="157" t="s">
        <v>340</v>
      </c>
      <c r="D253" s="251" t="s">
        <v>3124</v>
      </c>
      <c r="E253" s="45" t="s">
        <v>2987</v>
      </c>
      <c r="F253" s="45">
        <v>40</v>
      </c>
      <c r="G253" s="24" t="s">
        <v>3195</v>
      </c>
      <c r="H253" s="33" t="s">
        <v>4561</v>
      </c>
      <c r="I253" s="33" t="s">
        <v>4529</v>
      </c>
      <c r="J253" s="177" t="s">
        <v>4623</v>
      </c>
      <c r="K253" s="179">
        <v>3</v>
      </c>
      <c r="L253" s="197" t="s">
        <v>4855</v>
      </c>
      <c r="M253" s="197" t="s">
        <v>4697</v>
      </c>
      <c r="N253" s="198">
        <v>12</v>
      </c>
      <c r="O253" s="31" t="s">
        <v>4604</v>
      </c>
    </row>
    <row r="254" spans="1:15" ht="15" customHeight="1" x14ac:dyDescent="0.3">
      <c r="A254" s="155" t="s">
        <v>3392</v>
      </c>
      <c r="B254" s="155" t="s">
        <v>4412</v>
      </c>
      <c r="C254" s="157" t="s">
        <v>341</v>
      </c>
      <c r="D254" s="251" t="s">
        <v>3124</v>
      </c>
      <c r="E254" s="45" t="s">
        <v>2987</v>
      </c>
      <c r="F254" s="45">
        <v>40</v>
      </c>
      <c r="G254" s="24" t="s">
        <v>3197</v>
      </c>
      <c r="H254" s="33" t="s">
        <v>4561</v>
      </c>
      <c r="I254" s="33" t="s">
        <v>4529</v>
      </c>
      <c r="J254" s="177" t="s">
        <v>4623</v>
      </c>
      <c r="K254" s="179">
        <v>4</v>
      </c>
      <c r="L254" s="197" t="s">
        <v>4855</v>
      </c>
      <c r="M254" s="197" t="s">
        <v>4697</v>
      </c>
      <c r="N254" s="198">
        <v>12</v>
      </c>
      <c r="O254" s="31" t="s">
        <v>4604</v>
      </c>
    </row>
    <row r="255" spans="1:15" x14ac:dyDescent="0.3">
      <c r="A255" s="155" t="s">
        <v>3393</v>
      </c>
      <c r="B255" s="155" t="s">
        <v>4412</v>
      </c>
      <c r="C255" s="157" t="s">
        <v>342</v>
      </c>
      <c r="D255" s="251" t="s">
        <v>3124</v>
      </c>
      <c r="E255" s="45" t="s">
        <v>2987</v>
      </c>
      <c r="F255" s="45">
        <v>40</v>
      </c>
      <c r="G255" s="24" t="s">
        <v>3196</v>
      </c>
      <c r="H255" s="33" t="s">
        <v>4561</v>
      </c>
      <c r="I255" s="33" t="s">
        <v>4529</v>
      </c>
      <c r="J255" s="177" t="s">
        <v>4623</v>
      </c>
      <c r="K255" s="179">
        <v>5</v>
      </c>
      <c r="L255" s="197" t="s">
        <v>4856</v>
      </c>
      <c r="M255" s="197" t="s">
        <v>4690</v>
      </c>
      <c r="N255" s="198">
        <v>6</v>
      </c>
      <c r="O255" s="31" t="s">
        <v>4604</v>
      </c>
    </row>
    <row r="256" spans="1:15" x14ac:dyDescent="0.3">
      <c r="A256" s="155" t="s">
        <v>3394</v>
      </c>
      <c r="B256" s="155" t="s">
        <v>4412</v>
      </c>
      <c r="C256" s="157" t="s">
        <v>343</v>
      </c>
      <c r="D256" s="251" t="s">
        <v>3124</v>
      </c>
      <c r="E256" s="45" t="s">
        <v>2987</v>
      </c>
      <c r="F256" s="45">
        <v>40</v>
      </c>
      <c r="G256" s="24" t="s">
        <v>3198</v>
      </c>
      <c r="H256" s="33" t="s">
        <v>4561</v>
      </c>
      <c r="I256" s="33" t="s">
        <v>4529</v>
      </c>
      <c r="J256" s="177" t="s">
        <v>4623</v>
      </c>
      <c r="K256" s="179">
        <v>6</v>
      </c>
      <c r="L256" s="197" t="s">
        <v>4856</v>
      </c>
      <c r="M256" s="197" t="s">
        <v>4690</v>
      </c>
      <c r="N256" s="198">
        <v>6</v>
      </c>
      <c r="O256" s="31" t="s">
        <v>4604</v>
      </c>
    </row>
    <row r="257" spans="1:40" s="117" customFormat="1" x14ac:dyDescent="0.3">
      <c r="A257" s="155" t="s">
        <v>4457</v>
      </c>
      <c r="B257" s="134" t="s">
        <v>4414</v>
      </c>
      <c r="C257" s="265" t="s">
        <v>4318</v>
      </c>
      <c r="D257" s="75"/>
      <c r="E257" s="12"/>
      <c r="F257" s="12"/>
      <c r="G257" s="75"/>
      <c r="H257" s="33" t="s">
        <v>4562</v>
      </c>
      <c r="I257" s="33" t="s">
        <v>4529</v>
      </c>
      <c r="J257" s="196" t="s">
        <v>4480</v>
      </c>
      <c r="K257" s="196" t="s">
        <v>4480</v>
      </c>
      <c r="L257" s="197" t="s">
        <v>4857</v>
      </c>
      <c r="M257" s="197" t="s">
        <v>4669</v>
      </c>
      <c r="N257" s="198">
        <v>18</v>
      </c>
      <c r="O257" s="196" t="s">
        <v>4480</v>
      </c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</row>
    <row r="258" spans="1:40" s="23" customFormat="1" x14ac:dyDescent="0.3">
      <c r="A258" s="155" t="s">
        <v>3370</v>
      </c>
      <c r="B258" s="155" t="s">
        <v>4379</v>
      </c>
      <c r="C258" s="157" t="s">
        <v>4539</v>
      </c>
      <c r="D258" s="251"/>
      <c r="E258" s="45"/>
      <c r="F258" s="45"/>
      <c r="G258" s="24"/>
      <c r="H258" s="33" t="s">
        <v>4525</v>
      </c>
      <c r="I258" s="33" t="s">
        <v>4523</v>
      </c>
      <c r="J258" s="177"/>
      <c r="K258" s="179"/>
      <c r="L258" s="179"/>
      <c r="M258" s="179"/>
      <c r="N258" s="33"/>
      <c r="O258" s="33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</row>
    <row r="259" spans="1:40" ht="15" customHeight="1" x14ac:dyDescent="0.3">
      <c r="A259" s="155" t="s">
        <v>3761</v>
      </c>
      <c r="B259" s="192" t="s">
        <v>4402</v>
      </c>
      <c r="C259" s="157" t="s">
        <v>346</v>
      </c>
      <c r="D259" s="251" t="s">
        <v>3124</v>
      </c>
      <c r="E259" s="45" t="s">
        <v>2987</v>
      </c>
      <c r="F259" s="45">
        <v>60</v>
      </c>
      <c r="G259" s="24" t="s">
        <v>3203</v>
      </c>
      <c r="H259" s="98" t="s">
        <v>4542</v>
      </c>
      <c r="I259" s="33" t="s">
        <v>4526</v>
      </c>
      <c r="J259" s="177" t="s">
        <v>4652</v>
      </c>
      <c r="K259" s="179">
        <v>5</v>
      </c>
      <c r="L259" s="125" t="s">
        <v>4830</v>
      </c>
      <c r="M259" s="125" t="s">
        <v>4831</v>
      </c>
      <c r="N259" s="125">
        <v>3</v>
      </c>
      <c r="O259" s="31" t="s">
        <v>4604</v>
      </c>
    </row>
    <row r="260" spans="1:40" ht="15" customHeight="1" x14ac:dyDescent="0.3">
      <c r="A260" s="155" t="s">
        <v>3762</v>
      </c>
      <c r="B260" s="192" t="s">
        <v>4401</v>
      </c>
      <c r="C260" s="157" t="s">
        <v>347</v>
      </c>
      <c r="D260" s="251" t="s">
        <v>3124</v>
      </c>
      <c r="E260" s="45" t="s">
        <v>2987</v>
      </c>
      <c r="F260" s="45">
        <v>60</v>
      </c>
      <c r="G260" s="24" t="s">
        <v>3204</v>
      </c>
      <c r="H260" s="98" t="s">
        <v>4541</v>
      </c>
      <c r="I260" s="33" t="s">
        <v>4526</v>
      </c>
      <c r="J260" s="177" t="s">
        <v>4652</v>
      </c>
      <c r="K260" s="179">
        <v>6</v>
      </c>
      <c r="L260" s="197" t="s">
        <v>4828</v>
      </c>
      <c r="M260" s="197" t="s">
        <v>4690</v>
      </c>
      <c r="N260" s="198">
        <v>6</v>
      </c>
      <c r="O260" s="31" t="s">
        <v>4602</v>
      </c>
    </row>
    <row r="261" spans="1:40" ht="15" customHeight="1" x14ac:dyDescent="0.3">
      <c r="A261" s="155" t="s">
        <v>3758</v>
      </c>
      <c r="B261" s="192" t="s">
        <v>4410</v>
      </c>
      <c r="C261" s="157" t="s">
        <v>348</v>
      </c>
      <c r="D261" s="266" t="s">
        <v>3124</v>
      </c>
      <c r="E261" s="152" t="s">
        <v>2987</v>
      </c>
      <c r="F261" s="152">
        <v>20</v>
      </c>
      <c r="G261" s="153" t="s">
        <v>3205</v>
      </c>
      <c r="H261" s="153" t="s">
        <v>4556</v>
      </c>
      <c r="I261" s="33" t="s">
        <v>4526</v>
      </c>
      <c r="J261" s="194" t="s">
        <v>4657</v>
      </c>
      <c r="K261" s="195">
        <v>2</v>
      </c>
      <c r="L261" s="197" t="s">
        <v>4853</v>
      </c>
      <c r="M261" s="197" t="s">
        <v>4669</v>
      </c>
      <c r="N261" s="198">
        <v>15</v>
      </c>
      <c r="O261" s="153" t="s">
        <v>4602</v>
      </c>
    </row>
    <row r="262" spans="1:40" ht="15" customHeight="1" x14ac:dyDescent="0.3">
      <c r="A262" s="155" t="s">
        <v>3759</v>
      </c>
      <c r="B262" s="192" t="s">
        <v>4410</v>
      </c>
      <c r="C262" s="157" t="s">
        <v>350</v>
      </c>
      <c r="D262" s="266" t="s">
        <v>3124</v>
      </c>
      <c r="E262" s="152" t="s">
        <v>2987</v>
      </c>
      <c r="F262" s="152">
        <v>30</v>
      </c>
      <c r="G262" s="153" t="s">
        <v>3206</v>
      </c>
      <c r="H262" s="153" t="s">
        <v>4556</v>
      </c>
      <c r="I262" s="33" t="s">
        <v>4526</v>
      </c>
      <c r="J262" s="194" t="s">
        <v>4657</v>
      </c>
      <c r="K262" s="195">
        <v>3</v>
      </c>
      <c r="L262" s="197" t="s">
        <v>4853</v>
      </c>
      <c r="M262" s="197" t="s">
        <v>4669</v>
      </c>
      <c r="N262" s="198">
        <v>15</v>
      </c>
      <c r="O262" s="153" t="s">
        <v>4602</v>
      </c>
    </row>
    <row r="263" spans="1:40" ht="15" customHeight="1" x14ac:dyDescent="0.3">
      <c r="A263" s="155" t="s">
        <v>3760</v>
      </c>
      <c r="B263" s="192" t="s">
        <v>4410</v>
      </c>
      <c r="C263" s="157" t="s">
        <v>349</v>
      </c>
      <c r="D263" s="266" t="s">
        <v>3124</v>
      </c>
      <c r="E263" s="152" t="s">
        <v>2987</v>
      </c>
      <c r="F263" s="152">
        <v>30</v>
      </c>
      <c r="G263" s="153" t="s">
        <v>3207</v>
      </c>
      <c r="H263" s="153" t="s">
        <v>4556</v>
      </c>
      <c r="I263" s="33" t="s">
        <v>4526</v>
      </c>
      <c r="J263" s="194" t="s">
        <v>4657</v>
      </c>
      <c r="K263" s="195">
        <v>4</v>
      </c>
      <c r="L263" s="197" t="s">
        <v>4853</v>
      </c>
      <c r="M263" s="197" t="s">
        <v>4669</v>
      </c>
      <c r="N263" s="198">
        <v>15</v>
      </c>
      <c r="O263" s="153" t="s">
        <v>4602</v>
      </c>
    </row>
    <row r="264" spans="1:40" ht="15" customHeight="1" x14ac:dyDescent="0.3">
      <c r="A264" s="155" t="s">
        <v>4413</v>
      </c>
      <c r="B264" s="192" t="s">
        <v>4416</v>
      </c>
      <c r="C264" s="157" t="s">
        <v>351</v>
      </c>
      <c r="D264" s="266" t="s">
        <v>3124</v>
      </c>
      <c r="E264" s="152" t="s">
        <v>2987</v>
      </c>
      <c r="F264" s="152">
        <v>25</v>
      </c>
      <c r="G264" s="153" t="s">
        <v>3210</v>
      </c>
      <c r="H264" s="33" t="s">
        <v>4564</v>
      </c>
      <c r="I264" s="33" t="s">
        <v>4526</v>
      </c>
      <c r="J264" s="177" t="s">
        <v>4658</v>
      </c>
      <c r="K264" s="179">
        <v>7</v>
      </c>
      <c r="L264" s="197" t="s">
        <v>4860</v>
      </c>
      <c r="M264" s="197" t="s">
        <v>4669</v>
      </c>
      <c r="N264" s="198">
        <v>15</v>
      </c>
      <c r="O264" s="31" t="s">
        <v>4602</v>
      </c>
    </row>
    <row r="265" spans="1:40" ht="15" customHeight="1" x14ac:dyDescent="0.3">
      <c r="A265" s="155" t="s">
        <v>3625</v>
      </c>
      <c r="B265" s="192" t="s">
        <v>4416</v>
      </c>
      <c r="C265" s="157" t="s">
        <v>352</v>
      </c>
      <c r="D265" s="266" t="s">
        <v>3124</v>
      </c>
      <c r="E265" s="152" t="s">
        <v>2987</v>
      </c>
      <c r="F265" s="152">
        <v>25</v>
      </c>
      <c r="G265" s="153" t="s">
        <v>3211</v>
      </c>
      <c r="H265" s="33" t="s">
        <v>4564</v>
      </c>
      <c r="I265" s="33" t="s">
        <v>4526</v>
      </c>
      <c r="J265" s="177" t="s">
        <v>4658</v>
      </c>
      <c r="K265" s="179">
        <v>8</v>
      </c>
      <c r="L265" s="197" t="s">
        <v>4860</v>
      </c>
      <c r="M265" s="197" t="s">
        <v>4669</v>
      </c>
      <c r="N265" s="198">
        <v>15</v>
      </c>
      <c r="O265" s="31" t="s">
        <v>4602</v>
      </c>
    </row>
    <row r="266" spans="1:40" ht="15" customHeight="1" x14ac:dyDescent="0.3">
      <c r="A266" s="257" t="s">
        <v>3619</v>
      </c>
      <c r="B266" s="192" t="s">
        <v>4416</v>
      </c>
      <c r="C266" s="157" t="s">
        <v>353</v>
      </c>
      <c r="D266" s="266" t="s">
        <v>3124</v>
      </c>
      <c r="E266" s="152" t="s">
        <v>2987</v>
      </c>
      <c r="F266" s="152">
        <v>25</v>
      </c>
      <c r="G266" s="153" t="s">
        <v>3208</v>
      </c>
      <c r="H266" s="33" t="s">
        <v>4564</v>
      </c>
      <c r="I266" s="33" t="s">
        <v>4526</v>
      </c>
      <c r="J266" s="177" t="s">
        <v>4658</v>
      </c>
      <c r="K266" s="179">
        <v>5</v>
      </c>
      <c r="L266" s="197" t="s">
        <v>4860</v>
      </c>
      <c r="M266" s="197" t="s">
        <v>4669</v>
      </c>
      <c r="N266" s="198">
        <v>15</v>
      </c>
      <c r="O266" s="31" t="s">
        <v>4602</v>
      </c>
    </row>
    <row r="267" spans="1:40" ht="15" customHeight="1" x14ac:dyDescent="0.3">
      <c r="A267" s="155" t="s">
        <v>3624</v>
      </c>
      <c r="B267" s="192" t="s">
        <v>4416</v>
      </c>
      <c r="C267" s="157" t="s">
        <v>354</v>
      </c>
      <c r="D267" s="266" t="s">
        <v>3124</v>
      </c>
      <c r="E267" s="152" t="s">
        <v>2987</v>
      </c>
      <c r="F267" s="152">
        <v>25</v>
      </c>
      <c r="G267" s="153" t="s">
        <v>3209</v>
      </c>
      <c r="H267" s="33" t="s">
        <v>4564</v>
      </c>
      <c r="I267" s="33" t="s">
        <v>4526</v>
      </c>
      <c r="J267" s="177" t="s">
        <v>4658</v>
      </c>
      <c r="K267" s="179">
        <v>6</v>
      </c>
      <c r="L267" s="197" t="s">
        <v>4860</v>
      </c>
      <c r="M267" s="197" t="s">
        <v>4669</v>
      </c>
      <c r="N267" s="198">
        <v>15</v>
      </c>
      <c r="O267" s="31" t="s">
        <v>4602</v>
      </c>
    </row>
    <row r="268" spans="1:40" ht="15" customHeight="1" x14ac:dyDescent="0.3">
      <c r="A268" s="155" t="s">
        <v>3620</v>
      </c>
      <c r="B268" s="192" t="s">
        <v>4416</v>
      </c>
      <c r="C268" s="157" t="s">
        <v>355</v>
      </c>
      <c r="D268" s="266" t="s">
        <v>3124</v>
      </c>
      <c r="E268" s="152" t="s">
        <v>2987</v>
      </c>
      <c r="F268" s="152">
        <v>25</v>
      </c>
      <c r="G268" s="153" t="s">
        <v>3213</v>
      </c>
      <c r="H268" s="33" t="s">
        <v>4564</v>
      </c>
      <c r="I268" s="33" t="s">
        <v>4526</v>
      </c>
      <c r="J268" s="177" t="s">
        <v>4658</v>
      </c>
      <c r="K268" s="179">
        <v>1</v>
      </c>
      <c r="L268" s="197" t="s">
        <v>4859</v>
      </c>
      <c r="M268" s="197" t="s">
        <v>4697</v>
      </c>
      <c r="N268" s="198">
        <v>12</v>
      </c>
      <c r="O268" s="31" t="s">
        <v>4602</v>
      </c>
    </row>
    <row r="269" spans="1:40" ht="15" customHeight="1" x14ac:dyDescent="0.3">
      <c r="A269" s="155" t="s">
        <v>3621</v>
      </c>
      <c r="B269" s="192" t="s">
        <v>4416</v>
      </c>
      <c r="C269" s="157" t="s">
        <v>356</v>
      </c>
      <c r="D269" s="266" t="s">
        <v>3124</v>
      </c>
      <c r="E269" s="152" t="s">
        <v>2987</v>
      </c>
      <c r="F269" s="152">
        <v>25</v>
      </c>
      <c r="G269" s="153" t="s">
        <v>3215</v>
      </c>
      <c r="H269" s="33" t="s">
        <v>4564</v>
      </c>
      <c r="I269" s="33" t="s">
        <v>4526</v>
      </c>
      <c r="J269" s="177" t="s">
        <v>4658</v>
      </c>
      <c r="K269" s="179">
        <v>2</v>
      </c>
      <c r="L269" s="197" t="s">
        <v>4859</v>
      </c>
      <c r="M269" s="197" t="s">
        <v>4697</v>
      </c>
      <c r="N269" s="198">
        <v>12</v>
      </c>
      <c r="O269" s="31" t="s">
        <v>4602</v>
      </c>
    </row>
    <row r="270" spans="1:40" ht="15" customHeight="1" x14ac:dyDescent="0.3">
      <c r="A270" s="155" t="s">
        <v>3622</v>
      </c>
      <c r="B270" s="192" t="s">
        <v>4416</v>
      </c>
      <c r="C270" s="157" t="s">
        <v>357</v>
      </c>
      <c r="D270" s="266" t="s">
        <v>3124</v>
      </c>
      <c r="E270" s="152" t="s">
        <v>2987</v>
      </c>
      <c r="F270" s="152">
        <v>25</v>
      </c>
      <c r="G270" s="153" t="s">
        <v>3212</v>
      </c>
      <c r="H270" s="33" t="s">
        <v>4564</v>
      </c>
      <c r="I270" s="33" t="s">
        <v>4526</v>
      </c>
      <c r="J270" s="177" t="s">
        <v>4658</v>
      </c>
      <c r="K270" s="179">
        <v>3</v>
      </c>
      <c r="L270" s="197" t="s">
        <v>4859</v>
      </c>
      <c r="M270" s="197" t="s">
        <v>4697</v>
      </c>
      <c r="N270" s="198">
        <v>12</v>
      </c>
      <c r="O270" s="31" t="s">
        <v>4602</v>
      </c>
    </row>
    <row r="271" spans="1:40" ht="15" customHeight="1" x14ac:dyDescent="0.3">
      <c r="A271" s="155" t="s">
        <v>3623</v>
      </c>
      <c r="B271" s="192" t="s">
        <v>4416</v>
      </c>
      <c r="C271" s="157" t="s">
        <v>358</v>
      </c>
      <c r="D271" s="266" t="s">
        <v>3124</v>
      </c>
      <c r="E271" s="152" t="s">
        <v>2987</v>
      </c>
      <c r="F271" s="152">
        <v>25</v>
      </c>
      <c r="G271" s="153" t="s">
        <v>3214</v>
      </c>
      <c r="H271" s="33" t="s">
        <v>4564</v>
      </c>
      <c r="I271" s="33" t="s">
        <v>4526</v>
      </c>
      <c r="J271" s="177" t="s">
        <v>4658</v>
      </c>
      <c r="K271" s="179">
        <v>4</v>
      </c>
      <c r="L271" s="197" t="s">
        <v>4859</v>
      </c>
      <c r="M271" s="197" t="s">
        <v>4697</v>
      </c>
      <c r="N271" s="198">
        <v>12</v>
      </c>
      <c r="O271" s="31" t="s">
        <v>4602</v>
      </c>
    </row>
    <row r="272" spans="1:40" ht="15" customHeight="1" x14ac:dyDescent="0.3">
      <c r="A272" s="155" t="s">
        <v>3675</v>
      </c>
      <c r="B272" s="192" t="s">
        <v>4416</v>
      </c>
      <c r="C272" s="157" t="s">
        <v>359</v>
      </c>
      <c r="D272" s="266" t="s">
        <v>3124</v>
      </c>
      <c r="E272" s="152" t="s">
        <v>2987</v>
      </c>
      <c r="F272" s="152">
        <v>25</v>
      </c>
      <c r="G272" s="153" t="s">
        <v>3216</v>
      </c>
      <c r="H272" s="33" t="s">
        <v>4564</v>
      </c>
      <c r="I272" s="33" t="s">
        <v>4526</v>
      </c>
      <c r="J272" s="177" t="s">
        <v>4657</v>
      </c>
      <c r="K272" s="179">
        <v>1</v>
      </c>
      <c r="L272" s="197" t="s">
        <v>4860</v>
      </c>
      <c r="M272" s="197" t="s">
        <v>4669</v>
      </c>
      <c r="N272" s="198">
        <v>15</v>
      </c>
      <c r="O272" s="31" t="s">
        <v>4602</v>
      </c>
    </row>
    <row r="273" spans="1:40" ht="15" customHeight="1" x14ac:dyDescent="0.3">
      <c r="A273" s="155" t="s">
        <v>3763</v>
      </c>
      <c r="B273" s="155" t="s">
        <v>4379</v>
      </c>
      <c r="C273" s="157" t="s">
        <v>360</v>
      </c>
      <c r="D273" s="266" t="s">
        <v>3124</v>
      </c>
      <c r="E273" s="152" t="s">
        <v>2987</v>
      </c>
      <c r="F273" s="152">
        <v>60</v>
      </c>
      <c r="G273" s="153" t="s">
        <v>3217</v>
      </c>
      <c r="H273" s="33" t="s">
        <v>4525</v>
      </c>
      <c r="I273" s="33" t="s">
        <v>4526</v>
      </c>
      <c r="J273" s="177" t="s">
        <v>4652</v>
      </c>
      <c r="K273" s="179">
        <v>1</v>
      </c>
      <c r="L273" s="197" t="s">
        <v>4807</v>
      </c>
      <c r="M273" s="197" t="s">
        <v>4690</v>
      </c>
      <c r="N273" s="198">
        <v>6</v>
      </c>
      <c r="O273" s="31" t="s">
        <v>4602</v>
      </c>
    </row>
    <row r="274" spans="1:40" ht="15" customHeight="1" x14ac:dyDescent="0.3">
      <c r="A274" s="155" t="s">
        <v>3764</v>
      </c>
      <c r="B274" s="155" t="s">
        <v>4379</v>
      </c>
      <c r="C274" s="157" t="s">
        <v>361</v>
      </c>
      <c r="D274" s="266" t="s">
        <v>3124</v>
      </c>
      <c r="E274" s="152" t="s">
        <v>2987</v>
      </c>
      <c r="F274" s="152">
        <v>60</v>
      </c>
      <c r="G274" s="153" t="s">
        <v>3218</v>
      </c>
      <c r="H274" s="33" t="s">
        <v>4525</v>
      </c>
      <c r="I274" s="33" t="s">
        <v>4526</v>
      </c>
      <c r="J274" s="177" t="s">
        <v>4652</v>
      </c>
      <c r="K274" s="179">
        <v>2</v>
      </c>
      <c r="L274" s="197" t="s">
        <v>4807</v>
      </c>
      <c r="M274" s="197" t="s">
        <v>4690</v>
      </c>
      <c r="N274" s="198">
        <v>6</v>
      </c>
      <c r="O274" s="31" t="s">
        <v>4602</v>
      </c>
    </row>
    <row r="275" spans="1:40" ht="15" customHeight="1" x14ac:dyDescent="0.3">
      <c r="A275" s="250" t="s">
        <v>4380</v>
      </c>
      <c r="B275" s="155" t="s">
        <v>4378</v>
      </c>
      <c r="C275" s="248" t="s">
        <v>362</v>
      </c>
      <c r="D275" s="266" t="s">
        <v>3124</v>
      </c>
      <c r="E275" s="152" t="s">
        <v>2987</v>
      </c>
      <c r="F275" s="152">
        <v>60</v>
      </c>
      <c r="G275" s="153" t="s">
        <v>3217</v>
      </c>
      <c r="H275" s="33" t="s">
        <v>4525</v>
      </c>
      <c r="I275" s="33" t="s">
        <v>4526</v>
      </c>
      <c r="J275" s="177" t="s">
        <v>4652</v>
      </c>
      <c r="K275" s="179">
        <v>3</v>
      </c>
      <c r="L275" s="197" t="s">
        <v>4806</v>
      </c>
      <c r="M275" s="197" t="s">
        <v>4690</v>
      </c>
      <c r="N275" s="198">
        <v>6</v>
      </c>
      <c r="O275" s="31" t="s">
        <v>4602</v>
      </c>
    </row>
    <row r="276" spans="1:40" ht="15" customHeight="1" x14ac:dyDescent="0.3">
      <c r="A276" s="250" t="s">
        <v>4382</v>
      </c>
      <c r="B276" s="155" t="s">
        <v>4378</v>
      </c>
      <c r="C276" s="248" t="s">
        <v>363</v>
      </c>
      <c r="D276" s="266" t="s">
        <v>3124</v>
      </c>
      <c r="E276" s="152" t="s">
        <v>2987</v>
      </c>
      <c r="F276" s="152">
        <v>60</v>
      </c>
      <c r="G276" s="153" t="s">
        <v>3218</v>
      </c>
      <c r="H276" s="33" t="s">
        <v>4525</v>
      </c>
      <c r="I276" s="33" t="s">
        <v>4526</v>
      </c>
      <c r="J276" s="177" t="s">
        <v>4652</v>
      </c>
      <c r="K276" s="179">
        <v>4</v>
      </c>
      <c r="L276" s="197" t="s">
        <v>4806</v>
      </c>
      <c r="M276" s="197" t="s">
        <v>4690</v>
      </c>
      <c r="N276" s="198">
        <v>6</v>
      </c>
      <c r="O276" s="31" t="s">
        <v>4602</v>
      </c>
    </row>
    <row r="277" spans="1:40" ht="15" customHeight="1" x14ac:dyDescent="0.3">
      <c r="A277" s="155" t="s">
        <v>3765</v>
      </c>
      <c r="B277" s="192" t="s">
        <v>4410</v>
      </c>
      <c r="C277" s="157" t="s">
        <v>364</v>
      </c>
      <c r="D277" s="266" t="s">
        <v>3124</v>
      </c>
      <c r="E277" s="152" t="s">
        <v>2987</v>
      </c>
      <c r="F277" s="152">
        <v>30</v>
      </c>
      <c r="G277" s="153" t="s">
        <v>3219</v>
      </c>
      <c r="H277" s="153" t="s">
        <v>4556</v>
      </c>
      <c r="I277" s="33" t="s">
        <v>4526</v>
      </c>
      <c r="J277" s="177" t="s">
        <v>4646</v>
      </c>
      <c r="K277" s="179">
        <v>2</v>
      </c>
      <c r="L277" s="197" t="s">
        <v>4853</v>
      </c>
      <c r="M277" s="197" t="s">
        <v>4669</v>
      </c>
      <c r="N277" s="198">
        <v>15</v>
      </c>
      <c r="O277" s="153" t="s">
        <v>4602</v>
      </c>
    </row>
    <row r="278" spans="1:40" ht="15" customHeight="1" x14ac:dyDescent="0.3">
      <c r="A278" s="155" t="s">
        <v>3766</v>
      </c>
      <c r="B278" s="192" t="s">
        <v>4410</v>
      </c>
      <c r="C278" s="157" t="s">
        <v>365</v>
      </c>
      <c r="D278" s="266" t="s">
        <v>3124</v>
      </c>
      <c r="E278" s="152" t="s">
        <v>2987</v>
      </c>
      <c r="F278" s="152">
        <v>40</v>
      </c>
      <c r="G278" s="153" t="s">
        <v>3220</v>
      </c>
      <c r="H278" s="153" t="s">
        <v>4556</v>
      </c>
      <c r="I278" s="33" t="s">
        <v>4526</v>
      </c>
      <c r="J278" s="177" t="s">
        <v>4646</v>
      </c>
      <c r="K278" s="179">
        <v>1</v>
      </c>
      <c r="L278" s="197" t="s">
        <v>4853</v>
      </c>
      <c r="M278" s="197" t="s">
        <v>4669</v>
      </c>
      <c r="N278" s="198">
        <v>15</v>
      </c>
      <c r="O278" s="153" t="s">
        <v>4602</v>
      </c>
    </row>
    <row r="279" spans="1:40" s="5" customFormat="1" ht="15" customHeight="1" x14ac:dyDescent="0.3">
      <c r="A279" s="232" t="s">
        <v>3770</v>
      </c>
      <c r="B279" s="136" t="s">
        <v>4404</v>
      </c>
      <c r="C279" s="155" t="s">
        <v>3787</v>
      </c>
      <c r="D279" s="75"/>
      <c r="E279" s="12"/>
      <c r="F279" s="152"/>
      <c r="G279" s="153"/>
      <c r="H279" s="98" t="s">
        <v>4544</v>
      </c>
      <c r="I279" s="145" t="s">
        <v>4480</v>
      </c>
      <c r="J279" s="145" t="s">
        <v>4480</v>
      </c>
      <c r="K279" s="145" t="s">
        <v>4480</v>
      </c>
      <c r="L279" s="125" t="s">
        <v>4835</v>
      </c>
      <c r="M279" s="125" t="s">
        <v>4690</v>
      </c>
      <c r="N279" s="125">
        <v>6</v>
      </c>
      <c r="O279" s="145" t="s">
        <v>4480</v>
      </c>
      <c r="P279" s="249"/>
      <c r="Q279" s="249"/>
      <c r="R279" s="249"/>
      <c r="S279" s="249"/>
      <c r="T279" s="249"/>
      <c r="U279" s="249"/>
      <c r="V279" s="249"/>
      <c r="W279" s="249"/>
      <c r="X279" s="249"/>
      <c r="Y279" s="249"/>
      <c r="Z279" s="249"/>
      <c r="AA279" s="249"/>
      <c r="AB279" s="249"/>
      <c r="AC279" s="249"/>
      <c r="AD279" s="249"/>
      <c r="AE279" s="249"/>
      <c r="AF279" s="249"/>
      <c r="AG279" s="249"/>
      <c r="AH279" s="249"/>
      <c r="AI279" s="249"/>
      <c r="AJ279" s="249"/>
      <c r="AK279" s="249"/>
      <c r="AL279" s="249"/>
      <c r="AM279" s="249"/>
      <c r="AN279" s="249"/>
    </row>
    <row r="280" spans="1:40" s="5" customFormat="1" ht="15" customHeight="1" x14ac:dyDescent="0.3">
      <c r="A280" s="232" t="s">
        <v>3771</v>
      </c>
      <c r="B280" s="136" t="s">
        <v>4404</v>
      </c>
      <c r="C280" s="155" t="s">
        <v>3786</v>
      </c>
      <c r="D280" s="75"/>
      <c r="E280" s="12"/>
      <c r="F280" s="152"/>
      <c r="G280" s="153"/>
      <c r="H280" s="98" t="s">
        <v>4544</v>
      </c>
      <c r="I280" s="145" t="s">
        <v>4480</v>
      </c>
      <c r="J280" s="145" t="s">
        <v>4480</v>
      </c>
      <c r="K280" s="145" t="s">
        <v>4480</v>
      </c>
      <c r="L280" s="125" t="s">
        <v>4835</v>
      </c>
      <c r="M280" s="125" t="s">
        <v>4690</v>
      </c>
      <c r="N280" s="125">
        <v>6</v>
      </c>
      <c r="O280" s="145" t="s">
        <v>4480</v>
      </c>
      <c r="P280" s="249"/>
      <c r="Q280" s="249"/>
      <c r="R280" s="249"/>
      <c r="S280" s="249"/>
      <c r="T280" s="249"/>
      <c r="U280" s="249"/>
      <c r="V280" s="249"/>
      <c r="W280" s="249"/>
      <c r="X280" s="249"/>
      <c r="Y280" s="249"/>
      <c r="Z280" s="249"/>
      <c r="AA280" s="249"/>
      <c r="AB280" s="249"/>
      <c r="AC280" s="249"/>
      <c r="AD280" s="249"/>
      <c r="AE280" s="249"/>
      <c r="AF280" s="249"/>
      <c r="AG280" s="249"/>
      <c r="AH280" s="249"/>
      <c r="AI280" s="249"/>
      <c r="AJ280" s="249"/>
      <c r="AK280" s="249"/>
      <c r="AL280" s="249"/>
      <c r="AM280" s="249"/>
      <c r="AN280" s="249"/>
    </row>
    <row r="281" spans="1:40" s="5" customFormat="1" ht="15" customHeight="1" x14ac:dyDescent="0.3">
      <c r="A281" s="232" t="s">
        <v>3772</v>
      </c>
      <c r="B281" s="136" t="s">
        <v>4404</v>
      </c>
      <c r="C281" s="155" t="s">
        <v>3788</v>
      </c>
      <c r="D281" s="75"/>
      <c r="E281" s="12"/>
      <c r="F281" s="152"/>
      <c r="G281" s="153"/>
      <c r="H281" s="98" t="s">
        <v>4544</v>
      </c>
      <c r="I281" s="145" t="s">
        <v>4480</v>
      </c>
      <c r="J281" s="145" t="s">
        <v>4480</v>
      </c>
      <c r="K281" s="145" t="s">
        <v>4480</v>
      </c>
      <c r="L281" s="125" t="s">
        <v>4836</v>
      </c>
      <c r="M281" s="125" t="s">
        <v>4690</v>
      </c>
      <c r="N281" s="125">
        <v>9</v>
      </c>
      <c r="O281" s="145" t="s">
        <v>4480</v>
      </c>
      <c r="P281" s="249"/>
      <c r="Q281" s="249"/>
      <c r="R281" s="249"/>
      <c r="S281" s="249"/>
      <c r="T281" s="249"/>
      <c r="U281" s="249"/>
      <c r="V281" s="249"/>
      <c r="W281" s="249"/>
      <c r="X281" s="249"/>
      <c r="Y281" s="249"/>
      <c r="Z281" s="249"/>
      <c r="AA281" s="249"/>
      <c r="AB281" s="249"/>
      <c r="AC281" s="249"/>
      <c r="AD281" s="249"/>
      <c r="AE281" s="249"/>
      <c r="AF281" s="249"/>
      <c r="AG281" s="249"/>
      <c r="AH281" s="249"/>
      <c r="AI281" s="249"/>
      <c r="AJ281" s="249"/>
      <c r="AK281" s="249"/>
      <c r="AL281" s="249"/>
      <c r="AM281" s="249"/>
      <c r="AN281" s="249"/>
    </row>
    <row r="282" spans="1:40" s="5" customFormat="1" ht="15" customHeight="1" x14ac:dyDescent="0.3">
      <c r="A282" s="232" t="s">
        <v>3773</v>
      </c>
      <c r="B282" s="136" t="s">
        <v>4404</v>
      </c>
      <c r="C282" s="155" t="s">
        <v>3789</v>
      </c>
      <c r="D282" s="75"/>
      <c r="E282" s="12"/>
      <c r="F282" s="152"/>
      <c r="G282" s="153"/>
      <c r="H282" s="98" t="s">
        <v>4544</v>
      </c>
      <c r="I282" s="145" t="s">
        <v>4480</v>
      </c>
      <c r="J282" s="145" t="s">
        <v>4480</v>
      </c>
      <c r="K282" s="145" t="s">
        <v>4480</v>
      </c>
      <c r="L282" s="125" t="s">
        <v>4837</v>
      </c>
      <c r="M282" s="125" t="s">
        <v>4690</v>
      </c>
      <c r="N282" s="125">
        <v>9</v>
      </c>
      <c r="O282" s="145" t="s">
        <v>4480</v>
      </c>
      <c r="P282" s="249"/>
      <c r="Q282" s="249"/>
      <c r="R282" s="249"/>
      <c r="S282" s="249"/>
      <c r="T282" s="249"/>
      <c r="U282" s="249"/>
      <c r="V282" s="249"/>
      <c r="W282" s="249"/>
      <c r="X282" s="249"/>
      <c r="Y282" s="249"/>
      <c r="Z282" s="249"/>
      <c r="AA282" s="249"/>
      <c r="AB282" s="249"/>
      <c r="AC282" s="249"/>
      <c r="AD282" s="249"/>
      <c r="AE282" s="249"/>
      <c r="AF282" s="249"/>
      <c r="AG282" s="249"/>
      <c r="AH282" s="249"/>
      <c r="AI282" s="249"/>
      <c r="AJ282" s="249"/>
      <c r="AK282" s="249"/>
      <c r="AL282" s="249"/>
      <c r="AM282" s="249"/>
      <c r="AN282" s="249"/>
    </row>
    <row r="283" spans="1:40" s="5" customFormat="1" ht="15" customHeight="1" x14ac:dyDescent="0.3">
      <c r="A283" s="232" t="s">
        <v>3774</v>
      </c>
      <c r="B283" s="136" t="s">
        <v>4404</v>
      </c>
      <c r="C283" s="155" t="s">
        <v>3790</v>
      </c>
      <c r="D283" s="75"/>
      <c r="E283" s="12"/>
      <c r="F283" s="152"/>
      <c r="G283" s="153"/>
      <c r="H283" s="98" t="s">
        <v>4544</v>
      </c>
      <c r="I283" s="145" t="s">
        <v>4480</v>
      </c>
      <c r="J283" s="145" t="s">
        <v>4480</v>
      </c>
      <c r="K283" s="145" t="s">
        <v>4480</v>
      </c>
      <c r="L283" s="125" t="s">
        <v>4836</v>
      </c>
      <c r="M283" s="125" t="s">
        <v>4690</v>
      </c>
      <c r="N283" s="125">
        <v>9</v>
      </c>
      <c r="O283" s="145" t="s">
        <v>4480</v>
      </c>
      <c r="P283" s="249"/>
      <c r="Q283" s="249"/>
      <c r="R283" s="249"/>
      <c r="S283" s="249"/>
      <c r="T283" s="249"/>
      <c r="U283" s="249"/>
      <c r="V283" s="249"/>
      <c r="W283" s="249"/>
      <c r="X283" s="249"/>
      <c r="Y283" s="249"/>
      <c r="Z283" s="249"/>
      <c r="AA283" s="249"/>
      <c r="AB283" s="249"/>
      <c r="AC283" s="249"/>
      <c r="AD283" s="249"/>
      <c r="AE283" s="249"/>
      <c r="AF283" s="249"/>
      <c r="AG283" s="249"/>
      <c r="AH283" s="249"/>
      <c r="AI283" s="249"/>
      <c r="AJ283" s="249"/>
      <c r="AK283" s="249"/>
      <c r="AL283" s="249"/>
      <c r="AM283" s="249"/>
      <c r="AN283" s="249"/>
    </row>
    <row r="284" spans="1:40" s="5" customFormat="1" ht="15" customHeight="1" x14ac:dyDescent="0.3">
      <c r="A284" s="232" t="s">
        <v>3775</v>
      </c>
      <c r="B284" s="136" t="s">
        <v>4404</v>
      </c>
      <c r="C284" s="155" t="s">
        <v>3791</v>
      </c>
      <c r="D284" s="75"/>
      <c r="E284" s="12"/>
      <c r="F284" s="152"/>
      <c r="G284" s="153"/>
      <c r="H284" s="98" t="s">
        <v>4544</v>
      </c>
      <c r="I284" s="145" t="s">
        <v>4480</v>
      </c>
      <c r="J284" s="145" t="s">
        <v>4480</v>
      </c>
      <c r="K284" s="145" t="s">
        <v>4480</v>
      </c>
      <c r="L284" s="125" t="s">
        <v>4836</v>
      </c>
      <c r="M284" s="125" t="s">
        <v>4690</v>
      </c>
      <c r="N284" s="125">
        <v>9</v>
      </c>
      <c r="O284" s="145" t="s">
        <v>4480</v>
      </c>
      <c r="P284" s="249"/>
      <c r="Q284" s="249"/>
      <c r="R284" s="249"/>
      <c r="S284" s="249"/>
      <c r="T284" s="249"/>
      <c r="U284" s="249"/>
      <c r="V284" s="249"/>
      <c r="W284" s="249"/>
      <c r="X284" s="249"/>
      <c r="Y284" s="249"/>
      <c r="Z284" s="249"/>
      <c r="AA284" s="249"/>
      <c r="AB284" s="249"/>
      <c r="AC284" s="249"/>
      <c r="AD284" s="249"/>
      <c r="AE284" s="249"/>
      <c r="AF284" s="249"/>
      <c r="AG284" s="249"/>
      <c r="AH284" s="249"/>
      <c r="AI284" s="249"/>
      <c r="AJ284" s="249"/>
      <c r="AK284" s="249"/>
      <c r="AL284" s="249"/>
      <c r="AM284" s="249"/>
      <c r="AN284" s="249"/>
    </row>
    <row r="285" spans="1:40" s="5" customFormat="1" ht="15" customHeight="1" x14ac:dyDescent="0.3">
      <c r="A285" s="232" t="s">
        <v>3776</v>
      </c>
      <c r="B285" s="136" t="s">
        <v>4404</v>
      </c>
      <c r="C285" s="155" t="s">
        <v>3792</v>
      </c>
      <c r="D285" s="75"/>
      <c r="E285" s="12"/>
      <c r="F285" s="152"/>
      <c r="G285" s="153"/>
      <c r="H285" s="98" t="s">
        <v>4544</v>
      </c>
      <c r="I285" s="145" t="s">
        <v>4480</v>
      </c>
      <c r="J285" s="145" t="s">
        <v>4480</v>
      </c>
      <c r="K285" s="145" t="s">
        <v>4480</v>
      </c>
      <c r="L285" s="125" t="s">
        <v>4837</v>
      </c>
      <c r="M285" s="125" t="s">
        <v>4690</v>
      </c>
      <c r="N285" s="125">
        <v>9</v>
      </c>
      <c r="O285" s="145" t="s">
        <v>4480</v>
      </c>
      <c r="P285" s="249"/>
      <c r="Q285" s="249"/>
      <c r="R285" s="249"/>
      <c r="S285" s="249"/>
      <c r="T285" s="249"/>
      <c r="U285" s="249"/>
      <c r="V285" s="249"/>
      <c r="W285" s="249"/>
      <c r="X285" s="249"/>
      <c r="Y285" s="249"/>
      <c r="Z285" s="249"/>
      <c r="AA285" s="249"/>
      <c r="AB285" s="249"/>
      <c r="AC285" s="249"/>
      <c r="AD285" s="249"/>
      <c r="AE285" s="249"/>
      <c r="AF285" s="249"/>
      <c r="AG285" s="249"/>
      <c r="AH285" s="249"/>
      <c r="AI285" s="249"/>
      <c r="AJ285" s="249"/>
      <c r="AK285" s="249"/>
      <c r="AL285" s="249"/>
      <c r="AM285" s="249"/>
      <c r="AN285" s="249"/>
    </row>
    <row r="286" spans="1:40" s="5" customFormat="1" ht="15" customHeight="1" x14ac:dyDescent="0.3">
      <c r="A286" s="232" t="s">
        <v>3777</v>
      </c>
      <c r="B286" s="136" t="s">
        <v>4404</v>
      </c>
      <c r="C286" s="155" t="s">
        <v>3793</v>
      </c>
      <c r="D286" s="75"/>
      <c r="E286" s="12"/>
      <c r="F286" s="152"/>
      <c r="G286" s="153"/>
      <c r="H286" s="98" t="s">
        <v>4544</v>
      </c>
      <c r="I286" s="145" t="s">
        <v>4480</v>
      </c>
      <c r="J286" s="145" t="s">
        <v>4480</v>
      </c>
      <c r="K286" s="145" t="s">
        <v>4480</v>
      </c>
      <c r="L286" s="125" t="s">
        <v>4837</v>
      </c>
      <c r="M286" s="125" t="s">
        <v>4690</v>
      </c>
      <c r="N286" s="125">
        <v>9</v>
      </c>
      <c r="O286" s="145" t="s">
        <v>4480</v>
      </c>
      <c r="P286" s="249"/>
      <c r="Q286" s="249"/>
      <c r="R286" s="249"/>
      <c r="S286" s="249"/>
      <c r="T286" s="249"/>
      <c r="U286" s="249"/>
      <c r="V286" s="249"/>
      <c r="W286" s="249"/>
      <c r="X286" s="249"/>
      <c r="Y286" s="249"/>
      <c r="Z286" s="249"/>
      <c r="AA286" s="249"/>
      <c r="AB286" s="249"/>
      <c r="AC286" s="249"/>
      <c r="AD286" s="249"/>
      <c r="AE286" s="249"/>
      <c r="AF286" s="249"/>
      <c r="AG286" s="249"/>
      <c r="AH286" s="249"/>
      <c r="AI286" s="249"/>
      <c r="AJ286" s="249"/>
      <c r="AK286" s="249"/>
      <c r="AL286" s="249"/>
      <c r="AM286" s="249"/>
      <c r="AN286" s="249"/>
    </row>
    <row r="287" spans="1:40" s="5" customFormat="1" ht="15" customHeight="1" x14ac:dyDescent="0.3">
      <c r="A287" s="232" t="s">
        <v>3778</v>
      </c>
      <c r="B287" s="136" t="s">
        <v>4405</v>
      </c>
      <c r="C287" s="155" t="s">
        <v>3795</v>
      </c>
      <c r="D287" s="75"/>
      <c r="E287" s="12"/>
      <c r="F287" s="152"/>
      <c r="G287" s="153"/>
      <c r="H287" s="98" t="s">
        <v>4549</v>
      </c>
      <c r="I287" s="145" t="s">
        <v>4480</v>
      </c>
      <c r="J287" s="145" t="s">
        <v>4480</v>
      </c>
      <c r="K287" s="145" t="s">
        <v>4480</v>
      </c>
      <c r="L287" s="125" t="s">
        <v>4838</v>
      </c>
      <c r="M287" s="125" t="s">
        <v>4690</v>
      </c>
      <c r="N287" s="125">
        <v>6</v>
      </c>
      <c r="O287" s="145" t="s">
        <v>4480</v>
      </c>
      <c r="P287" s="249"/>
      <c r="Q287" s="249"/>
      <c r="R287" s="249"/>
      <c r="S287" s="249"/>
      <c r="T287" s="249"/>
      <c r="U287" s="249"/>
      <c r="V287" s="249"/>
      <c r="W287" s="249"/>
      <c r="X287" s="249"/>
      <c r="Y287" s="249"/>
      <c r="Z287" s="249"/>
      <c r="AA287" s="249"/>
      <c r="AB287" s="249"/>
      <c r="AC287" s="249"/>
      <c r="AD287" s="249"/>
      <c r="AE287" s="249"/>
      <c r="AF287" s="249"/>
      <c r="AG287" s="249"/>
      <c r="AH287" s="249"/>
      <c r="AI287" s="249"/>
      <c r="AJ287" s="249"/>
      <c r="AK287" s="249"/>
      <c r="AL287" s="249"/>
      <c r="AM287" s="249"/>
      <c r="AN287" s="249"/>
    </row>
    <row r="288" spans="1:40" s="5" customFormat="1" ht="15" customHeight="1" x14ac:dyDescent="0.3">
      <c r="A288" s="232" t="s">
        <v>3779</v>
      </c>
      <c r="B288" s="136" t="s">
        <v>4405</v>
      </c>
      <c r="C288" s="155" t="s">
        <v>3794</v>
      </c>
      <c r="D288" s="75"/>
      <c r="E288" s="12"/>
      <c r="F288" s="152"/>
      <c r="G288" s="153"/>
      <c r="H288" s="98" t="s">
        <v>4549</v>
      </c>
      <c r="I288" s="145" t="s">
        <v>4480</v>
      </c>
      <c r="J288" s="145" t="s">
        <v>4480</v>
      </c>
      <c r="K288" s="145" t="s">
        <v>4480</v>
      </c>
      <c r="L288" s="125" t="s">
        <v>4838</v>
      </c>
      <c r="M288" s="125" t="s">
        <v>4690</v>
      </c>
      <c r="N288" s="125">
        <v>6</v>
      </c>
      <c r="O288" s="145" t="s">
        <v>4480</v>
      </c>
      <c r="P288" s="249"/>
      <c r="Q288" s="249"/>
      <c r="R288" s="249"/>
      <c r="S288" s="249"/>
      <c r="T288" s="249"/>
      <c r="U288" s="249"/>
      <c r="V288" s="249"/>
      <c r="W288" s="249"/>
      <c r="X288" s="249"/>
      <c r="Y288" s="249"/>
      <c r="Z288" s="249"/>
      <c r="AA288" s="249"/>
      <c r="AB288" s="249"/>
      <c r="AC288" s="249"/>
      <c r="AD288" s="249"/>
      <c r="AE288" s="249"/>
      <c r="AF288" s="249"/>
      <c r="AG288" s="249"/>
      <c r="AH288" s="249"/>
      <c r="AI288" s="249"/>
      <c r="AJ288" s="249"/>
      <c r="AK288" s="249"/>
      <c r="AL288" s="249"/>
      <c r="AM288" s="249"/>
      <c r="AN288" s="249"/>
    </row>
    <row r="289" spans="1:40" s="5" customFormat="1" ht="15" customHeight="1" x14ac:dyDescent="0.3">
      <c r="A289" s="232" t="s">
        <v>3780</v>
      </c>
      <c r="B289" s="136" t="s">
        <v>4405</v>
      </c>
      <c r="C289" s="155" t="s">
        <v>3796</v>
      </c>
      <c r="D289" s="75"/>
      <c r="E289" s="12"/>
      <c r="F289" s="152"/>
      <c r="G289" s="153"/>
      <c r="H289" s="98" t="s">
        <v>4549</v>
      </c>
      <c r="I289" s="145" t="s">
        <v>4480</v>
      </c>
      <c r="J289" s="145" t="s">
        <v>4480</v>
      </c>
      <c r="K289" s="145" t="s">
        <v>4480</v>
      </c>
      <c r="L289" s="125" t="s">
        <v>4839</v>
      </c>
      <c r="M289" s="125" t="s">
        <v>4690</v>
      </c>
      <c r="N289" s="125">
        <v>9</v>
      </c>
      <c r="O289" s="145" t="s">
        <v>4480</v>
      </c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49"/>
      <c r="AE289" s="249"/>
      <c r="AF289" s="249"/>
      <c r="AG289" s="249"/>
      <c r="AH289" s="249"/>
      <c r="AI289" s="249"/>
      <c r="AJ289" s="249"/>
      <c r="AK289" s="249"/>
      <c r="AL289" s="249"/>
      <c r="AM289" s="249"/>
      <c r="AN289" s="249"/>
    </row>
    <row r="290" spans="1:40" s="5" customFormat="1" ht="15" customHeight="1" x14ac:dyDescent="0.3">
      <c r="A290" s="232" t="s">
        <v>3781</v>
      </c>
      <c r="B290" s="136" t="s">
        <v>4405</v>
      </c>
      <c r="C290" s="155" t="s">
        <v>3797</v>
      </c>
      <c r="D290" s="75"/>
      <c r="E290" s="12"/>
      <c r="F290" s="152"/>
      <c r="G290" s="153"/>
      <c r="H290" s="98" t="s">
        <v>4549</v>
      </c>
      <c r="I290" s="145" t="s">
        <v>4480</v>
      </c>
      <c r="J290" s="145" t="s">
        <v>4480</v>
      </c>
      <c r="K290" s="145" t="s">
        <v>4480</v>
      </c>
      <c r="L290" s="125" t="s">
        <v>4840</v>
      </c>
      <c r="M290" s="125" t="s">
        <v>4690</v>
      </c>
      <c r="N290" s="125">
        <v>9</v>
      </c>
      <c r="O290" s="145" t="s">
        <v>4480</v>
      </c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9"/>
      <c r="AA290" s="249"/>
      <c r="AB290" s="249"/>
      <c r="AC290" s="249"/>
      <c r="AD290" s="249"/>
      <c r="AE290" s="249"/>
      <c r="AF290" s="249"/>
      <c r="AG290" s="249"/>
      <c r="AH290" s="249"/>
      <c r="AI290" s="249"/>
      <c r="AJ290" s="249"/>
      <c r="AK290" s="249"/>
      <c r="AL290" s="249"/>
      <c r="AM290" s="249"/>
      <c r="AN290" s="249"/>
    </row>
    <row r="291" spans="1:40" s="5" customFormat="1" ht="15" customHeight="1" x14ac:dyDescent="0.3">
      <c r="A291" s="232" t="s">
        <v>3782</v>
      </c>
      <c r="B291" s="136" t="s">
        <v>4405</v>
      </c>
      <c r="C291" s="155" t="s">
        <v>3798</v>
      </c>
      <c r="D291" s="75"/>
      <c r="E291" s="12"/>
      <c r="F291" s="152"/>
      <c r="G291" s="153"/>
      <c r="H291" s="98" t="s">
        <v>4549</v>
      </c>
      <c r="I291" s="145" t="s">
        <v>4480</v>
      </c>
      <c r="J291" s="145" t="s">
        <v>4480</v>
      </c>
      <c r="K291" s="145" t="s">
        <v>4480</v>
      </c>
      <c r="L291" s="125" t="s">
        <v>4839</v>
      </c>
      <c r="M291" s="125" t="s">
        <v>4690</v>
      </c>
      <c r="N291" s="125">
        <v>9</v>
      </c>
      <c r="O291" s="145" t="s">
        <v>4480</v>
      </c>
      <c r="P291" s="249"/>
      <c r="Q291" s="249"/>
      <c r="R291" s="249"/>
      <c r="S291" s="249"/>
      <c r="T291" s="249"/>
      <c r="U291" s="249"/>
      <c r="V291" s="249"/>
      <c r="W291" s="249"/>
      <c r="X291" s="249"/>
      <c r="Y291" s="249"/>
      <c r="Z291" s="249"/>
      <c r="AA291" s="249"/>
      <c r="AB291" s="249"/>
      <c r="AC291" s="249"/>
      <c r="AD291" s="249"/>
      <c r="AE291" s="249"/>
      <c r="AF291" s="249"/>
      <c r="AG291" s="249"/>
      <c r="AH291" s="249"/>
      <c r="AI291" s="249"/>
      <c r="AJ291" s="249"/>
      <c r="AK291" s="249"/>
      <c r="AL291" s="249"/>
      <c r="AM291" s="249"/>
      <c r="AN291" s="249"/>
    </row>
    <row r="292" spans="1:40" s="5" customFormat="1" ht="15" customHeight="1" x14ac:dyDescent="0.3">
      <c r="A292" s="232" t="s">
        <v>3783</v>
      </c>
      <c r="B292" s="136" t="s">
        <v>4405</v>
      </c>
      <c r="C292" s="155" t="s">
        <v>3799</v>
      </c>
      <c r="D292" s="75"/>
      <c r="E292" s="12"/>
      <c r="F292" s="152"/>
      <c r="G292" s="153"/>
      <c r="H292" s="98" t="s">
        <v>4549</v>
      </c>
      <c r="I292" s="145" t="s">
        <v>4480</v>
      </c>
      <c r="J292" s="145" t="s">
        <v>4480</v>
      </c>
      <c r="K292" s="145" t="s">
        <v>4480</v>
      </c>
      <c r="L292" s="125" t="s">
        <v>4839</v>
      </c>
      <c r="M292" s="125" t="s">
        <v>4690</v>
      </c>
      <c r="N292" s="125">
        <v>9</v>
      </c>
      <c r="O292" s="145" t="s">
        <v>4480</v>
      </c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49"/>
      <c r="AC292" s="249"/>
      <c r="AD292" s="249"/>
      <c r="AE292" s="249"/>
      <c r="AF292" s="249"/>
      <c r="AG292" s="249"/>
      <c r="AH292" s="249"/>
      <c r="AI292" s="249"/>
      <c r="AJ292" s="249"/>
      <c r="AK292" s="249"/>
      <c r="AL292" s="249"/>
      <c r="AM292" s="249"/>
      <c r="AN292" s="249"/>
    </row>
    <row r="293" spans="1:40" s="5" customFormat="1" ht="15" customHeight="1" x14ac:dyDescent="0.3">
      <c r="A293" s="232" t="s">
        <v>3784</v>
      </c>
      <c r="B293" s="136" t="s">
        <v>4405</v>
      </c>
      <c r="C293" s="155" t="s">
        <v>3800</v>
      </c>
      <c r="D293" s="75"/>
      <c r="E293" s="12"/>
      <c r="F293" s="152"/>
      <c r="G293" s="153"/>
      <c r="H293" s="98" t="s">
        <v>4549</v>
      </c>
      <c r="I293" s="145" t="s">
        <v>4480</v>
      </c>
      <c r="J293" s="145" t="s">
        <v>4480</v>
      </c>
      <c r="K293" s="145" t="s">
        <v>4480</v>
      </c>
      <c r="L293" s="125" t="s">
        <v>4840</v>
      </c>
      <c r="M293" s="125" t="s">
        <v>4690</v>
      </c>
      <c r="N293" s="125">
        <v>9</v>
      </c>
      <c r="O293" s="145" t="s">
        <v>4480</v>
      </c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49"/>
      <c r="AC293" s="249"/>
      <c r="AD293" s="249"/>
      <c r="AE293" s="249"/>
      <c r="AF293" s="249"/>
      <c r="AG293" s="249"/>
      <c r="AH293" s="249"/>
      <c r="AI293" s="249"/>
      <c r="AJ293" s="249"/>
      <c r="AK293" s="249"/>
      <c r="AL293" s="249"/>
      <c r="AM293" s="249"/>
      <c r="AN293" s="249"/>
    </row>
    <row r="294" spans="1:40" s="5" customFormat="1" ht="15" customHeight="1" x14ac:dyDescent="0.3">
      <c r="A294" s="232" t="s">
        <v>3785</v>
      </c>
      <c r="B294" s="136" t="s">
        <v>4405</v>
      </c>
      <c r="C294" s="155" t="s">
        <v>3801</v>
      </c>
      <c r="D294" s="75"/>
      <c r="E294" s="12"/>
      <c r="F294" s="152"/>
      <c r="G294" s="153"/>
      <c r="H294" s="98" t="s">
        <v>4549</v>
      </c>
      <c r="I294" s="145" t="s">
        <v>4480</v>
      </c>
      <c r="J294" s="145" t="s">
        <v>4480</v>
      </c>
      <c r="K294" s="145" t="s">
        <v>4480</v>
      </c>
      <c r="L294" s="125" t="s">
        <v>4840</v>
      </c>
      <c r="M294" s="125" t="s">
        <v>4690</v>
      </c>
      <c r="N294" s="125">
        <v>9</v>
      </c>
      <c r="O294" s="145" t="s">
        <v>4480</v>
      </c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49"/>
      <c r="AC294" s="249"/>
      <c r="AD294" s="249"/>
      <c r="AE294" s="249"/>
      <c r="AF294" s="249"/>
      <c r="AG294" s="249"/>
      <c r="AH294" s="249"/>
      <c r="AI294" s="249"/>
      <c r="AJ294" s="249"/>
      <c r="AK294" s="249"/>
      <c r="AL294" s="249"/>
      <c r="AM294" s="249"/>
      <c r="AN294" s="249"/>
    </row>
    <row r="295" spans="1:40" s="5" customFormat="1" ht="15" customHeight="1" x14ac:dyDescent="0.3">
      <c r="A295" s="155" t="s">
        <v>3721</v>
      </c>
      <c r="B295" s="155" t="s">
        <v>4407</v>
      </c>
      <c r="C295" s="157" t="s">
        <v>4248</v>
      </c>
      <c r="D295" s="266" t="s">
        <v>3222</v>
      </c>
      <c r="E295" s="152" t="s">
        <v>2987</v>
      </c>
      <c r="F295" s="152">
        <v>95</v>
      </c>
      <c r="G295" s="153" t="s">
        <v>3221</v>
      </c>
      <c r="H295" s="33" t="s">
        <v>4552</v>
      </c>
      <c r="I295" s="33" t="s">
        <v>4526</v>
      </c>
      <c r="J295" s="177" t="s">
        <v>4647</v>
      </c>
      <c r="K295" s="179">
        <v>1</v>
      </c>
      <c r="L295" s="197" t="s">
        <v>4843</v>
      </c>
      <c r="M295" s="197" t="s">
        <v>4697</v>
      </c>
      <c r="N295" s="198">
        <v>12</v>
      </c>
      <c r="O295" s="31" t="s">
        <v>4602</v>
      </c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49"/>
      <c r="AC295" s="249"/>
      <c r="AD295" s="249"/>
      <c r="AE295" s="249"/>
      <c r="AF295" s="249"/>
      <c r="AG295" s="249"/>
      <c r="AH295" s="249"/>
      <c r="AI295" s="249"/>
      <c r="AJ295" s="249"/>
      <c r="AK295" s="249"/>
      <c r="AL295" s="249"/>
      <c r="AM295" s="249"/>
      <c r="AN295" s="249"/>
    </row>
    <row r="296" spans="1:40" s="5" customFormat="1" ht="15" customHeight="1" x14ac:dyDescent="0.3">
      <c r="A296" s="155" t="s">
        <v>3722</v>
      </c>
      <c r="B296" s="155" t="s">
        <v>4407</v>
      </c>
      <c r="C296" s="157" t="s">
        <v>4248</v>
      </c>
      <c r="D296" s="266" t="s">
        <v>3222</v>
      </c>
      <c r="E296" s="152" t="s">
        <v>2987</v>
      </c>
      <c r="F296" s="152">
        <v>95</v>
      </c>
      <c r="G296" s="153" t="s">
        <v>3221</v>
      </c>
      <c r="H296" s="33" t="s">
        <v>4552</v>
      </c>
      <c r="I296" s="33" t="s">
        <v>4526</v>
      </c>
      <c r="J296" s="177" t="s">
        <v>4647</v>
      </c>
      <c r="K296" s="179">
        <v>2</v>
      </c>
      <c r="L296" s="197" t="s">
        <v>4843</v>
      </c>
      <c r="M296" s="197" t="s">
        <v>4697</v>
      </c>
      <c r="N296" s="198">
        <v>12</v>
      </c>
      <c r="O296" s="31" t="s">
        <v>4602</v>
      </c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49"/>
      <c r="AC296" s="249"/>
      <c r="AD296" s="249"/>
      <c r="AE296" s="249"/>
      <c r="AF296" s="249"/>
      <c r="AG296" s="249"/>
      <c r="AH296" s="249"/>
      <c r="AI296" s="249"/>
      <c r="AJ296" s="249"/>
      <c r="AK296" s="249"/>
      <c r="AL296" s="249"/>
      <c r="AM296" s="249"/>
      <c r="AN296" s="249"/>
    </row>
    <row r="297" spans="1:40" ht="15" customHeight="1" x14ac:dyDescent="0.3">
      <c r="A297" s="155" t="s">
        <v>3723</v>
      </c>
      <c r="B297" s="155" t="s">
        <v>4407</v>
      </c>
      <c r="C297" s="157" t="s">
        <v>4248</v>
      </c>
      <c r="D297" s="266" t="s">
        <v>3222</v>
      </c>
      <c r="E297" s="152" t="s">
        <v>2987</v>
      </c>
      <c r="F297" s="152">
        <v>95</v>
      </c>
      <c r="G297" s="153" t="s">
        <v>3221</v>
      </c>
      <c r="H297" s="33" t="s">
        <v>4552</v>
      </c>
      <c r="I297" s="33" t="s">
        <v>4526</v>
      </c>
      <c r="J297" s="177" t="s">
        <v>4647</v>
      </c>
      <c r="K297" s="179">
        <v>3</v>
      </c>
      <c r="L297" s="197" t="s">
        <v>4843</v>
      </c>
      <c r="M297" s="197" t="s">
        <v>4697</v>
      </c>
      <c r="N297" s="198">
        <v>12</v>
      </c>
      <c r="O297" s="31" t="s">
        <v>4602</v>
      </c>
    </row>
    <row r="298" spans="1:40" ht="15" customHeight="1" x14ac:dyDescent="0.3">
      <c r="A298" s="155" t="s">
        <v>3727</v>
      </c>
      <c r="B298" s="155" t="s">
        <v>4407</v>
      </c>
      <c r="C298" s="157" t="s">
        <v>4249</v>
      </c>
      <c r="D298" s="266" t="s">
        <v>3222</v>
      </c>
      <c r="E298" s="152" t="s">
        <v>2987</v>
      </c>
      <c r="F298" s="152">
        <v>95</v>
      </c>
      <c r="G298" s="153" t="s">
        <v>3221</v>
      </c>
      <c r="H298" s="33" t="s">
        <v>4552</v>
      </c>
      <c r="I298" s="33" t="s">
        <v>4526</v>
      </c>
      <c r="J298" s="177" t="s">
        <v>4647</v>
      </c>
      <c r="K298" s="179">
        <v>4</v>
      </c>
      <c r="L298" s="197" t="s">
        <v>4843</v>
      </c>
      <c r="M298" s="197" t="s">
        <v>4697</v>
      </c>
      <c r="N298" s="198">
        <v>12</v>
      </c>
      <c r="O298" s="31" t="s">
        <v>4602</v>
      </c>
    </row>
    <row r="299" spans="1:40" ht="15" customHeight="1" x14ac:dyDescent="0.3">
      <c r="A299" s="155" t="s">
        <v>3728</v>
      </c>
      <c r="B299" s="155" t="s">
        <v>4407</v>
      </c>
      <c r="C299" s="157" t="s">
        <v>4249</v>
      </c>
      <c r="D299" s="251" t="s">
        <v>3222</v>
      </c>
      <c r="E299" s="45" t="s">
        <v>2987</v>
      </c>
      <c r="F299" s="45">
        <v>95</v>
      </c>
      <c r="G299" s="24" t="s">
        <v>3221</v>
      </c>
      <c r="H299" s="33" t="s">
        <v>4552</v>
      </c>
      <c r="I299" s="33" t="s">
        <v>4526</v>
      </c>
      <c r="J299" s="177" t="s">
        <v>4650</v>
      </c>
      <c r="K299" s="179">
        <v>1</v>
      </c>
      <c r="L299" s="197" t="s">
        <v>4844</v>
      </c>
      <c r="M299" s="197" t="s">
        <v>4669</v>
      </c>
      <c r="N299" s="198">
        <v>15</v>
      </c>
      <c r="O299" s="31" t="s">
        <v>4602</v>
      </c>
    </row>
    <row r="300" spans="1:40" ht="15" customHeight="1" x14ac:dyDescent="0.3">
      <c r="A300" s="155" t="s">
        <v>3729</v>
      </c>
      <c r="B300" s="155" t="s">
        <v>4407</v>
      </c>
      <c r="C300" s="157" t="s">
        <v>4249</v>
      </c>
      <c r="D300" s="251" t="s">
        <v>3222</v>
      </c>
      <c r="E300" s="45" t="s">
        <v>2987</v>
      </c>
      <c r="F300" s="45">
        <v>95</v>
      </c>
      <c r="G300" s="24" t="s">
        <v>3221</v>
      </c>
      <c r="H300" s="33" t="s">
        <v>4552</v>
      </c>
      <c r="I300" s="33" t="s">
        <v>4526</v>
      </c>
      <c r="J300" s="177" t="s">
        <v>4647</v>
      </c>
      <c r="K300" s="179">
        <v>5</v>
      </c>
      <c r="L300" s="197" t="s">
        <v>4844</v>
      </c>
      <c r="M300" s="197" t="s">
        <v>4669</v>
      </c>
      <c r="N300" s="198">
        <v>15</v>
      </c>
      <c r="O300" s="31" t="s">
        <v>4602</v>
      </c>
    </row>
    <row r="301" spans="1:40" ht="15" customHeight="1" x14ac:dyDescent="0.3">
      <c r="A301" s="155" t="s">
        <v>3730</v>
      </c>
      <c r="B301" s="155" t="s">
        <v>4407</v>
      </c>
      <c r="C301" s="157" t="s">
        <v>4249</v>
      </c>
      <c r="D301" s="251" t="s">
        <v>3222</v>
      </c>
      <c r="E301" s="45" t="s">
        <v>2987</v>
      </c>
      <c r="F301" s="45">
        <v>95</v>
      </c>
      <c r="G301" s="24" t="s">
        <v>3221</v>
      </c>
      <c r="H301" s="33" t="s">
        <v>4552</v>
      </c>
      <c r="I301" s="33" t="s">
        <v>4526</v>
      </c>
      <c r="J301" s="177" t="s">
        <v>4650</v>
      </c>
      <c r="K301" s="179">
        <v>2</v>
      </c>
      <c r="L301" s="197" t="s">
        <v>4844</v>
      </c>
      <c r="M301" s="197" t="s">
        <v>4669</v>
      </c>
      <c r="N301" s="198">
        <v>15</v>
      </c>
      <c r="O301" s="31" t="s">
        <v>4602</v>
      </c>
    </row>
    <row r="302" spans="1:40" ht="15" customHeight="1" x14ac:dyDescent="0.3">
      <c r="A302" s="155" t="s">
        <v>3731</v>
      </c>
      <c r="B302" s="155" t="s">
        <v>4407</v>
      </c>
      <c r="C302" s="157" t="s">
        <v>4249</v>
      </c>
      <c r="D302" s="251" t="s">
        <v>3222</v>
      </c>
      <c r="E302" s="45" t="s">
        <v>2987</v>
      </c>
      <c r="F302" s="45">
        <v>95</v>
      </c>
      <c r="G302" s="24" t="s">
        <v>3221</v>
      </c>
      <c r="H302" s="33" t="s">
        <v>4552</v>
      </c>
      <c r="I302" s="33" t="s">
        <v>4526</v>
      </c>
      <c r="J302" s="177" t="s">
        <v>4647</v>
      </c>
      <c r="K302" s="179">
        <v>6</v>
      </c>
      <c r="L302" s="197" t="s">
        <v>4844</v>
      </c>
      <c r="M302" s="197" t="s">
        <v>4669</v>
      </c>
      <c r="N302" s="198">
        <v>15</v>
      </c>
      <c r="O302" s="31" t="s">
        <v>4602</v>
      </c>
    </row>
    <row r="303" spans="1:40" ht="15" customHeight="1" x14ac:dyDescent="0.3">
      <c r="A303" s="155" t="s">
        <v>3732</v>
      </c>
      <c r="B303" s="155" t="s">
        <v>4407</v>
      </c>
      <c r="C303" s="157" t="s">
        <v>4249</v>
      </c>
      <c r="D303" s="251" t="s">
        <v>3222</v>
      </c>
      <c r="E303" s="45" t="s">
        <v>2987</v>
      </c>
      <c r="F303" s="45">
        <v>95</v>
      </c>
      <c r="G303" s="24" t="s">
        <v>3221</v>
      </c>
      <c r="H303" s="33" t="s">
        <v>4552</v>
      </c>
      <c r="I303" s="33" t="s">
        <v>4526</v>
      </c>
      <c r="J303" s="177" t="s">
        <v>4650</v>
      </c>
      <c r="K303" s="179">
        <v>3</v>
      </c>
      <c r="L303" s="197" t="s">
        <v>4844</v>
      </c>
      <c r="M303" s="197" t="s">
        <v>4669</v>
      </c>
      <c r="N303" s="198">
        <v>15</v>
      </c>
      <c r="O303" s="31" t="s">
        <v>4602</v>
      </c>
    </row>
    <row r="304" spans="1:40" ht="15" customHeight="1" x14ac:dyDescent="0.3">
      <c r="A304" s="155" t="s">
        <v>3739</v>
      </c>
      <c r="B304" s="155" t="s">
        <v>4406</v>
      </c>
      <c r="C304" s="157" t="s">
        <v>4250</v>
      </c>
      <c r="D304" s="251" t="s">
        <v>3222</v>
      </c>
      <c r="E304" s="45" t="s">
        <v>2987</v>
      </c>
      <c r="F304" s="45">
        <v>25</v>
      </c>
      <c r="G304" s="24" t="s">
        <v>3223</v>
      </c>
      <c r="H304" s="33" t="s">
        <v>4551</v>
      </c>
      <c r="I304" s="33" t="s">
        <v>4526</v>
      </c>
      <c r="J304" s="177" t="s">
        <v>4647</v>
      </c>
      <c r="K304" s="179">
        <v>7</v>
      </c>
      <c r="L304" s="197" t="s">
        <v>4841</v>
      </c>
      <c r="M304" s="197" t="s">
        <v>4697</v>
      </c>
      <c r="N304" s="198">
        <v>12</v>
      </c>
      <c r="O304" s="31" t="s">
        <v>4602</v>
      </c>
    </row>
    <row r="305" spans="1:15" ht="15" customHeight="1" x14ac:dyDescent="0.3">
      <c r="A305" s="155" t="s">
        <v>3740</v>
      </c>
      <c r="B305" s="155" t="s">
        <v>4406</v>
      </c>
      <c r="C305" s="157" t="s">
        <v>4250</v>
      </c>
      <c r="D305" s="251" t="s">
        <v>3222</v>
      </c>
      <c r="E305" s="45" t="s">
        <v>2987</v>
      </c>
      <c r="F305" s="45">
        <v>25</v>
      </c>
      <c r="G305" s="24" t="s">
        <v>3223</v>
      </c>
      <c r="H305" s="33" t="s">
        <v>4551</v>
      </c>
      <c r="I305" s="33" t="s">
        <v>4526</v>
      </c>
      <c r="J305" s="177" t="s">
        <v>4647</v>
      </c>
      <c r="K305" s="179">
        <v>8</v>
      </c>
      <c r="L305" s="197" t="s">
        <v>4841</v>
      </c>
      <c r="M305" s="197" t="s">
        <v>4697</v>
      </c>
      <c r="N305" s="198">
        <v>12</v>
      </c>
      <c r="O305" s="31" t="s">
        <v>4602</v>
      </c>
    </row>
    <row r="306" spans="1:15" ht="15" customHeight="1" x14ac:dyDescent="0.3">
      <c r="A306" s="155" t="s">
        <v>3741</v>
      </c>
      <c r="B306" s="155" t="s">
        <v>4406</v>
      </c>
      <c r="C306" s="157" t="s">
        <v>4251</v>
      </c>
      <c r="D306" s="251" t="s">
        <v>3222</v>
      </c>
      <c r="E306" s="45" t="s">
        <v>2987</v>
      </c>
      <c r="F306" s="45">
        <v>60</v>
      </c>
      <c r="G306" s="24" t="s">
        <v>3223</v>
      </c>
      <c r="H306" s="33" t="s">
        <v>4551</v>
      </c>
      <c r="I306" s="33" t="s">
        <v>4526</v>
      </c>
      <c r="J306" s="177" t="s">
        <v>4649</v>
      </c>
      <c r="K306" s="179">
        <v>1</v>
      </c>
      <c r="L306" s="197" t="s">
        <v>4841</v>
      </c>
      <c r="M306" s="197" t="s">
        <v>4697</v>
      </c>
      <c r="N306" s="198">
        <v>12</v>
      </c>
      <c r="O306" s="31" t="s">
        <v>4602</v>
      </c>
    </row>
    <row r="307" spans="1:15" ht="15" customHeight="1" x14ac:dyDescent="0.3">
      <c r="A307" s="155" t="s">
        <v>3742</v>
      </c>
      <c r="B307" s="155" t="s">
        <v>4406</v>
      </c>
      <c r="C307" s="157" t="s">
        <v>4252</v>
      </c>
      <c r="D307" s="251" t="s">
        <v>3124</v>
      </c>
      <c r="E307" s="45" t="s">
        <v>2987</v>
      </c>
      <c r="F307" s="45">
        <v>50</v>
      </c>
      <c r="G307" s="24" t="s">
        <v>3224</v>
      </c>
      <c r="H307" s="33" t="s">
        <v>4551</v>
      </c>
      <c r="I307" s="33" t="s">
        <v>4526</v>
      </c>
      <c r="J307" s="177" t="s">
        <v>4649</v>
      </c>
      <c r="K307" s="179">
        <v>2</v>
      </c>
      <c r="L307" s="197" t="s">
        <v>4841</v>
      </c>
      <c r="M307" s="197" t="s">
        <v>4697</v>
      </c>
      <c r="N307" s="198">
        <v>12</v>
      </c>
      <c r="O307" s="31" t="s">
        <v>4602</v>
      </c>
    </row>
    <row r="308" spans="1:15" ht="15" customHeight="1" x14ac:dyDescent="0.3">
      <c r="A308" s="155" t="s">
        <v>3743</v>
      </c>
      <c r="B308" s="155" t="s">
        <v>4406</v>
      </c>
      <c r="C308" s="157" t="s">
        <v>4253</v>
      </c>
      <c r="D308" s="251" t="s">
        <v>3124</v>
      </c>
      <c r="E308" s="45" t="s">
        <v>2987</v>
      </c>
      <c r="F308" s="45">
        <v>50</v>
      </c>
      <c r="G308" s="24" t="s">
        <v>3224</v>
      </c>
      <c r="H308" s="33" t="s">
        <v>4551</v>
      </c>
      <c r="I308" s="33" t="s">
        <v>4526</v>
      </c>
      <c r="J308" s="177" t="s">
        <v>4649</v>
      </c>
      <c r="K308" s="179">
        <v>3</v>
      </c>
      <c r="L308" s="197" t="s">
        <v>4842</v>
      </c>
      <c r="M308" s="197" t="s">
        <v>4661</v>
      </c>
      <c r="N308" s="198">
        <v>24</v>
      </c>
      <c r="O308" s="31" t="s">
        <v>4602</v>
      </c>
    </row>
    <row r="309" spans="1:15" ht="15" customHeight="1" x14ac:dyDescent="0.3">
      <c r="A309" s="155" t="s">
        <v>3744</v>
      </c>
      <c r="B309" s="155" t="s">
        <v>4406</v>
      </c>
      <c r="C309" s="157" t="s">
        <v>4254</v>
      </c>
      <c r="D309" s="251" t="s">
        <v>3124</v>
      </c>
      <c r="E309" s="45" t="s">
        <v>2987</v>
      </c>
      <c r="F309" s="45">
        <v>50</v>
      </c>
      <c r="G309" s="24" t="s">
        <v>3225</v>
      </c>
      <c r="H309" s="33" t="s">
        <v>4551</v>
      </c>
      <c r="I309" s="33" t="s">
        <v>4526</v>
      </c>
      <c r="J309" s="177" t="s">
        <v>4649</v>
      </c>
      <c r="K309" s="179">
        <v>4</v>
      </c>
      <c r="L309" s="197" t="s">
        <v>4842</v>
      </c>
      <c r="M309" s="197" t="s">
        <v>4661</v>
      </c>
      <c r="N309" s="198">
        <v>24</v>
      </c>
      <c r="O309" s="31" t="s">
        <v>4602</v>
      </c>
    </row>
    <row r="310" spans="1:15" ht="15" customHeight="1" x14ac:dyDescent="0.3">
      <c r="A310" s="155" t="s">
        <v>3745</v>
      </c>
      <c r="B310" s="155" t="s">
        <v>4406</v>
      </c>
      <c r="C310" s="157" t="s">
        <v>4255</v>
      </c>
      <c r="D310" s="251" t="s">
        <v>3124</v>
      </c>
      <c r="E310" s="45" t="s">
        <v>2987</v>
      </c>
      <c r="F310" s="45">
        <v>50</v>
      </c>
      <c r="G310" s="24" t="s">
        <v>3225</v>
      </c>
      <c r="H310" s="33" t="s">
        <v>4551</v>
      </c>
      <c r="I310" s="33" t="s">
        <v>4526</v>
      </c>
      <c r="J310" s="177" t="s">
        <v>4649</v>
      </c>
      <c r="K310" s="179">
        <v>5</v>
      </c>
      <c r="L310" s="197" t="s">
        <v>4842</v>
      </c>
      <c r="M310" s="197" t="s">
        <v>4661</v>
      </c>
      <c r="N310" s="198">
        <v>24</v>
      </c>
      <c r="O310" s="31" t="s">
        <v>4602</v>
      </c>
    </row>
    <row r="311" spans="1:15" ht="15" customHeight="1" x14ac:dyDescent="0.3">
      <c r="A311" s="155" t="s">
        <v>3373</v>
      </c>
      <c r="B311" s="155" t="s">
        <v>4406</v>
      </c>
      <c r="C311" s="155" t="s">
        <v>3374</v>
      </c>
      <c r="D311" s="251" t="s">
        <v>3124</v>
      </c>
      <c r="E311" s="45" t="s">
        <v>2987</v>
      </c>
      <c r="F311" s="45">
        <v>40</v>
      </c>
      <c r="G311" s="24" t="s">
        <v>3226</v>
      </c>
      <c r="H311" s="33" t="s">
        <v>4551</v>
      </c>
      <c r="I311" s="33" t="s">
        <v>4526</v>
      </c>
      <c r="J311" s="177" t="s">
        <v>4649</v>
      </c>
      <c r="K311" s="179">
        <v>6</v>
      </c>
      <c r="L311" s="197" t="s">
        <v>4842</v>
      </c>
      <c r="M311" s="197" t="s">
        <v>4661</v>
      </c>
      <c r="N311" s="198">
        <v>24</v>
      </c>
      <c r="O311" s="31" t="s">
        <v>4602</v>
      </c>
    </row>
    <row r="312" spans="1:15" ht="15" customHeight="1" x14ac:dyDescent="0.3">
      <c r="A312" s="155" t="s">
        <v>3375</v>
      </c>
      <c r="B312" s="155" t="s">
        <v>4406</v>
      </c>
      <c r="C312" s="157" t="s">
        <v>3377</v>
      </c>
      <c r="D312" s="251" t="s">
        <v>3124</v>
      </c>
      <c r="E312" s="45" t="s">
        <v>2987</v>
      </c>
      <c r="F312" s="45">
        <v>40</v>
      </c>
      <c r="G312" s="24" t="s">
        <v>3227</v>
      </c>
      <c r="H312" s="33" t="s">
        <v>4551</v>
      </c>
      <c r="I312" s="33" t="s">
        <v>4526</v>
      </c>
      <c r="J312" s="177" t="s">
        <v>4650</v>
      </c>
      <c r="K312" s="179">
        <v>4</v>
      </c>
      <c r="L312" s="197" t="s">
        <v>4842</v>
      </c>
      <c r="M312" s="197" t="s">
        <v>4661</v>
      </c>
      <c r="N312" s="198">
        <v>24</v>
      </c>
      <c r="O312" s="31" t="s">
        <v>4602</v>
      </c>
    </row>
    <row r="313" spans="1:15" ht="15" customHeight="1" x14ac:dyDescent="0.3">
      <c r="A313" s="155" t="s">
        <v>3376</v>
      </c>
      <c r="B313" s="155" t="s">
        <v>4406</v>
      </c>
      <c r="C313" s="157" t="s">
        <v>3378</v>
      </c>
      <c r="D313" s="251" t="s">
        <v>3124</v>
      </c>
      <c r="E313" s="45" t="s">
        <v>2987</v>
      </c>
      <c r="F313" s="45">
        <v>40</v>
      </c>
      <c r="G313" s="24" t="s">
        <v>3227</v>
      </c>
      <c r="H313" s="33" t="s">
        <v>4551</v>
      </c>
      <c r="I313" s="33" t="s">
        <v>4526</v>
      </c>
      <c r="J313" s="177" t="s">
        <v>4650</v>
      </c>
      <c r="K313" s="179">
        <v>5</v>
      </c>
      <c r="L313" s="197" t="s">
        <v>4842</v>
      </c>
      <c r="M313" s="197" t="s">
        <v>4661</v>
      </c>
      <c r="N313" s="198">
        <v>24</v>
      </c>
      <c r="O313" s="31" t="s">
        <v>4602</v>
      </c>
    </row>
    <row r="314" spans="1:15" ht="15" customHeight="1" x14ac:dyDescent="0.3">
      <c r="A314" s="155" t="s">
        <v>3746</v>
      </c>
      <c r="B314" s="155" t="s">
        <v>4406</v>
      </c>
      <c r="C314" s="157" t="s">
        <v>4256</v>
      </c>
      <c r="D314" s="251" t="s">
        <v>3124</v>
      </c>
      <c r="E314" s="45" t="s">
        <v>2987</v>
      </c>
      <c r="F314" s="45">
        <v>50</v>
      </c>
      <c r="G314" s="24" t="s">
        <v>3228</v>
      </c>
      <c r="H314" s="33" t="s">
        <v>4551</v>
      </c>
      <c r="I314" s="33" t="s">
        <v>4526</v>
      </c>
      <c r="J314" s="177" t="s">
        <v>4650</v>
      </c>
      <c r="K314" s="179">
        <v>6</v>
      </c>
      <c r="L314" s="197" t="s">
        <v>4842</v>
      </c>
      <c r="M314" s="197" t="s">
        <v>4661</v>
      </c>
      <c r="N314" s="198">
        <v>24</v>
      </c>
      <c r="O314" s="31" t="s">
        <v>4602</v>
      </c>
    </row>
    <row r="315" spans="1:15" ht="15" customHeight="1" x14ac:dyDescent="0.3">
      <c r="A315" s="155" t="s">
        <v>3747</v>
      </c>
      <c r="B315" s="155" t="s">
        <v>4406</v>
      </c>
      <c r="C315" s="157" t="s">
        <v>4257</v>
      </c>
      <c r="D315" s="251" t="s">
        <v>3124</v>
      </c>
      <c r="E315" s="45" t="s">
        <v>2987</v>
      </c>
      <c r="F315" s="45">
        <v>50</v>
      </c>
      <c r="G315" s="24" t="s">
        <v>3228</v>
      </c>
      <c r="H315" s="33" t="s">
        <v>4551</v>
      </c>
      <c r="I315" s="33" t="s">
        <v>4526</v>
      </c>
      <c r="J315" s="177" t="s">
        <v>4650</v>
      </c>
      <c r="K315" s="179">
        <v>7</v>
      </c>
      <c r="L315" s="197" t="s">
        <v>4842</v>
      </c>
      <c r="M315" s="197" t="s">
        <v>4661</v>
      </c>
      <c r="N315" s="198">
        <v>24</v>
      </c>
      <c r="O315" s="31" t="s">
        <v>4602</v>
      </c>
    </row>
    <row r="316" spans="1:15" ht="15" customHeight="1" x14ac:dyDescent="0.3">
      <c r="A316" s="155" t="s">
        <v>4447</v>
      </c>
      <c r="B316" s="155" t="s">
        <v>4407</v>
      </c>
      <c r="C316" s="267" t="s">
        <v>4418</v>
      </c>
      <c r="D316" s="251"/>
      <c r="E316" s="45"/>
      <c r="F316" s="45"/>
      <c r="G316" s="24"/>
      <c r="H316" s="33" t="s">
        <v>4552</v>
      </c>
      <c r="I316" s="145" t="s">
        <v>4480</v>
      </c>
      <c r="J316" s="145" t="s">
        <v>4480</v>
      </c>
      <c r="K316" s="145" t="s">
        <v>4480</v>
      </c>
      <c r="L316" s="199" t="s">
        <v>4845</v>
      </c>
      <c r="M316" s="199" t="s">
        <v>4553</v>
      </c>
      <c r="N316" s="199">
        <v>2</v>
      </c>
      <c r="O316" s="145" t="s">
        <v>4480</v>
      </c>
    </row>
    <row r="317" spans="1:15" ht="15" customHeight="1" x14ac:dyDescent="0.3">
      <c r="A317" s="155" t="s">
        <v>3724</v>
      </c>
      <c r="B317" s="155" t="s">
        <v>4409</v>
      </c>
      <c r="C317" s="157" t="s">
        <v>4258</v>
      </c>
      <c r="D317" s="251" t="s">
        <v>3222</v>
      </c>
      <c r="E317" s="45" t="s">
        <v>2987</v>
      </c>
      <c r="F317" s="45">
        <v>95</v>
      </c>
      <c r="G317" s="24" t="s">
        <v>3231</v>
      </c>
      <c r="H317" s="33" t="s">
        <v>4555</v>
      </c>
      <c r="I317" s="33" t="s">
        <v>4526</v>
      </c>
      <c r="J317" s="177" t="s">
        <v>4651</v>
      </c>
      <c r="K317" s="179">
        <v>1</v>
      </c>
      <c r="L317" s="197" t="s">
        <v>4850</v>
      </c>
      <c r="M317" s="197" t="s">
        <v>4697</v>
      </c>
      <c r="N317" s="198">
        <v>12</v>
      </c>
      <c r="O317" s="31" t="s">
        <v>4602</v>
      </c>
    </row>
    <row r="318" spans="1:15" ht="15" customHeight="1" x14ac:dyDescent="0.3">
      <c r="A318" s="155" t="s">
        <v>3725</v>
      </c>
      <c r="B318" s="155" t="s">
        <v>4409</v>
      </c>
      <c r="C318" s="157" t="s">
        <v>4258</v>
      </c>
      <c r="D318" s="251" t="s">
        <v>3222</v>
      </c>
      <c r="E318" s="45" t="s">
        <v>2987</v>
      </c>
      <c r="F318" s="45">
        <v>95</v>
      </c>
      <c r="G318" s="24" t="s">
        <v>3231</v>
      </c>
      <c r="H318" s="33" t="s">
        <v>4555</v>
      </c>
      <c r="I318" s="33" t="s">
        <v>4526</v>
      </c>
      <c r="J318" s="177" t="s">
        <v>4651</v>
      </c>
      <c r="K318" s="179">
        <v>2</v>
      </c>
      <c r="L318" s="197" t="s">
        <v>4850</v>
      </c>
      <c r="M318" s="197" t="s">
        <v>4697</v>
      </c>
      <c r="N318" s="198">
        <v>12</v>
      </c>
      <c r="O318" s="31" t="s">
        <v>4602</v>
      </c>
    </row>
    <row r="319" spans="1:15" ht="15" customHeight="1" x14ac:dyDescent="0.3">
      <c r="A319" s="155" t="s">
        <v>3726</v>
      </c>
      <c r="B319" s="155" t="s">
        <v>4409</v>
      </c>
      <c r="C319" s="157" t="s">
        <v>4258</v>
      </c>
      <c r="D319" s="251" t="s">
        <v>3222</v>
      </c>
      <c r="E319" s="45" t="s">
        <v>2987</v>
      </c>
      <c r="F319" s="45">
        <v>95</v>
      </c>
      <c r="G319" s="24" t="s">
        <v>3231</v>
      </c>
      <c r="H319" s="33" t="s">
        <v>4555</v>
      </c>
      <c r="I319" s="33" t="s">
        <v>4526</v>
      </c>
      <c r="J319" s="177" t="s">
        <v>4651</v>
      </c>
      <c r="K319" s="179">
        <v>3</v>
      </c>
      <c r="L319" s="197" t="s">
        <v>4850</v>
      </c>
      <c r="M319" s="197" t="s">
        <v>4697</v>
      </c>
      <c r="N319" s="198">
        <v>12</v>
      </c>
      <c r="O319" s="31" t="s">
        <v>4602</v>
      </c>
    </row>
    <row r="320" spans="1:15" ht="15" customHeight="1" x14ac:dyDescent="0.3">
      <c r="A320" s="155" t="s">
        <v>3733</v>
      </c>
      <c r="B320" s="155" t="s">
        <v>4409</v>
      </c>
      <c r="C320" s="157" t="s">
        <v>4259</v>
      </c>
      <c r="D320" s="251" t="s">
        <v>3222</v>
      </c>
      <c r="E320" s="45" t="s">
        <v>2987</v>
      </c>
      <c r="F320" s="45">
        <v>95</v>
      </c>
      <c r="G320" s="24" t="s">
        <v>3231</v>
      </c>
      <c r="H320" s="33" t="s">
        <v>4555</v>
      </c>
      <c r="I320" s="33" t="s">
        <v>4526</v>
      </c>
      <c r="J320" s="177" t="s">
        <v>4651</v>
      </c>
      <c r="K320" s="179">
        <v>4</v>
      </c>
      <c r="L320" s="197" t="s">
        <v>4850</v>
      </c>
      <c r="M320" s="197" t="s">
        <v>4697</v>
      </c>
      <c r="N320" s="198">
        <v>12</v>
      </c>
      <c r="O320" s="31" t="s">
        <v>4602</v>
      </c>
    </row>
    <row r="321" spans="1:15" ht="15" customHeight="1" x14ac:dyDescent="0.3">
      <c r="A321" s="155" t="s">
        <v>3734</v>
      </c>
      <c r="B321" s="155" t="s">
        <v>4409</v>
      </c>
      <c r="C321" s="157" t="s">
        <v>4259</v>
      </c>
      <c r="D321" s="251" t="s">
        <v>3222</v>
      </c>
      <c r="E321" s="45" t="s">
        <v>2987</v>
      </c>
      <c r="F321" s="45">
        <v>95</v>
      </c>
      <c r="G321" s="24" t="s">
        <v>3231</v>
      </c>
      <c r="H321" s="33" t="s">
        <v>4555</v>
      </c>
      <c r="I321" s="33" t="s">
        <v>4526</v>
      </c>
      <c r="J321" s="177" t="s">
        <v>4656</v>
      </c>
      <c r="K321" s="179">
        <v>1</v>
      </c>
      <c r="L321" s="197" t="s">
        <v>4851</v>
      </c>
      <c r="M321" s="197" t="s">
        <v>4669</v>
      </c>
      <c r="N321" s="198">
        <v>15</v>
      </c>
      <c r="O321" s="31" t="s">
        <v>4602</v>
      </c>
    </row>
    <row r="322" spans="1:15" ht="15" customHeight="1" x14ac:dyDescent="0.3">
      <c r="A322" s="155" t="s">
        <v>3735</v>
      </c>
      <c r="B322" s="155" t="s">
        <v>4409</v>
      </c>
      <c r="C322" s="157" t="s">
        <v>4259</v>
      </c>
      <c r="D322" s="251" t="s">
        <v>3222</v>
      </c>
      <c r="E322" s="45" t="s">
        <v>2987</v>
      </c>
      <c r="F322" s="45">
        <v>95</v>
      </c>
      <c r="G322" s="24" t="s">
        <v>3231</v>
      </c>
      <c r="H322" s="33" t="s">
        <v>4555</v>
      </c>
      <c r="I322" s="33" t="s">
        <v>4526</v>
      </c>
      <c r="J322" s="177" t="s">
        <v>4651</v>
      </c>
      <c r="K322" s="179">
        <v>5</v>
      </c>
      <c r="L322" s="197" t="s">
        <v>4851</v>
      </c>
      <c r="M322" s="197" t="s">
        <v>4669</v>
      </c>
      <c r="N322" s="198">
        <v>15</v>
      </c>
      <c r="O322" s="31" t="s">
        <v>4602</v>
      </c>
    </row>
    <row r="323" spans="1:15" ht="15" customHeight="1" x14ac:dyDescent="0.3">
      <c r="A323" s="155" t="s">
        <v>3736</v>
      </c>
      <c r="B323" s="155" t="s">
        <v>4409</v>
      </c>
      <c r="C323" s="157" t="s">
        <v>4259</v>
      </c>
      <c r="D323" s="251" t="s">
        <v>3222</v>
      </c>
      <c r="E323" s="45" t="s">
        <v>2987</v>
      </c>
      <c r="F323" s="45">
        <v>95</v>
      </c>
      <c r="G323" s="24" t="s">
        <v>3231</v>
      </c>
      <c r="H323" s="33" t="s">
        <v>4555</v>
      </c>
      <c r="I323" s="33" t="s">
        <v>4526</v>
      </c>
      <c r="J323" s="177" t="s">
        <v>4656</v>
      </c>
      <c r="K323" s="179">
        <v>2</v>
      </c>
      <c r="L323" s="197" t="s">
        <v>4851</v>
      </c>
      <c r="M323" s="197" t="s">
        <v>4669</v>
      </c>
      <c r="N323" s="198">
        <v>15</v>
      </c>
      <c r="O323" s="31" t="s">
        <v>4602</v>
      </c>
    </row>
    <row r="324" spans="1:15" ht="15" customHeight="1" x14ac:dyDescent="0.3">
      <c r="A324" s="155" t="s">
        <v>3737</v>
      </c>
      <c r="B324" s="155" t="s">
        <v>4409</v>
      </c>
      <c r="C324" s="157" t="s">
        <v>4259</v>
      </c>
      <c r="D324" s="251" t="s">
        <v>3222</v>
      </c>
      <c r="E324" s="45" t="s">
        <v>2987</v>
      </c>
      <c r="F324" s="45">
        <v>95</v>
      </c>
      <c r="G324" s="24" t="s">
        <v>3231</v>
      </c>
      <c r="H324" s="33" t="s">
        <v>4555</v>
      </c>
      <c r="I324" s="33" t="s">
        <v>4526</v>
      </c>
      <c r="J324" s="177" t="s">
        <v>4651</v>
      </c>
      <c r="K324" s="179">
        <v>6</v>
      </c>
      <c r="L324" s="197" t="s">
        <v>4851</v>
      </c>
      <c r="M324" s="197" t="s">
        <v>4669</v>
      </c>
      <c r="N324" s="198">
        <v>15</v>
      </c>
      <c r="O324" s="31" t="s">
        <v>4602</v>
      </c>
    </row>
    <row r="325" spans="1:15" ht="15" customHeight="1" x14ac:dyDescent="0.3">
      <c r="A325" s="155" t="s">
        <v>3738</v>
      </c>
      <c r="B325" s="155" t="s">
        <v>4409</v>
      </c>
      <c r="C325" s="157" t="s">
        <v>4259</v>
      </c>
      <c r="D325" s="251" t="s">
        <v>3222</v>
      </c>
      <c r="E325" s="45" t="s">
        <v>2987</v>
      </c>
      <c r="F325" s="45">
        <v>95</v>
      </c>
      <c r="G325" s="24" t="s">
        <v>3231</v>
      </c>
      <c r="H325" s="33" t="s">
        <v>4555</v>
      </c>
      <c r="I325" s="33" t="s">
        <v>4526</v>
      </c>
      <c r="J325" s="177" t="s">
        <v>4656</v>
      </c>
      <c r="K325" s="179">
        <v>3</v>
      </c>
      <c r="L325" s="197" t="s">
        <v>4851</v>
      </c>
      <c r="M325" s="197" t="s">
        <v>4669</v>
      </c>
      <c r="N325" s="198">
        <v>15</v>
      </c>
      <c r="O325" s="31" t="s">
        <v>4602</v>
      </c>
    </row>
    <row r="326" spans="1:15" ht="15" customHeight="1" x14ac:dyDescent="0.3">
      <c r="A326" s="155" t="s">
        <v>3748</v>
      </c>
      <c r="B326" s="155" t="s">
        <v>4408</v>
      </c>
      <c r="C326" s="157" t="s">
        <v>4260</v>
      </c>
      <c r="D326" s="251" t="s">
        <v>3222</v>
      </c>
      <c r="E326" s="45" t="s">
        <v>2987</v>
      </c>
      <c r="F326" s="45">
        <v>25</v>
      </c>
      <c r="G326" s="24" t="s">
        <v>3232</v>
      </c>
      <c r="H326" s="33" t="s">
        <v>4554</v>
      </c>
      <c r="I326" s="33" t="s">
        <v>4526</v>
      </c>
      <c r="J326" s="177" t="s">
        <v>4651</v>
      </c>
      <c r="K326" s="179">
        <v>7</v>
      </c>
      <c r="L326" s="197" t="s">
        <v>4846</v>
      </c>
      <c r="M326" s="197" t="s">
        <v>4697</v>
      </c>
      <c r="N326" s="198">
        <v>12</v>
      </c>
      <c r="O326" s="31" t="s">
        <v>4602</v>
      </c>
    </row>
    <row r="327" spans="1:15" ht="15" customHeight="1" x14ac:dyDescent="0.3">
      <c r="A327" s="155" t="s">
        <v>3749</v>
      </c>
      <c r="B327" s="155" t="s">
        <v>4408</v>
      </c>
      <c r="C327" s="157" t="s">
        <v>4260</v>
      </c>
      <c r="D327" s="251" t="s">
        <v>3222</v>
      </c>
      <c r="E327" s="45" t="s">
        <v>2987</v>
      </c>
      <c r="F327" s="45">
        <v>25</v>
      </c>
      <c r="G327" s="24" t="s">
        <v>3232</v>
      </c>
      <c r="H327" s="33" t="s">
        <v>4554</v>
      </c>
      <c r="I327" s="33" t="s">
        <v>4526</v>
      </c>
      <c r="J327" s="177" t="s">
        <v>4651</v>
      </c>
      <c r="K327" s="179">
        <v>8</v>
      </c>
      <c r="L327" s="197" t="s">
        <v>4846</v>
      </c>
      <c r="M327" s="197" t="s">
        <v>4697</v>
      </c>
      <c r="N327" s="198">
        <v>12</v>
      </c>
      <c r="O327" s="31" t="s">
        <v>4602</v>
      </c>
    </row>
    <row r="328" spans="1:15" ht="15" customHeight="1" x14ac:dyDescent="0.3">
      <c r="A328" s="155" t="s">
        <v>3750</v>
      </c>
      <c r="B328" s="155" t="s">
        <v>4408</v>
      </c>
      <c r="C328" s="157" t="s">
        <v>4261</v>
      </c>
      <c r="D328" s="251" t="s">
        <v>3222</v>
      </c>
      <c r="E328" s="45" t="s">
        <v>2987</v>
      </c>
      <c r="F328" s="45">
        <v>60</v>
      </c>
      <c r="G328" s="24" t="s">
        <v>3232</v>
      </c>
      <c r="H328" s="33" t="s">
        <v>4554</v>
      </c>
      <c r="I328" s="33" t="s">
        <v>4526</v>
      </c>
      <c r="J328" s="177" t="s">
        <v>4655</v>
      </c>
      <c r="K328" s="179">
        <v>1</v>
      </c>
      <c r="L328" s="197" t="s">
        <v>4846</v>
      </c>
      <c r="M328" s="197" t="s">
        <v>4697</v>
      </c>
      <c r="N328" s="198">
        <v>12</v>
      </c>
      <c r="O328" s="31" t="s">
        <v>4602</v>
      </c>
    </row>
    <row r="329" spans="1:15" ht="15" customHeight="1" x14ac:dyDescent="0.3">
      <c r="A329" s="155" t="s">
        <v>3751</v>
      </c>
      <c r="B329" s="155" t="s">
        <v>4408</v>
      </c>
      <c r="C329" s="157" t="s">
        <v>4262</v>
      </c>
      <c r="D329" s="251" t="s">
        <v>3124</v>
      </c>
      <c r="E329" s="45" t="s">
        <v>2987</v>
      </c>
      <c r="F329" s="45">
        <v>50</v>
      </c>
      <c r="G329" s="24" t="s">
        <v>3233</v>
      </c>
      <c r="H329" s="33" t="s">
        <v>4554</v>
      </c>
      <c r="I329" s="33" t="s">
        <v>4526</v>
      </c>
      <c r="J329" s="177" t="s">
        <v>4655</v>
      </c>
      <c r="K329" s="179">
        <v>2</v>
      </c>
      <c r="L329" s="197" t="s">
        <v>4846</v>
      </c>
      <c r="M329" s="197" t="s">
        <v>4697</v>
      </c>
      <c r="N329" s="198">
        <v>12</v>
      </c>
      <c r="O329" s="31" t="s">
        <v>4602</v>
      </c>
    </row>
    <row r="330" spans="1:15" ht="15" customHeight="1" x14ac:dyDescent="0.3">
      <c r="A330" s="155" t="s">
        <v>3752</v>
      </c>
      <c r="B330" s="155" t="s">
        <v>4408</v>
      </c>
      <c r="C330" s="157" t="s">
        <v>4263</v>
      </c>
      <c r="D330" s="251" t="s">
        <v>3124</v>
      </c>
      <c r="E330" s="45" t="s">
        <v>2987</v>
      </c>
      <c r="F330" s="45">
        <v>50</v>
      </c>
      <c r="G330" s="24" t="s">
        <v>3233</v>
      </c>
      <c r="H330" s="33" t="s">
        <v>4554</v>
      </c>
      <c r="I330" s="33" t="s">
        <v>4526</v>
      </c>
      <c r="J330" s="177" t="s">
        <v>4655</v>
      </c>
      <c r="K330" s="179">
        <v>3</v>
      </c>
      <c r="L330" s="197" t="s">
        <v>4847</v>
      </c>
      <c r="M330" s="197" t="s">
        <v>4661</v>
      </c>
      <c r="N330" s="198">
        <v>24</v>
      </c>
      <c r="O330" s="31" t="s">
        <v>4602</v>
      </c>
    </row>
    <row r="331" spans="1:15" ht="15" customHeight="1" x14ac:dyDescent="0.3">
      <c r="A331" s="155" t="s">
        <v>3753</v>
      </c>
      <c r="B331" s="155" t="s">
        <v>4408</v>
      </c>
      <c r="C331" s="157" t="s">
        <v>4264</v>
      </c>
      <c r="D331" s="251" t="s">
        <v>3124</v>
      </c>
      <c r="E331" s="45" t="s">
        <v>2987</v>
      </c>
      <c r="F331" s="45">
        <v>50</v>
      </c>
      <c r="G331" s="24" t="s">
        <v>3234</v>
      </c>
      <c r="H331" s="33" t="s">
        <v>4554</v>
      </c>
      <c r="I331" s="33" t="s">
        <v>4526</v>
      </c>
      <c r="J331" s="177" t="s">
        <v>4655</v>
      </c>
      <c r="K331" s="179">
        <v>4</v>
      </c>
      <c r="L331" s="197" t="s">
        <v>4847</v>
      </c>
      <c r="M331" s="197" t="s">
        <v>4661</v>
      </c>
      <c r="N331" s="198">
        <v>24</v>
      </c>
      <c r="O331" s="31" t="s">
        <v>4602</v>
      </c>
    </row>
    <row r="332" spans="1:15" ht="15" customHeight="1" x14ac:dyDescent="0.3">
      <c r="A332" s="155" t="s">
        <v>3754</v>
      </c>
      <c r="B332" s="155" t="s">
        <v>4408</v>
      </c>
      <c r="C332" s="157" t="s">
        <v>4265</v>
      </c>
      <c r="D332" s="251" t="s">
        <v>3124</v>
      </c>
      <c r="E332" s="45" t="s">
        <v>2987</v>
      </c>
      <c r="F332" s="45">
        <v>50</v>
      </c>
      <c r="G332" s="24" t="s">
        <v>3234</v>
      </c>
      <c r="H332" s="33" t="s">
        <v>4554</v>
      </c>
      <c r="I332" s="33" t="s">
        <v>4526</v>
      </c>
      <c r="J332" s="177" t="s">
        <v>4655</v>
      </c>
      <c r="K332" s="179">
        <v>5</v>
      </c>
      <c r="L332" s="197" t="s">
        <v>4847</v>
      </c>
      <c r="M332" s="197" t="s">
        <v>4661</v>
      </c>
      <c r="N332" s="198">
        <v>24</v>
      </c>
      <c r="O332" s="31" t="s">
        <v>4602</v>
      </c>
    </row>
    <row r="333" spans="1:15" ht="15" customHeight="1" x14ac:dyDescent="0.3">
      <c r="A333" s="155" t="s">
        <v>3382</v>
      </c>
      <c r="B333" s="155" t="s">
        <v>4408</v>
      </c>
      <c r="C333" s="157" t="s">
        <v>3379</v>
      </c>
      <c r="D333" s="251" t="s">
        <v>3124</v>
      </c>
      <c r="E333" s="45" t="s">
        <v>2987</v>
      </c>
      <c r="F333" s="45">
        <v>40</v>
      </c>
      <c r="G333" s="24" t="s">
        <v>3229</v>
      </c>
      <c r="H333" s="33" t="s">
        <v>4554</v>
      </c>
      <c r="I333" s="33" t="s">
        <v>4526</v>
      </c>
      <c r="J333" s="177" t="s">
        <v>4655</v>
      </c>
      <c r="K333" s="179">
        <v>6</v>
      </c>
      <c r="L333" s="197" t="s">
        <v>4847</v>
      </c>
      <c r="M333" s="197" t="s">
        <v>4661</v>
      </c>
      <c r="N333" s="198">
        <v>24</v>
      </c>
      <c r="O333" s="31" t="s">
        <v>4602</v>
      </c>
    </row>
    <row r="334" spans="1:15" ht="15" customHeight="1" x14ac:dyDescent="0.3">
      <c r="A334" s="155" t="s">
        <v>3383</v>
      </c>
      <c r="B334" s="155" t="s">
        <v>4408</v>
      </c>
      <c r="C334" s="157" t="s">
        <v>3380</v>
      </c>
      <c r="D334" s="251" t="s">
        <v>3124</v>
      </c>
      <c r="E334" s="45" t="s">
        <v>2987</v>
      </c>
      <c r="F334" s="45">
        <v>40</v>
      </c>
      <c r="G334" s="24" t="s">
        <v>3230</v>
      </c>
      <c r="H334" s="33" t="s">
        <v>4554</v>
      </c>
      <c r="I334" s="33" t="s">
        <v>4526</v>
      </c>
      <c r="J334" s="177" t="s">
        <v>4656</v>
      </c>
      <c r="K334" s="179">
        <v>4</v>
      </c>
      <c r="L334" s="197" t="s">
        <v>4847</v>
      </c>
      <c r="M334" s="197" t="s">
        <v>4661</v>
      </c>
      <c r="N334" s="198">
        <v>24</v>
      </c>
      <c r="O334" s="31" t="s">
        <v>4602</v>
      </c>
    </row>
    <row r="335" spans="1:15" ht="15" customHeight="1" x14ac:dyDescent="0.3">
      <c r="A335" s="155" t="s">
        <v>3384</v>
      </c>
      <c r="B335" s="155" t="s">
        <v>4408</v>
      </c>
      <c r="C335" s="157" t="s">
        <v>3381</v>
      </c>
      <c r="D335" s="251" t="s">
        <v>3124</v>
      </c>
      <c r="E335" s="45" t="s">
        <v>2987</v>
      </c>
      <c r="F335" s="45">
        <v>40</v>
      </c>
      <c r="G335" s="24" t="s">
        <v>3230</v>
      </c>
      <c r="H335" s="33" t="s">
        <v>4554</v>
      </c>
      <c r="I335" s="33" t="s">
        <v>4526</v>
      </c>
      <c r="J335" s="177" t="s">
        <v>4656</v>
      </c>
      <c r="K335" s="179">
        <v>5</v>
      </c>
      <c r="L335" s="197" t="s">
        <v>4847</v>
      </c>
      <c r="M335" s="197" t="s">
        <v>4661</v>
      </c>
      <c r="N335" s="198">
        <v>24</v>
      </c>
      <c r="O335" s="31" t="s">
        <v>4602</v>
      </c>
    </row>
    <row r="336" spans="1:15" ht="15" customHeight="1" x14ac:dyDescent="0.3">
      <c r="A336" s="155" t="s">
        <v>3755</v>
      </c>
      <c r="B336" s="155" t="s">
        <v>4408</v>
      </c>
      <c r="C336" s="157" t="s">
        <v>4266</v>
      </c>
      <c r="D336" s="251" t="s">
        <v>3124</v>
      </c>
      <c r="E336" s="45" t="s">
        <v>2987</v>
      </c>
      <c r="F336" s="45">
        <v>50</v>
      </c>
      <c r="G336" s="24" t="s">
        <v>3235</v>
      </c>
      <c r="H336" s="33" t="s">
        <v>4554</v>
      </c>
      <c r="I336" s="33" t="s">
        <v>4526</v>
      </c>
      <c r="J336" s="177" t="s">
        <v>4656</v>
      </c>
      <c r="K336" s="179">
        <v>6</v>
      </c>
      <c r="L336" s="197" t="s">
        <v>4847</v>
      </c>
      <c r="M336" s="197" t="s">
        <v>4661</v>
      </c>
      <c r="N336" s="198">
        <v>24</v>
      </c>
      <c r="O336" s="31" t="s">
        <v>4602</v>
      </c>
    </row>
    <row r="337" spans="1:40" ht="15" customHeight="1" x14ac:dyDescent="0.3">
      <c r="A337" s="228" t="s">
        <v>3756</v>
      </c>
      <c r="B337" s="155" t="s">
        <v>4408</v>
      </c>
      <c r="C337" s="268" t="s">
        <v>4267</v>
      </c>
      <c r="D337" s="251" t="s">
        <v>3124</v>
      </c>
      <c r="E337" s="45" t="s">
        <v>2987</v>
      </c>
      <c r="F337" s="45">
        <v>50</v>
      </c>
      <c r="G337" s="24" t="s">
        <v>3235</v>
      </c>
      <c r="H337" s="33" t="s">
        <v>4554</v>
      </c>
      <c r="I337" s="33" t="s">
        <v>4526</v>
      </c>
      <c r="J337" s="177" t="s">
        <v>4656</v>
      </c>
      <c r="K337" s="179">
        <v>7</v>
      </c>
      <c r="L337" s="197" t="s">
        <v>4847</v>
      </c>
      <c r="M337" s="197" t="s">
        <v>4661</v>
      </c>
      <c r="N337" s="198">
        <v>24</v>
      </c>
      <c r="O337" s="31" t="s">
        <v>4602</v>
      </c>
    </row>
    <row r="338" spans="1:40" s="116" customFormat="1" ht="15" customHeight="1" x14ac:dyDescent="0.3">
      <c r="A338" s="155" t="s">
        <v>4448</v>
      </c>
      <c r="B338" s="155" t="s">
        <v>4409</v>
      </c>
      <c r="C338" s="267" t="s">
        <v>4420</v>
      </c>
      <c r="D338" s="251"/>
      <c r="E338" s="45"/>
      <c r="F338" s="45"/>
      <c r="G338" s="24"/>
      <c r="H338" s="180" t="s">
        <v>4480</v>
      </c>
      <c r="I338" s="145" t="s">
        <v>4480</v>
      </c>
      <c r="J338" s="145" t="s">
        <v>4480</v>
      </c>
      <c r="K338" s="145" t="s">
        <v>4480</v>
      </c>
      <c r="L338" s="197" t="s">
        <v>4852</v>
      </c>
      <c r="M338" s="197" t="s">
        <v>4553</v>
      </c>
      <c r="N338" s="198">
        <v>2</v>
      </c>
      <c r="O338" s="145" t="s">
        <v>4480</v>
      </c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</row>
    <row r="339" spans="1:40" s="116" customFormat="1" ht="15" customHeight="1" x14ac:dyDescent="0.3">
      <c r="A339" s="155" t="s">
        <v>4451</v>
      </c>
      <c r="B339" s="155" t="s">
        <v>4408</v>
      </c>
      <c r="C339" s="248" t="s">
        <v>4268</v>
      </c>
      <c r="D339" s="251"/>
      <c r="E339" s="45"/>
      <c r="F339" s="45"/>
      <c r="G339" s="24"/>
      <c r="H339" s="33" t="s">
        <v>4554</v>
      </c>
      <c r="I339" s="145" t="s">
        <v>4480</v>
      </c>
      <c r="J339" s="145" t="s">
        <v>4480</v>
      </c>
      <c r="K339" s="145" t="s">
        <v>4480</v>
      </c>
      <c r="L339" s="197" t="s">
        <v>4849</v>
      </c>
      <c r="M339" s="197" t="s">
        <v>4669</v>
      </c>
      <c r="N339" s="198">
        <v>18</v>
      </c>
      <c r="O339" s="145" t="s">
        <v>4480</v>
      </c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</row>
    <row r="340" spans="1:40" s="116" customFormat="1" ht="15" customHeight="1" x14ac:dyDescent="0.3">
      <c r="A340" s="155" t="s">
        <v>4452</v>
      </c>
      <c r="B340" s="155" t="s">
        <v>4408</v>
      </c>
      <c r="C340" s="248" t="s">
        <v>4269</v>
      </c>
      <c r="D340" s="251"/>
      <c r="E340" s="45"/>
      <c r="F340" s="45"/>
      <c r="G340" s="24"/>
      <c r="H340" s="33" t="s">
        <v>4554</v>
      </c>
      <c r="I340" s="145" t="s">
        <v>4480</v>
      </c>
      <c r="J340" s="145" t="s">
        <v>4480</v>
      </c>
      <c r="K340" s="145" t="s">
        <v>4480</v>
      </c>
      <c r="L340" s="197" t="s">
        <v>4849</v>
      </c>
      <c r="M340" s="197" t="s">
        <v>4669</v>
      </c>
      <c r="N340" s="198">
        <v>18</v>
      </c>
      <c r="O340" s="145" t="s">
        <v>4480</v>
      </c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</row>
    <row r="341" spans="1:40" s="116" customFormat="1" ht="15" customHeight="1" x14ac:dyDescent="0.3">
      <c r="A341" s="155" t="s">
        <v>4453</v>
      </c>
      <c r="B341" s="155" t="s">
        <v>4408</v>
      </c>
      <c r="C341" s="248" t="s">
        <v>4269</v>
      </c>
      <c r="D341" s="251"/>
      <c r="E341" s="45"/>
      <c r="F341" s="45"/>
      <c r="G341" s="24"/>
      <c r="H341" s="33" t="s">
        <v>4554</v>
      </c>
      <c r="I341" s="145" t="s">
        <v>4480</v>
      </c>
      <c r="J341" s="145" t="s">
        <v>4480</v>
      </c>
      <c r="K341" s="145" t="s">
        <v>4480</v>
      </c>
      <c r="L341" s="197" t="s">
        <v>4849</v>
      </c>
      <c r="M341" s="197" t="s">
        <v>4669</v>
      </c>
      <c r="N341" s="198">
        <v>18</v>
      </c>
      <c r="O341" s="145" t="s">
        <v>4480</v>
      </c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</row>
    <row r="342" spans="1:40" s="116" customFormat="1" ht="15" customHeight="1" x14ac:dyDescent="0.3">
      <c r="A342" s="155" t="s">
        <v>4454</v>
      </c>
      <c r="B342" s="155" t="s">
        <v>4408</v>
      </c>
      <c r="C342" s="248" t="s">
        <v>4270</v>
      </c>
      <c r="D342" s="251"/>
      <c r="E342" s="45"/>
      <c r="F342" s="45"/>
      <c r="G342" s="24"/>
      <c r="H342" s="33" t="s">
        <v>4554</v>
      </c>
      <c r="I342" s="145" t="s">
        <v>4480</v>
      </c>
      <c r="J342" s="145" t="s">
        <v>4480</v>
      </c>
      <c r="K342" s="145" t="s">
        <v>4480</v>
      </c>
      <c r="L342" s="197" t="s">
        <v>4849</v>
      </c>
      <c r="M342" s="197" t="s">
        <v>4669</v>
      </c>
      <c r="N342" s="198">
        <v>18</v>
      </c>
      <c r="O342" s="145" t="s">
        <v>4480</v>
      </c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</row>
    <row r="343" spans="1:40" s="116" customFormat="1" ht="15" customHeight="1" x14ac:dyDescent="0.3">
      <c r="A343" s="155" t="s">
        <v>4455</v>
      </c>
      <c r="B343" s="155" t="s">
        <v>4408</v>
      </c>
      <c r="C343" s="248" t="s">
        <v>4271</v>
      </c>
      <c r="D343" s="251"/>
      <c r="E343" s="45"/>
      <c r="F343" s="45"/>
      <c r="G343" s="24"/>
      <c r="H343" s="33" t="s">
        <v>4554</v>
      </c>
      <c r="I343" s="145" t="s">
        <v>4480</v>
      </c>
      <c r="J343" s="145" t="s">
        <v>4480</v>
      </c>
      <c r="K343" s="145" t="s">
        <v>4480</v>
      </c>
      <c r="L343" s="197" t="s">
        <v>4849</v>
      </c>
      <c r="M343" s="197" t="s">
        <v>4669</v>
      </c>
      <c r="N343" s="198">
        <v>18</v>
      </c>
      <c r="O343" s="145" t="s">
        <v>4480</v>
      </c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</row>
    <row r="344" spans="1:40" s="116" customFormat="1" ht="15" customHeight="1" x14ac:dyDescent="0.3">
      <c r="A344" s="155" t="s">
        <v>4456</v>
      </c>
      <c r="B344" s="155" t="s">
        <v>4408</v>
      </c>
      <c r="C344" s="248" t="s">
        <v>4271</v>
      </c>
      <c r="D344" s="251"/>
      <c r="E344" s="45"/>
      <c r="F344" s="45"/>
      <c r="G344" s="24"/>
      <c r="H344" s="33" t="s">
        <v>4554</v>
      </c>
      <c r="I344" s="145" t="s">
        <v>4480</v>
      </c>
      <c r="J344" s="145" t="s">
        <v>4480</v>
      </c>
      <c r="K344" s="145" t="s">
        <v>4480</v>
      </c>
      <c r="L344" s="197" t="s">
        <v>4849</v>
      </c>
      <c r="M344" s="197" t="s">
        <v>4669</v>
      </c>
      <c r="N344" s="198">
        <v>18</v>
      </c>
      <c r="O344" s="145" t="s">
        <v>4480</v>
      </c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</row>
    <row r="345" spans="1:40" ht="15" customHeight="1" thickBot="1" x14ac:dyDescent="0.35">
      <c r="A345" s="192" t="s">
        <v>4449</v>
      </c>
      <c r="B345" s="155" t="s">
        <v>4408</v>
      </c>
      <c r="C345" s="269" t="s">
        <v>4421</v>
      </c>
      <c r="D345" s="251"/>
      <c r="E345" s="45"/>
      <c r="F345" s="45"/>
      <c r="G345" s="24"/>
      <c r="H345" s="33" t="s">
        <v>4554</v>
      </c>
      <c r="I345" s="145" t="s">
        <v>4480</v>
      </c>
      <c r="J345" s="145" t="s">
        <v>4480</v>
      </c>
      <c r="K345" s="145" t="s">
        <v>4480</v>
      </c>
      <c r="L345" s="197" t="s">
        <v>4848</v>
      </c>
      <c r="M345" s="197" t="s">
        <v>4690</v>
      </c>
      <c r="N345" s="198">
        <v>6</v>
      </c>
      <c r="O345" s="145" t="s">
        <v>4480</v>
      </c>
    </row>
    <row r="346" spans="1:40" ht="15" customHeight="1" x14ac:dyDescent="0.3">
      <c r="A346" s="192" t="s">
        <v>4450</v>
      </c>
      <c r="B346" s="155" t="s">
        <v>4408</v>
      </c>
      <c r="C346" s="267" t="s">
        <v>4422</v>
      </c>
      <c r="D346" s="251"/>
      <c r="E346" s="45"/>
      <c r="F346" s="45"/>
      <c r="G346" s="24"/>
      <c r="H346" s="33" t="s">
        <v>4554</v>
      </c>
      <c r="I346" s="145" t="s">
        <v>4480</v>
      </c>
      <c r="J346" s="145" t="s">
        <v>4480</v>
      </c>
      <c r="K346" s="145" t="s">
        <v>4480</v>
      </c>
      <c r="L346" s="197" t="s">
        <v>4848</v>
      </c>
      <c r="M346" s="197" t="s">
        <v>4690</v>
      </c>
      <c r="N346" s="198">
        <v>6</v>
      </c>
      <c r="O346" s="145" t="s">
        <v>4480</v>
      </c>
    </row>
    <row r="347" spans="1:40" ht="15" customHeight="1" x14ac:dyDescent="0.3">
      <c r="A347" s="155" t="s">
        <v>4138</v>
      </c>
      <c r="B347" s="155" t="s">
        <v>4411</v>
      </c>
      <c r="C347" s="248" t="s">
        <v>366</v>
      </c>
      <c r="D347" s="151" t="s">
        <v>3124</v>
      </c>
      <c r="E347" s="151" t="s">
        <v>2987</v>
      </c>
      <c r="F347" s="45">
        <v>110</v>
      </c>
      <c r="G347" s="24" t="s">
        <v>3236</v>
      </c>
      <c r="H347" s="153" t="s">
        <v>4557</v>
      </c>
      <c r="I347" s="33" t="s">
        <v>4526</v>
      </c>
      <c r="J347" s="177" t="s">
        <v>4646</v>
      </c>
      <c r="K347" s="179">
        <v>3</v>
      </c>
      <c r="L347" s="197" t="s">
        <v>4854</v>
      </c>
      <c r="M347" s="197" t="s">
        <v>4697</v>
      </c>
      <c r="N347" s="198">
        <v>12</v>
      </c>
      <c r="O347" s="31" t="s">
        <v>4602</v>
      </c>
    </row>
    <row r="348" spans="1:40" ht="15" customHeight="1" x14ac:dyDescent="0.3">
      <c r="A348" s="155" t="s">
        <v>4139</v>
      </c>
      <c r="B348" s="155" t="s">
        <v>4411</v>
      </c>
      <c r="C348" s="248" t="s">
        <v>367</v>
      </c>
      <c r="D348" s="151" t="s">
        <v>3124</v>
      </c>
      <c r="E348" s="151" t="s">
        <v>2987</v>
      </c>
      <c r="F348" s="45">
        <v>50</v>
      </c>
      <c r="G348" s="24" t="s">
        <v>3237</v>
      </c>
      <c r="H348" s="153" t="s">
        <v>4557</v>
      </c>
      <c r="I348" s="33" t="s">
        <v>4526</v>
      </c>
      <c r="J348" s="177" t="s">
        <v>4646</v>
      </c>
      <c r="K348" s="179">
        <v>4</v>
      </c>
      <c r="L348" s="197" t="s">
        <v>4854</v>
      </c>
      <c r="M348" s="197" t="s">
        <v>4697</v>
      </c>
      <c r="N348" s="198">
        <v>12</v>
      </c>
      <c r="O348" s="31" t="s">
        <v>4602</v>
      </c>
    </row>
    <row r="349" spans="1:40" ht="15" customHeight="1" x14ac:dyDescent="0.3">
      <c r="A349" s="155" t="s">
        <v>4140</v>
      </c>
      <c r="B349" s="155" t="s">
        <v>4411</v>
      </c>
      <c r="C349" s="248" t="s">
        <v>368</v>
      </c>
      <c r="D349" s="151" t="s">
        <v>3124</v>
      </c>
      <c r="E349" s="151" t="s">
        <v>2987</v>
      </c>
      <c r="F349" s="45">
        <v>110</v>
      </c>
      <c r="G349" s="24" t="s">
        <v>3239</v>
      </c>
      <c r="H349" s="153" t="s">
        <v>4557</v>
      </c>
      <c r="I349" s="33" t="s">
        <v>4526</v>
      </c>
      <c r="J349" s="177" t="s">
        <v>4646</v>
      </c>
      <c r="K349" s="179">
        <v>5</v>
      </c>
      <c r="L349" s="197" t="s">
        <v>4854</v>
      </c>
      <c r="M349" s="197" t="s">
        <v>4697</v>
      </c>
      <c r="N349" s="198">
        <v>12</v>
      </c>
      <c r="O349" s="31" t="s">
        <v>4602</v>
      </c>
    </row>
    <row r="350" spans="1:40" ht="15" customHeight="1" x14ac:dyDescent="0.3">
      <c r="A350" s="155" t="s">
        <v>4141</v>
      </c>
      <c r="B350" s="155" t="s">
        <v>4411</v>
      </c>
      <c r="C350" s="248" t="s">
        <v>369</v>
      </c>
      <c r="D350" s="151" t="s">
        <v>3124</v>
      </c>
      <c r="E350" s="151" t="s">
        <v>2987</v>
      </c>
      <c r="F350" s="45">
        <v>110</v>
      </c>
      <c r="G350" s="24" t="s">
        <v>3238</v>
      </c>
      <c r="H350" s="153" t="s">
        <v>4557</v>
      </c>
      <c r="I350" s="33" t="s">
        <v>4526</v>
      </c>
      <c r="J350" s="177" t="s">
        <v>4646</v>
      </c>
      <c r="K350" s="179">
        <v>6</v>
      </c>
      <c r="L350" s="197" t="s">
        <v>4854</v>
      </c>
      <c r="M350" s="197" t="s">
        <v>4697</v>
      </c>
      <c r="N350" s="198">
        <v>12</v>
      </c>
      <c r="O350" s="31" t="s">
        <v>4602</v>
      </c>
    </row>
    <row r="351" spans="1:40" ht="15" customHeight="1" x14ac:dyDescent="0.3">
      <c r="A351" s="155" t="s">
        <v>3676</v>
      </c>
      <c r="B351" s="155" t="s">
        <v>4393</v>
      </c>
      <c r="C351" s="157" t="s">
        <v>370</v>
      </c>
      <c r="D351" s="151" t="s">
        <v>3222</v>
      </c>
      <c r="E351" s="151" t="s">
        <v>2987</v>
      </c>
      <c r="F351" s="45">
        <v>60</v>
      </c>
      <c r="G351" s="24" t="s">
        <v>3240</v>
      </c>
      <c r="H351" s="33" t="s">
        <v>4534</v>
      </c>
      <c r="I351" s="33" t="s">
        <v>4529</v>
      </c>
      <c r="J351" s="177" t="s">
        <v>4632</v>
      </c>
      <c r="K351" s="179">
        <v>1</v>
      </c>
      <c r="L351" s="197" t="s">
        <v>4817</v>
      </c>
      <c r="M351" s="197" t="s">
        <v>4661</v>
      </c>
      <c r="N351" s="198">
        <v>24</v>
      </c>
      <c r="O351" s="31" t="s">
        <v>4602</v>
      </c>
    </row>
    <row r="352" spans="1:40" ht="15" customHeight="1" x14ac:dyDescent="0.3">
      <c r="A352" s="155" t="s">
        <v>3679</v>
      </c>
      <c r="B352" s="155" t="s">
        <v>4393</v>
      </c>
      <c r="C352" s="157" t="s">
        <v>371</v>
      </c>
      <c r="D352" s="151" t="s">
        <v>3222</v>
      </c>
      <c r="E352" s="151" t="s">
        <v>2987</v>
      </c>
      <c r="F352" s="45">
        <v>60</v>
      </c>
      <c r="G352" s="24" t="s">
        <v>3240</v>
      </c>
      <c r="H352" s="33" t="s">
        <v>4534</v>
      </c>
      <c r="I352" s="33" t="s">
        <v>4529</v>
      </c>
      <c r="J352" s="177" t="s">
        <v>4632</v>
      </c>
      <c r="K352" s="179">
        <v>2</v>
      </c>
      <c r="L352" s="197" t="s">
        <v>4817</v>
      </c>
      <c r="M352" s="197" t="s">
        <v>4661</v>
      </c>
      <c r="N352" s="198">
        <v>24</v>
      </c>
      <c r="O352" s="31" t="s">
        <v>4602</v>
      </c>
    </row>
    <row r="353" spans="1:15" ht="15" customHeight="1" x14ac:dyDescent="0.3">
      <c r="A353" s="155" t="s">
        <v>3677</v>
      </c>
      <c r="B353" s="155" t="s">
        <v>4393</v>
      </c>
      <c r="C353" s="157" t="s">
        <v>372</v>
      </c>
      <c r="D353" s="151" t="s">
        <v>3222</v>
      </c>
      <c r="E353" s="151" t="s">
        <v>2987</v>
      </c>
      <c r="F353" s="45">
        <v>60</v>
      </c>
      <c r="G353" s="24" t="s">
        <v>3240</v>
      </c>
      <c r="H353" s="33" t="s">
        <v>4534</v>
      </c>
      <c r="I353" s="33" t="s">
        <v>4529</v>
      </c>
      <c r="J353" s="177" t="s">
        <v>4632</v>
      </c>
      <c r="K353" s="179">
        <v>3</v>
      </c>
      <c r="L353" s="197" t="s">
        <v>4817</v>
      </c>
      <c r="M353" s="197" t="s">
        <v>4661</v>
      </c>
      <c r="N353" s="198">
        <v>24</v>
      </c>
      <c r="O353" s="31" t="s">
        <v>4602</v>
      </c>
    </row>
    <row r="354" spans="1:15" ht="15" customHeight="1" x14ac:dyDescent="0.3">
      <c r="A354" s="155" t="s">
        <v>3680</v>
      </c>
      <c r="B354" s="155" t="s">
        <v>4393</v>
      </c>
      <c r="C354" s="157" t="s">
        <v>373</v>
      </c>
      <c r="D354" s="151" t="s">
        <v>3222</v>
      </c>
      <c r="E354" s="151" t="s">
        <v>2987</v>
      </c>
      <c r="F354" s="45">
        <v>60</v>
      </c>
      <c r="G354" s="24" t="s">
        <v>3240</v>
      </c>
      <c r="H354" s="33" t="s">
        <v>4534</v>
      </c>
      <c r="I354" s="33" t="s">
        <v>4529</v>
      </c>
      <c r="J354" s="177" t="s">
        <v>4632</v>
      </c>
      <c r="K354" s="179">
        <v>4</v>
      </c>
      <c r="L354" s="197" t="s">
        <v>4817</v>
      </c>
      <c r="M354" s="197" t="s">
        <v>4661</v>
      </c>
      <c r="N354" s="198">
        <v>24</v>
      </c>
      <c r="O354" s="31" t="s">
        <v>4602</v>
      </c>
    </row>
    <row r="355" spans="1:15" ht="15" customHeight="1" x14ac:dyDescent="0.3">
      <c r="A355" s="155" t="s">
        <v>3678</v>
      </c>
      <c r="B355" s="155" t="s">
        <v>4393</v>
      </c>
      <c r="C355" s="157" t="s">
        <v>374</v>
      </c>
      <c r="D355" s="151" t="s">
        <v>3222</v>
      </c>
      <c r="E355" s="151" t="s">
        <v>2987</v>
      </c>
      <c r="F355" s="45">
        <v>60</v>
      </c>
      <c r="G355" s="24" t="s">
        <v>3240</v>
      </c>
      <c r="H355" s="33" t="s">
        <v>4534</v>
      </c>
      <c r="I355" s="33" t="s">
        <v>4529</v>
      </c>
      <c r="J355" s="177" t="s">
        <v>4632</v>
      </c>
      <c r="K355" s="179">
        <v>5</v>
      </c>
      <c r="L355" s="197" t="s">
        <v>4817</v>
      </c>
      <c r="M355" s="197" t="s">
        <v>4661</v>
      </c>
      <c r="N355" s="198">
        <v>24</v>
      </c>
      <c r="O355" s="31" t="s">
        <v>4602</v>
      </c>
    </row>
    <row r="356" spans="1:15" ht="15" customHeight="1" x14ac:dyDescent="0.3">
      <c r="A356" s="155" t="s">
        <v>3687</v>
      </c>
      <c r="B356" s="155" t="s">
        <v>4393</v>
      </c>
      <c r="C356" s="157" t="s">
        <v>375</v>
      </c>
      <c r="D356" s="151" t="s">
        <v>3222</v>
      </c>
      <c r="E356" s="151" t="s">
        <v>2987</v>
      </c>
      <c r="F356" s="45">
        <v>60</v>
      </c>
      <c r="G356" s="24" t="s">
        <v>3240</v>
      </c>
      <c r="H356" s="33" t="s">
        <v>4534</v>
      </c>
      <c r="I356" s="33" t="s">
        <v>4529</v>
      </c>
      <c r="J356" s="177" t="s">
        <v>4632</v>
      </c>
      <c r="K356" s="179">
        <v>6</v>
      </c>
      <c r="L356" s="197" t="s">
        <v>4817</v>
      </c>
      <c r="M356" s="197" t="s">
        <v>4661</v>
      </c>
      <c r="N356" s="198">
        <v>24</v>
      </c>
      <c r="O356" s="31" t="s">
        <v>4602</v>
      </c>
    </row>
    <row r="357" spans="1:15" ht="15" customHeight="1" x14ac:dyDescent="0.3">
      <c r="A357" s="155" t="s">
        <v>3682</v>
      </c>
      <c r="B357" s="155" t="s">
        <v>4395</v>
      </c>
      <c r="C357" s="157" t="s">
        <v>371</v>
      </c>
      <c r="D357" s="151" t="s">
        <v>3222</v>
      </c>
      <c r="E357" s="151" t="s">
        <v>2987</v>
      </c>
      <c r="F357" s="45">
        <v>60</v>
      </c>
      <c r="G357" s="24" t="s">
        <v>3240</v>
      </c>
      <c r="H357" s="33" t="s">
        <v>4535</v>
      </c>
      <c r="I357" s="33" t="s">
        <v>4529</v>
      </c>
      <c r="J357" s="177" t="s">
        <v>4634</v>
      </c>
      <c r="K357" s="179">
        <v>1</v>
      </c>
      <c r="L357" s="197" t="s">
        <v>4818</v>
      </c>
      <c r="M357" s="197" t="s">
        <v>4661</v>
      </c>
      <c r="N357" s="198">
        <v>24</v>
      </c>
      <c r="O357" s="31" t="s">
        <v>4602</v>
      </c>
    </row>
    <row r="358" spans="1:15" ht="15" customHeight="1" x14ac:dyDescent="0.3">
      <c r="A358" s="155" t="s">
        <v>3683</v>
      </c>
      <c r="B358" s="155" t="s">
        <v>4395</v>
      </c>
      <c r="C358" s="157" t="s">
        <v>373</v>
      </c>
      <c r="D358" s="151" t="s">
        <v>3222</v>
      </c>
      <c r="E358" s="151" t="s">
        <v>2987</v>
      </c>
      <c r="F358" s="45">
        <v>60</v>
      </c>
      <c r="G358" s="24" t="s">
        <v>3240</v>
      </c>
      <c r="H358" s="33" t="s">
        <v>4535</v>
      </c>
      <c r="I358" s="33" t="s">
        <v>4529</v>
      </c>
      <c r="J358" s="177" t="s">
        <v>4634</v>
      </c>
      <c r="K358" s="179">
        <v>2</v>
      </c>
      <c r="L358" s="197" t="s">
        <v>4818</v>
      </c>
      <c r="M358" s="197" t="s">
        <v>4661</v>
      </c>
      <c r="N358" s="198">
        <v>24</v>
      </c>
      <c r="O358" s="31" t="s">
        <v>4602</v>
      </c>
    </row>
    <row r="359" spans="1:15" ht="15" customHeight="1" x14ac:dyDescent="0.3">
      <c r="A359" s="155" t="s">
        <v>3681</v>
      </c>
      <c r="B359" s="155" t="s">
        <v>4395</v>
      </c>
      <c r="C359" s="157" t="s">
        <v>376</v>
      </c>
      <c r="D359" s="151" t="s">
        <v>3222</v>
      </c>
      <c r="E359" s="151" t="s">
        <v>2987</v>
      </c>
      <c r="F359" s="45">
        <v>60</v>
      </c>
      <c r="G359" s="24" t="s">
        <v>3240</v>
      </c>
      <c r="H359" s="33" t="s">
        <v>4535</v>
      </c>
      <c r="I359" s="33" t="s">
        <v>4529</v>
      </c>
      <c r="J359" s="177" t="s">
        <v>4634</v>
      </c>
      <c r="K359" s="179">
        <v>3</v>
      </c>
      <c r="L359" s="197" t="s">
        <v>4818</v>
      </c>
      <c r="M359" s="197" t="s">
        <v>4661</v>
      </c>
      <c r="N359" s="198">
        <v>24</v>
      </c>
      <c r="O359" s="31" t="s">
        <v>4602</v>
      </c>
    </row>
    <row r="360" spans="1:15" ht="15" customHeight="1" x14ac:dyDescent="0.3">
      <c r="A360" s="155" t="s">
        <v>3685</v>
      </c>
      <c r="B360" s="155" t="s">
        <v>4395</v>
      </c>
      <c r="C360" s="157" t="s">
        <v>371</v>
      </c>
      <c r="D360" s="151" t="s">
        <v>3222</v>
      </c>
      <c r="E360" s="151" t="s">
        <v>2987</v>
      </c>
      <c r="F360" s="45">
        <v>60</v>
      </c>
      <c r="G360" s="24" t="s">
        <v>3240</v>
      </c>
      <c r="H360" s="33" t="s">
        <v>4535</v>
      </c>
      <c r="I360" s="33" t="s">
        <v>4529</v>
      </c>
      <c r="J360" s="177" t="s">
        <v>4634</v>
      </c>
      <c r="K360" s="179">
        <v>4</v>
      </c>
      <c r="L360" s="197" t="s">
        <v>4818</v>
      </c>
      <c r="M360" s="197" t="s">
        <v>4661</v>
      </c>
      <c r="N360" s="198">
        <v>24</v>
      </c>
      <c r="O360" s="31" t="s">
        <v>4602</v>
      </c>
    </row>
    <row r="361" spans="1:15" ht="15" customHeight="1" x14ac:dyDescent="0.3">
      <c r="A361" s="155" t="s">
        <v>3686</v>
      </c>
      <c r="B361" s="155" t="s">
        <v>4395</v>
      </c>
      <c r="C361" s="157" t="s">
        <v>373</v>
      </c>
      <c r="D361" s="151" t="s">
        <v>3222</v>
      </c>
      <c r="E361" s="151" t="s">
        <v>2987</v>
      </c>
      <c r="F361" s="45">
        <v>60</v>
      </c>
      <c r="G361" s="24" t="s">
        <v>3240</v>
      </c>
      <c r="H361" s="33" t="s">
        <v>4535</v>
      </c>
      <c r="I361" s="33" t="s">
        <v>4529</v>
      </c>
      <c r="J361" s="177" t="s">
        <v>4634</v>
      </c>
      <c r="K361" s="179">
        <v>5</v>
      </c>
      <c r="L361" s="197" t="s">
        <v>4818</v>
      </c>
      <c r="M361" s="197" t="s">
        <v>4661</v>
      </c>
      <c r="N361" s="198">
        <v>24</v>
      </c>
      <c r="O361" s="31" t="s">
        <v>4602</v>
      </c>
    </row>
    <row r="362" spans="1:15" ht="15" customHeight="1" x14ac:dyDescent="0.3">
      <c r="A362" s="155" t="s">
        <v>3684</v>
      </c>
      <c r="B362" s="155" t="s">
        <v>4395</v>
      </c>
      <c r="C362" s="157" t="s">
        <v>376</v>
      </c>
      <c r="D362" s="151" t="s">
        <v>3222</v>
      </c>
      <c r="E362" s="151" t="s">
        <v>2987</v>
      </c>
      <c r="F362" s="45">
        <v>60</v>
      </c>
      <c r="G362" s="24" t="s">
        <v>3240</v>
      </c>
      <c r="H362" s="33" t="s">
        <v>4535</v>
      </c>
      <c r="I362" s="33" t="s">
        <v>4529</v>
      </c>
      <c r="J362" s="177" t="s">
        <v>4634</v>
      </c>
      <c r="K362" s="179">
        <v>6</v>
      </c>
      <c r="L362" s="197" t="s">
        <v>4818</v>
      </c>
      <c r="M362" s="197" t="s">
        <v>4661</v>
      </c>
      <c r="N362" s="198">
        <v>24</v>
      </c>
      <c r="O362" s="31" t="s">
        <v>4602</v>
      </c>
    </row>
    <row r="363" spans="1:15" ht="15" customHeight="1" x14ac:dyDescent="0.3">
      <c r="A363" s="155" t="s">
        <v>3700</v>
      </c>
      <c r="B363" s="155" t="s">
        <v>4395</v>
      </c>
      <c r="C363" s="157" t="s">
        <v>377</v>
      </c>
      <c r="D363" s="45" t="s">
        <v>3222</v>
      </c>
      <c r="E363" s="151" t="s">
        <v>2987</v>
      </c>
      <c r="F363" s="45">
        <v>30</v>
      </c>
      <c r="G363" s="24"/>
      <c r="H363" s="33" t="s">
        <v>4535</v>
      </c>
      <c r="I363" s="33" t="s">
        <v>4529</v>
      </c>
      <c r="J363" s="177" t="s">
        <v>4634</v>
      </c>
      <c r="K363" s="179">
        <v>7</v>
      </c>
      <c r="L363" s="197" t="s">
        <v>4818</v>
      </c>
      <c r="M363" s="197" t="s">
        <v>4661</v>
      </c>
      <c r="N363" s="198">
        <v>24</v>
      </c>
      <c r="O363" s="31" t="s">
        <v>4602</v>
      </c>
    </row>
    <row r="364" spans="1:15" ht="15" customHeight="1" x14ac:dyDescent="0.3">
      <c r="A364" s="155" t="s">
        <v>3701</v>
      </c>
      <c r="B364" s="155" t="s">
        <v>4395</v>
      </c>
      <c r="C364" s="157" t="s">
        <v>377</v>
      </c>
      <c r="D364" s="45" t="s">
        <v>3222</v>
      </c>
      <c r="E364" s="151" t="s">
        <v>2987</v>
      </c>
      <c r="F364" s="45">
        <v>30</v>
      </c>
      <c r="G364" s="24" t="s">
        <v>3241</v>
      </c>
      <c r="H364" s="33" t="s">
        <v>4535</v>
      </c>
      <c r="I364" s="33" t="s">
        <v>4529</v>
      </c>
      <c r="J364" s="177" t="s">
        <v>4634</v>
      </c>
      <c r="K364" s="179">
        <v>8</v>
      </c>
      <c r="L364" s="197" t="s">
        <v>4818</v>
      </c>
      <c r="M364" s="197" t="s">
        <v>4661</v>
      </c>
      <c r="N364" s="198">
        <v>24</v>
      </c>
      <c r="O364" s="31" t="s">
        <v>4602</v>
      </c>
    </row>
    <row r="365" spans="1:15" ht="15" customHeight="1" x14ac:dyDescent="0.3">
      <c r="A365" s="155" t="s">
        <v>3702</v>
      </c>
      <c r="B365" s="155" t="s">
        <v>4396</v>
      </c>
      <c r="C365" s="157" t="s">
        <v>377</v>
      </c>
      <c r="D365" s="45" t="s">
        <v>3222</v>
      </c>
      <c r="E365" s="151" t="s">
        <v>2987</v>
      </c>
      <c r="F365" s="45">
        <v>30</v>
      </c>
      <c r="G365" s="24" t="s">
        <v>3241</v>
      </c>
      <c r="H365" s="33" t="s">
        <v>4536</v>
      </c>
      <c r="I365" s="33" t="s">
        <v>4529</v>
      </c>
      <c r="J365" s="177" t="s">
        <v>4640</v>
      </c>
      <c r="K365" s="179">
        <v>1</v>
      </c>
      <c r="L365" s="197" t="s">
        <v>4819</v>
      </c>
      <c r="M365" s="197" t="s">
        <v>4661</v>
      </c>
      <c r="N365" s="198">
        <v>24</v>
      </c>
      <c r="O365" s="31" t="s">
        <v>4602</v>
      </c>
    </row>
    <row r="366" spans="1:15" ht="15" customHeight="1" x14ac:dyDescent="0.3">
      <c r="A366" s="155" t="s">
        <v>3703</v>
      </c>
      <c r="B366" s="155" t="s">
        <v>4396</v>
      </c>
      <c r="C366" s="157" t="s">
        <v>377</v>
      </c>
      <c r="D366" s="45" t="s">
        <v>3222</v>
      </c>
      <c r="E366" s="151" t="s">
        <v>2987</v>
      </c>
      <c r="F366" s="45">
        <v>30</v>
      </c>
      <c r="G366" s="24" t="s">
        <v>3241</v>
      </c>
      <c r="H366" s="33" t="s">
        <v>4536</v>
      </c>
      <c r="I366" s="33" t="s">
        <v>4529</v>
      </c>
      <c r="J366" s="177" t="s">
        <v>4640</v>
      </c>
      <c r="K366" s="179">
        <v>2</v>
      </c>
      <c r="L366" s="197" t="s">
        <v>4819</v>
      </c>
      <c r="M366" s="197" t="s">
        <v>4661</v>
      </c>
      <c r="N366" s="198">
        <v>24</v>
      </c>
      <c r="O366" s="31" t="s">
        <v>4602</v>
      </c>
    </row>
    <row r="367" spans="1:15" ht="15" customHeight="1" x14ac:dyDescent="0.3">
      <c r="A367" s="155" t="s">
        <v>3706</v>
      </c>
      <c r="B367" s="155" t="s">
        <v>4396</v>
      </c>
      <c r="C367" s="157" t="s">
        <v>377</v>
      </c>
      <c r="D367" s="45" t="s">
        <v>3222</v>
      </c>
      <c r="E367" s="151" t="s">
        <v>2987</v>
      </c>
      <c r="F367" s="45">
        <v>30</v>
      </c>
      <c r="G367" s="24" t="s">
        <v>3241</v>
      </c>
      <c r="H367" s="33" t="s">
        <v>4536</v>
      </c>
      <c r="I367" s="33" t="s">
        <v>4529</v>
      </c>
      <c r="J367" s="177" t="s">
        <v>4640</v>
      </c>
      <c r="K367" s="179">
        <v>3</v>
      </c>
      <c r="L367" s="197" t="s">
        <v>4819</v>
      </c>
      <c r="M367" s="197" t="s">
        <v>4661</v>
      </c>
      <c r="N367" s="198">
        <v>24</v>
      </c>
      <c r="O367" s="31" t="s">
        <v>4602</v>
      </c>
    </row>
    <row r="368" spans="1:15" ht="15" customHeight="1" x14ac:dyDescent="0.3">
      <c r="A368" s="155" t="s">
        <v>3707</v>
      </c>
      <c r="B368" s="155" t="s">
        <v>4396</v>
      </c>
      <c r="C368" s="157" t="s">
        <v>377</v>
      </c>
      <c r="D368" s="45" t="s">
        <v>3222</v>
      </c>
      <c r="E368" s="151" t="s">
        <v>2987</v>
      </c>
      <c r="F368" s="45">
        <v>30</v>
      </c>
      <c r="G368" s="24" t="s">
        <v>3241</v>
      </c>
      <c r="H368" s="33" t="s">
        <v>4536</v>
      </c>
      <c r="I368" s="33" t="s">
        <v>4529</v>
      </c>
      <c r="J368" s="177" t="s">
        <v>4640</v>
      </c>
      <c r="K368" s="179">
        <v>4</v>
      </c>
      <c r="L368" s="197" t="s">
        <v>4819</v>
      </c>
      <c r="M368" s="197" t="s">
        <v>4661</v>
      </c>
      <c r="N368" s="198">
        <v>24</v>
      </c>
      <c r="O368" s="31" t="s">
        <v>4602</v>
      </c>
    </row>
    <row r="369" spans="1:40" ht="15" customHeight="1" x14ac:dyDescent="0.3">
      <c r="A369" s="155" t="s">
        <v>3708</v>
      </c>
      <c r="B369" s="155" t="s">
        <v>4396</v>
      </c>
      <c r="C369" s="157" t="s">
        <v>377</v>
      </c>
      <c r="D369" s="45" t="s">
        <v>3222</v>
      </c>
      <c r="E369" s="151" t="s">
        <v>2987</v>
      </c>
      <c r="F369" s="45">
        <v>30</v>
      </c>
      <c r="G369" s="24" t="s">
        <v>3241</v>
      </c>
      <c r="H369" s="33" t="s">
        <v>4536</v>
      </c>
      <c r="I369" s="33" t="s">
        <v>4529</v>
      </c>
      <c r="J369" s="177" t="s">
        <v>4640</v>
      </c>
      <c r="K369" s="179">
        <v>5</v>
      </c>
      <c r="L369" s="197" t="s">
        <v>4819</v>
      </c>
      <c r="M369" s="197" t="s">
        <v>4661</v>
      </c>
      <c r="N369" s="198">
        <v>24</v>
      </c>
      <c r="O369" s="31" t="s">
        <v>4602</v>
      </c>
    </row>
    <row r="370" spans="1:40" ht="15" customHeight="1" x14ac:dyDescent="0.3">
      <c r="A370" s="155" t="s">
        <v>3709</v>
      </c>
      <c r="B370" s="155" t="s">
        <v>4396</v>
      </c>
      <c r="C370" s="157" t="s">
        <v>377</v>
      </c>
      <c r="D370" s="45" t="s">
        <v>3222</v>
      </c>
      <c r="E370" s="151" t="s">
        <v>2987</v>
      </c>
      <c r="F370" s="45">
        <v>30</v>
      </c>
      <c r="G370" s="24" t="s">
        <v>3241</v>
      </c>
      <c r="H370" s="33" t="s">
        <v>4536</v>
      </c>
      <c r="I370" s="33" t="s">
        <v>4529</v>
      </c>
      <c r="J370" s="177" t="s">
        <v>4640</v>
      </c>
      <c r="K370" s="179">
        <v>6</v>
      </c>
      <c r="L370" s="197" t="s">
        <v>4819</v>
      </c>
      <c r="M370" s="197" t="s">
        <v>4661</v>
      </c>
      <c r="N370" s="198">
        <v>24</v>
      </c>
      <c r="O370" s="31" t="s">
        <v>4602</v>
      </c>
    </row>
    <row r="371" spans="1:40" ht="15" customHeight="1" x14ac:dyDescent="0.3">
      <c r="A371" s="155" t="s">
        <v>3704</v>
      </c>
      <c r="B371" s="155" t="s">
        <v>4396</v>
      </c>
      <c r="C371" s="157" t="s">
        <v>378</v>
      </c>
      <c r="D371" s="45" t="s">
        <v>3222</v>
      </c>
      <c r="E371" s="151" t="s">
        <v>2987</v>
      </c>
      <c r="F371" s="45">
        <v>50</v>
      </c>
      <c r="G371" s="24" t="s">
        <v>3241</v>
      </c>
      <c r="H371" s="33" t="s">
        <v>4536</v>
      </c>
      <c r="I371" s="33" t="s">
        <v>4529</v>
      </c>
      <c r="J371" s="177" t="s">
        <v>4640</v>
      </c>
      <c r="K371" s="179">
        <v>7</v>
      </c>
      <c r="L371" s="197" t="s">
        <v>4819</v>
      </c>
      <c r="M371" s="197" t="s">
        <v>4661</v>
      </c>
      <c r="N371" s="198">
        <v>24</v>
      </c>
      <c r="O371" s="31" t="s">
        <v>4602</v>
      </c>
    </row>
    <row r="372" spans="1:40" ht="15" customHeight="1" x14ac:dyDescent="0.3">
      <c r="A372" s="155" t="s">
        <v>3705</v>
      </c>
      <c r="B372" s="155" t="s">
        <v>4396</v>
      </c>
      <c r="C372" s="157" t="s">
        <v>378</v>
      </c>
      <c r="D372" s="45" t="s">
        <v>3222</v>
      </c>
      <c r="E372" s="151" t="s">
        <v>2987</v>
      </c>
      <c r="F372" s="45">
        <v>50</v>
      </c>
      <c r="G372" s="24" t="s">
        <v>3241</v>
      </c>
      <c r="H372" s="33" t="s">
        <v>4536</v>
      </c>
      <c r="I372" s="33" t="s">
        <v>4529</v>
      </c>
      <c r="J372" s="177" t="s">
        <v>4640</v>
      </c>
      <c r="K372" s="179">
        <v>8</v>
      </c>
      <c r="L372" s="197" t="s">
        <v>4819</v>
      </c>
      <c r="M372" s="197" t="s">
        <v>4661</v>
      </c>
      <c r="N372" s="198">
        <v>24</v>
      </c>
      <c r="O372" s="31" t="s">
        <v>4602</v>
      </c>
    </row>
    <row r="373" spans="1:40" s="116" customFormat="1" x14ac:dyDescent="0.3">
      <c r="A373" s="232" t="s">
        <v>3688</v>
      </c>
      <c r="B373" s="155" t="s">
        <v>4397</v>
      </c>
      <c r="C373" s="155" t="s">
        <v>3696</v>
      </c>
      <c r="D373" s="251"/>
      <c r="E373" s="151" t="s">
        <v>2987</v>
      </c>
      <c r="F373" s="45"/>
      <c r="G373" s="24"/>
      <c r="H373" s="33" t="s">
        <v>4537</v>
      </c>
      <c r="I373" s="143" t="s">
        <v>4480</v>
      </c>
      <c r="J373" s="143" t="s">
        <v>4480</v>
      </c>
      <c r="K373" s="143" t="s">
        <v>4480</v>
      </c>
      <c r="L373" s="197" t="s">
        <v>4820</v>
      </c>
      <c r="M373" s="197" t="s">
        <v>4661</v>
      </c>
      <c r="N373" s="198">
        <v>24</v>
      </c>
      <c r="O373" s="143" t="s">
        <v>4480</v>
      </c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</row>
    <row r="374" spans="1:40" s="116" customFormat="1" x14ac:dyDescent="0.3">
      <c r="A374" s="232" t="s">
        <v>3689</v>
      </c>
      <c r="B374" s="155" t="s">
        <v>4397</v>
      </c>
      <c r="C374" s="155" t="s">
        <v>3696</v>
      </c>
      <c r="D374" s="251"/>
      <c r="E374" s="151" t="s">
        <v>2987</v>
      </c>
      <c r="F374" s="45"/>
      <c r="G374" s="24"/>
      <c r="H374" s="33" t="s">
        <v>4537</v>
      </c>
      <c r="I374" s="143" t="s">
        <v>4480</v>
      </c>
      <c r="J374" s="143" t="s">
        <v>4480</v>
      </c>
      <c r="K374" s="143" t="s">
        <v>4480</v>
      </c>
      <c r="L374" s="197" t="s">
        <v>4820</v>
      </c>
      <c r="M374" s="197" t="s">
        <v>4661</v>
      </c>
      <c r="N374" s="198">
        <v>24</v>
      </c>
      <c r="O374" s="143" t="s">
        <v>4480</v>
      </c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</row>
    <row r="375" spans="1:40" s="116" customFormat="1" x14ac:dyDescent="0.3">
      <c r="A375" s="232" t="s">
        <v>3690</v>
      </c>
      <c r="B375" s="155" t="s">
        <v>4397</v>
      </c>
      <c r="C375" s="155" t="s">
        <v>3696</v>
      </c>
      <c r="D375" s="251"/>
      <c r="E375" s="151" t="s">
        <v>2987</v>
      </c>
      <c r="F375" s="45"/>
      <c r="G375" s="24"/>
      <c r="H375" s="33" t="s">
        <v>4537</v>
      </c>
      <c r="I375" s="143" t="s">
        <v>4480</v>
      </c>
      <c r="J375" s="143" t="s">
        <v>4480</v>
      </c>
      <c r="K375" s="143" t="s">
        <v>4480</v>
      </c>
      <c r="L375" s="197" t="s">
        <v>4820</v>
      </c>
      <c r="M375" s="197" t="s">
        <v>4661</v>
      </c>
      <c r="N375" s="198">
        <v>24</v>
      </c>
      <c r="O375" s="143" t="s">
        <v>4480</v>
      </c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</row>
    <row r="376" spans="1:40" s="116" customFormat="1" x14ac:dyDescent="0.3">
      <c r="A376" s="232" t="s">
        <v>3691</v>
      </c>
      <c r="B376" s="155" t="s">
        <v>4397</v>
      </c>
      <c r="C376" s="155" t="s">
        <v>3696</v>
      </c>
      <c r="D376" s="251"/>
      <c r="E376" s="151" t="s">
        <v>2987</v>
      </c>
      <c r="F376" s="45"/>
      <c r="G376" s="24"/>
      <c r="H376" s="33" t="s">
        <v>4537</v>
      </c>
      <c r="I376" s="143" t="s">
        <v>4480</v>
      </c>
      <c r="J376" s="143" t="s">
        <v>4480</v>
      </c>
      <c r="K376" s="143" t="s">
        <v>4480</v>
      </c>
      <c r="L376" s="197" t="s">
        <v>4820</v>
      </c>
      <c r="M376" s="197" t="s">
        <v>4661</v>
      </c>
      <c r="N376" s="198">
        <v>24</v>
      </c>
      <c r="O376" s="143" t="s">
        <v>4480</v>
      </c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</row>
    <row r="377" spans="1:40" s="116" customFormat="1" x14ac:dyDescent="0.3">
      <c r="A377" s="232" t="s">
        <v>3692</v>
      </c>
      <c r="B377" s="155" t="s">
        <v>4397</v>
      </c>
      <c r="C377" s="155" t="s">
        <v>3696</v>
      </c>
      <c r="D377" s="251"/>
      <c r="E377" s="151" t="s">
        <v>2987</v>
      </c>
      <c r="F377" s="45"/>
      <c r="G377" s="24"/>
      <c r="H377" s="33" t="s">
        <v>4537</v>
      </c>
      <c r="I377" s="143" t="s">
        <v>4480</v>
      </c>
      <c r="J377" s="143" t="s">
        <v>4480</v>
      </c>
      <c r="K377" s="143" t="s">
        <v>4480</v>
      </c>
      <c r="L377" s="197" t="s">
        <v>4820</v>
      </c>
      <c r="M377" s="197" t="s">
        <v>4661</v>
      </c>
      <c r="N377" s="198">
        <v>24</v>
      </c>
      <c r="O377" s="143" t="s">
        <v>4480</v>
      </c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</row>
    <row r="378" spans="1:40" s="116" customFormat="1" x14ac:dyDescent="0.3">
      <c r="A378" s="232" t="s">
        <v>3693</v>
      </c>
      <c r="B378" s="155" t="s">
        <v>4397</v>
      </c>
      <c r="C378" s="155" t="s">
        <v>3696</v>
      </c>
      <c r="D378" s="251"/>
      <c r="E378" s="151" t="s">
        <v>2987</v>
      </c>
      <c r="F378" s="45"/>
      <c r="G378" s="24"/>
      <c r="H378" s="33" t="s">
        <v>4537</v>
      </c>
      <c r="I378" s="143" t="s">
        <v>4480</v>
      </c>
      <c r="J378" s="143" t="s">
        <v>4480</v>
      </c>
      <c r="K378" s="143" t="s">
        <v>4480</v>
      </c>
      <c r="L378" s="197" t="s">
        <v>4820</v>
      </c>
      <c r="M378" s="197" t="s">
        <v>4661</v>
      </c>
      <c r="N378" s="198">
        <v>24</v>
      </c>
      <c r="O378" s="143" t="s">
        <v>4480</v>
      </c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</row>
    <row r="379" spans="1:40" s="116" customFormat="1" x14ac:dyDescent="0.3">
      <c r="A379" s="232" t="s">
        <v>3694</v>
      </c>
      <c r="B379" s="155" t="s">
        <v>4397</v>
      </c>
      <c r="C379" s="155" t="s">
        <v>3696</v>
      </c>
      <c r="D379" s="251"/>
      <c r="E379" s="151" t="s">
        <v>2987</v>
      </c>
      <c r="F379" s="45"/>
      <c r="G379" s="24"/>
      <c r="H379" s="33" t="s">
        <v>4537</v>
      </c>
      <c r="I379" s="143" t="s">
        <v>4480</v>
      </c>
      <c r="J379" s="143" t="s">
        <v>4480</v>
      </c>
      <c r="K379" s="143" t="s">
        <v>4480</v>
      </c>
      <c r="L379" s="197" t="s">
        <v>4820</v>
      </c>
      <c r="M379" s="197" t="s">
        <v>4661</v>
      </c>
      <c r="N379" s="198">
        <v>24</v>
      </c>
      <c r="O379" s="143" t="s">
        <v>4480</v>
      </c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</row>
    <row r="380" spans="1:40" s="116" customFormat="1" x14ac:dyDescent="0.3">
      <c r="A380" s="270" t="s">
        <v>3695</v>
      </c>
      <c r="B380" s="155" t="s">
        <v>4397</v>
      </c>
      <c r="C380" s="228" t="s">
        <v>3696</v>
      </c>
      <c r="D380" s="251"/>
      <c r="E380" s="151" t="s">
        <v>2987</v>
      </c>
      <c r="F380" s="45"/>
      <c r="G380" s="251"/>
      <c r="H380" s="33" t="s">
        <v>4537</v>
      </c>
      <c r="I380" s="143" t="s">
        <v>4480</v>
      </c>
      <c r="J380" s="143" t="s">
        <v>4480</v>
      </c>
      <c r="K380" s="143" t="s">
        <v>4480</v>
      </c>
      <c r="L380" s="197" t="s">
        <v>4820</v>
      </c>
      <c r="M380" s="197" t="s">
        <v>4661</v>
      </c>
      <c r="N380" s="198">
        <v>24</v>
      </c>
      <c r="O380" s="143" t="s">
        <v>4480</v>
      </c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</row>
    <row r="381" spans="1:40" ht="15" customHeight="1" x14ac:dyDescent="0.3">
      <c r="A381" s="155" t="s">
        <v>3668</v>
      </c>
      <c r="B381" s="155" t="s">
        <v>4379</v>
      </c>
      <c r="C381" s="157" t="s">
        <v>379</v>
      </c>
      <c r="D381" s="45" t="s">
        <v>3124</v>
      </c>
      <c r="E381" s="151" t="s">
        <v>2987</v>
      </c>
      <c r="F381" s="45">
        <v>50</v>
      </c>
      <c r="G381" s="24" t="s">
        <v>3242</v>
      </c>
      <c r="H381" s="33" t="s">
        <v>4525</v>
      </c>
      <c r="I381" s="33" t="s">
        <v>4523</v>
      </c>
      <c r="J381" s="177" t="s">
        <v>4651</v>
      </c>
      <c r="K381" s="179">
        <v>1</v>
      </c>
      <c r="L381" s="197" t="s">
        <v>4809</v>
      </c>
      <c r="M381" s="197" t="s">
        <v>4697</v>
      </c>
      <c r="N381" s="198">
        <v>11</v>
      </c>
      <c r="O381" s="31" t="s">
        <v>4602</v>
      </c>
    </row>
    <row r="382" spans="1:40" ht="15" customHeight="1" x14ac:dyDescent="0.3">
      <c r="A382" s="155" t="s">
        <v>3669</v>
      </c>
      <c r="B382" s="155" t="s">
        <v>4379</v>
      </c>
      <c r="C382" s="157" t="s">
        <v>379</v>
      </c>
      <c r="D382" s="45" t="s">
        <v>3124</v>
      </c>
      <c r="E382" s="151" t="s">
        <v>2987</v>
      </c>
      <c r="F382" s="45">
        <v>50</v>
      </c>
      <c r="G382" s="24" t="s">
        <v>3242</v>
      </c>
      <c r="H382" s="33" t="s">
        <v>4525</v>
      </c>
      <c r="I382" s="33" t="s">
        <v>4523</v>
      </c>
      <c r="J382" s="177" t="s">
        <v>4651</v>
      </c>
      <c r="K382" s="179">
        <v>2</v>
      </c>
      <c r="L382" s="197" t="s">
        <v>4809</v>
      </c>
      <c r="M382" s="197" t="s">
        <v>4697</v>
      </c>
      <c r="N382" s="198">
        <v>11</v>
      </c>
      <c r="O382" s="31" t="s">
        <v>4602</v>
      </c>
    </row>
    <row r="383" spans="1:40" ht="15" customHeight="1" x14ac:dyDescent="0.3">
      <c r="A383" s="155" t="s">
        <v>3670</v>
      </c>
      <c r="B383" s="155" t="s">
        <v>4385</v>
      </c>
      <c r="C383" s="157" t="s">
        <v>4387</v>
      </c>
      <c r="D383" s="45" t="s">
        <v>3124</v>
      </c>
      <c r="E383" s="151" t="s">
        <v>2987</v>
      </c>
      <c r="F383" s="45">
        <v>50</v>
      </c>
      <c r="G383" s="24" t="s">
        <v>3243</v>
      </c>
      <c r="H383" s="33" t="s">
        <v>4527</v>
      </c>
      <c r="I383" s="33" t="s">
        <v>4523</v>
      </c>
      <c r="J383" s="177" t="s">
        <v>4651</v>
      </c>
      <c r="K383" s="179">
        <v>3</v>
      </c>
      <c r="L383" s="197" t="s">
        <v>4811</v>
      </c>
      <c r="M383" s="197" t="s">
        <v>4690</v>
      </c>
      <c r="N383" s="198">
        <v>9</v>
      </c>
      <c r="O383" s="31" t="s">
        <v>4602</v>
      </c>
    </row>
    <row r="384" spans="1:40" ht="15" customHeight="1" x14ac:dyDescent="0.3">
      <c r="A384" s="155" t="s">
        <v>3671</v>
      </c>
      <c r="B384" s="155" t="s">
        <v>4385</v>
      </c>
      <c r="C384" s="157" t="s">
        <v>4387</v>
      </c>
      <c r="D384" s="45" t="s">
        <v>3124</v>
      </c>
      <c r="E384" s="151" t="s">
        <v>2987</v>
      </c>
      <c r="F384" s="45">
        <v>50</v>
      </c>
      <c r="G384" s="24" t="s">
        <v>3243</v>
      </c>
      <c r="H384" s="33" t="s">
        <v>4527</v>
      </c>
      <c r="I384" s="33" t="s">
        <v>4523</v>
      </c>
      <c r="J384" s="177" t="s">
        <v>4651</v>
      </c>
      <c r="K384" s="179">
        <v>4</v>
      </c>
      <c r="L384" s="197" t="s">
        <v>4811</v>
      </c>
      <c r="M384" s="197" t="s">
        <v>4690</v>
      </c>
      <c r="N384" s="198">
        <v>9</v>
      </c>
      <c r="O384" s="31" t="s">
        <v>4602</v>
      </c>
    </row>
    <row r="385" spans="1:15" ht="15" customHeight="1" x14ac:dyDescent="0.3">
      <c r="A385" s="155" t="s">
        <v>3710</v>
      </c>
      <c r="B385" s="155" t="s">
        <v>4394</v>
      </c>
      <c r="C385" s="157" t="s">
        <v>380</v>
      </c>
      <c r="D385" s="45" t="s">
        <v>3222</v>
      </c>
      <c r="E385" s="151" t="s">
        <v>2987</v>
      </c>
      <c r="F385" s="45">
        <v>30</v>
      </c>
      <c r="G385" s="24" t="s">
        <v>3244</v>
      </c>
      <c r="H385" s="33" t="s">
        <v>4538</v>
      </c>
      <c r="I385" s="33" t="s">
        <v>4529</v>
      </c>
      <c r="J385" s="177" t="s">
        <v>4628</v>
      </c>
      <c r="K385" s="179">
        <v>4</v>
      </c>
      <c r="L385" s="197" t="s">
        <v>4821</v>
      </c>
      <c r="M385" s="197" t="s">
        <v>4669</v>
      </c>
      <c r="N385" s="198">
        <v>15</v>
      </c>
      <c r="O385" s="31" t="s">
        <v>4604</v>
      </c>
    </row>
    <row r="386" spans="1:15" ht="15" customHeight="1" x14ac:dyDescent="0.3">
      <c r="A386" s="155" t="s">
        <v>3711</v>
      </c>
      <c r="B386" s="155" t="s">
        <v>4394</v>
      </c>
      <c r="C386" s="157" t="s">
        <v>381</v>
      </c>
      <c r="D386" s="45" t="s">
        <v>3222</v>
      </c>
      <c r="E386" s="151" t="s">
        <v>2987</v>
      </c>
      <c r="F386" s="45">
        <v>50</v>
      </c>
      <c r="G386" s="24" t="s">
        <v>3245</v>
      </c>
      <c r="H386" s="33" t="s">
        <v>4538</v>
      </c>
      <c r="I386" s="33" t="s">
        <v>4529</v>
      </c>
      <c r="J386" s="177" t="s">
        <v>4628</v>
      </c>
      <c r="K386" s="179">
        <v>5</v>
      </c>
      <c r="L386" s="197" t="s">
        <v>4821</v>
      </c>
      <c r="M386" s="197" t="s">
        <v>4669</v>
      </c>
      <c r="N386" s="198">
        <v>15</v>
      </c>
      <c r="O386" s="31" t="s">
        <v>4604</v>
      </c>
    </row>
    <row r="387" spans="1:15" ht="15" customHeight="1" x14ac:dyDescent="0.3">
      <c r="A387" s="155" t="s">
        <v>3618</v>
      </c>
      <c r="B387" s="155" t="s">
        <v>4394</v>
      </c>
      <c r="C387" s="157" t="s">
        <v>382</v>
      </c>
      <c r="D387" s="45" t="s">
        <v>3124</v>
      </c>
      <c r="E387" s="45" t="s">
        <v>2987</v>
      </c>
      <c r="F387" s="45">
        <v>25</v>
      </c>
      <c r="G387" s="24" t="s">
        <v>3246</v>
      </c>
      <c r="H387" s="33" t="s">
        <v>4538</v>
      </c>
      <c r="I387" s="33" t="s">
        <v>4529</v>
      </c>
      <c r="J387" s="177" t="s">
        <v>4637</v>
      </c>
      <c r="K387" s="179">
        <v>1</v>
      </c>
      <c r="L387" s="197" t="s">
        <v>4822</v>
      </c>
      <c r="M387" s="197" t="s">
        <v>4661</v>
      </c>
      <c r="N387" s="198">
        <v>24</v>
      </c>
      <c r="O387" s="31" t="s">
        <v>4604</v>
      </c>
    </row>
    <row r="388" spans="1:15" ht="15" customHeight="1" x14ac:dyDescent="0.3">
      <c r="A388" s="155" t="s">
        <v>3720</v>
      </c>
      <c r="B388" s="155" t="s">
        <v>4394</v>
      </c>
      <c r="C388" s="157" t="s">
        <v>382</v>
      </c>
      <c r="D388" s="45" t="s">
        <v>3124</v>
      </c>
      <c r="E388" s="45" t="s">
        <v>2987</v>
      </c>
      <c r="F388" s="45">
        <v>25</v>
      </c>
      <c r="G388" s="24" t="s">
        <v>3246</v>
      </c>
      <c r="H388" s="33" t="s">
        <v>4538</v>
      </c>
      <c r="I388" s="33" t="s">
        <v>4529</v>
      </c>
      <c r="J388" s="177" t="s">
        <v>4637</v>
      </c>
      <c r="K388" s="179">
        <v>2</v>
      </c>
      <c r="L388" s="197" t="s">
        <v>4822</v>
      </c>
      <c r="M388" s="197" t="s">
        <v>4661</v>
      </c>
      <c r="N388" s="198">
        <v>24</v>
      </c>
      <c r="O388" s="31" t="s">
        <v>4604</v>
      </c>
    </row>
    <row r="389" spans="1:15" ht="15" customHeight="1" x14ac:dyDescent="0.3">
      <c r="A389" s="155" t="s">
        <v>3716</v>
      </c>
      <c r="B389" s="155" t="s">
        <v>4394</v>
      </c>
      <c r="C389" s="157" t="s">
        <v>383</v>
      </c>
      <c r="D389" s="45" t="s">
        <v>3124</v>
      </c>
      <c r="E389" s="45" t="s">
        <v>2987</v>
      </c>
      <c r="F389" s="45">
        <v>20</v>
      </c>
      <c r="G389" s="24" t="s">
        <v>3247</v>
      </c>
      <c r="H389" s="33" t="s">
        <v>4538</v>
      </c>
      <c r="I389" s="33" t="s">
        <v>4529</v>
      </c>
      <c r="J389" s="177" t="s">
        <v>4637</v>
      </c>
      <c r="K389" s="179">
        <v>3</v>
      </c>
      <c r="L389" s="197" t="s">
        <v>4822</v>
      </c>
      <c r="M389" s="197" t="s">
        <v>4661</v>
      </c>
      <c r="N389" s="198">
        <v>24</v>
      </c>
      <c r="O389" s="31" t="s">
        <v>4604</v>
      </c>
    </row>
    <row r="390" spans="1:15" ht="15" customHeight="1" x14ac:dyDescent="0.3">
      <c r="A390" s="155" t="s">
        <v>3717</v>
      </c>
      <c r="B390" s="155" t="s">
        <v>4394</v>
      </c>
      <c r="C390" s="157" t="s">
        <v>383</v>
      </c>
      <c r="D390" s="45" t="s">
        <v>3124</v>
      </c>
      <c r="E390" s="45" t="s">
        <v>2987</v>
      </c>
      <c r="F390" s="45">
        <v>20</v>
      </c>
      <c r="G390" s="24" t="s">
        <v>3247</v>
      </c>
      <c r="H390" s="33" t="s">
        <v>4538</v>
      </c>
      <c r="I390" s="33" t="s">
        <v>4529</v>
      </c>
      <c r="J390" s="177" t="s">
        <v>4637</v>
      </c>
      <c r="K390" s="179">
        <v>4</v>
      </c>
      <c r="L390" s="197" t="s">
        <v>4822</v>
      </c>
      <c r="M390" s="197" t="s">
        <v>4661</v>
      </c>
      <c r="N390" s="198">
        <v>24</v>
      </c>
      <c r="O390" s="31" t="s">
        <v>4604</v>
      </c>
    </row>
    <row r="391" spans="1:15" ht="15" customHeight="1" x14ac:dyDescent="0.3">
      <c r="A391" s="155" t="s">
        <v>3718</v>
      </c>
      <c r="B391" s="155" t="s">
        <v>4394</v>
      </c>
      <c r="C391" s="157" t="s">
        <v>383</v>
      </c>
      <c r="D391" s="45" t="s">
        <v>3124</v>
      </c>
      <c r="E391" s="45" t="s">
        <v>2987</v>
      </c>
      <c r="F391" s="45">
        <v>20</v>
      </c>
      <c r="G391" s="24" t="s">
        <v>3247</v>
      </c>
      <c r="H391" s="33" t="s">
        <v>4538</v>
      </c>
      <c r="I391" s="33" t="s">
        <v>4529</v>
      </c>
      <c r="J391" s="177" t="s">
        <v>4637</v>
      </c>
      <c r="K391" s="179">
        <v>5</v>
      </c>
      <c r="L391" s="197" t="s">
        <v>4822</v>
      </c>
      <c r="M391" s="197" t="s">
        <v>4661</v>
      </c>
      <c r="N391" s="198">
        <v>24</v>
      </c>
      <c r="O391" s="31" t="s">
        <v>4604</v>
      </c>
    </row>
    <row r="392" spans="1:15" ht="15" customHeight="1" x14ac:dyDescent="0.3">
      <c r="A392" s="155" t="s">
        <v>3719</v>
      </c>
      <c r="B392" s="155" t="s">
        <v>4394</v>
      </c>
      <c r="C392" s="157" t="s">
        <v>383</v>
      </c>
      <c r="D392" s="45" t="s">
        <v>3124</v>
      </c>
      <c r="E392" s="45" t="s">
        <v>2987</v>
      </c>
      <c r="F392" s="45">
        <v>20</v>
      </c>
      <c r="G392" s="24" t="s">
        <v>3247</v>
      </c>
      <c r="H392" s="33" t="s">
        <v>4538</v>
      </c>
      <c r="I392" s="33" t="s">
        <v>4529</v>
      </c>
      <c r="J392" s="177" t="s">
        <v>4637</v>
      </c>
      <c r="K392" s="179">
        <v>6</v>
      </c>
      <c r="L392" s="197" t="s">
        <v>4822</v>
      </c>
      <c r="M392" s="197" t="s">
        <v>4661</v>
      </c>
      <c r="N392" s="198">
        <v>24</v>
      </c>
      <c r="O392" s="31" t="s">
        <v>4604</v>
      </c>
    </row>
    <row r="393" spans="1:15" ht="15" customHeight="1" x14ac:dyDescent="0.3">
      <c r="A393" s="155" t="s">
        <v>3697</v>
      </c>
      <c r="B393" s="155" t="s">
        <v>4394</v>
      </c>
      <c r="C393" s="157" t="s">
        <v>384</v>
      </c>
      <c r="D393" s="251" t="s">
        <v>3124</v>
      </c>
      <c r="E393" s="45" t="s">
        <v>2987</v>
      </c>
      <c r="F393" s="45">
        <v>25</v>
      </c>
      <c r="G393" s="24" t="s">
        <v>3248</v>
      </c>
      <c r="H393" s="33" t="s">
        <v>4538</v>
      </c>
      <c r="I393" s="33" t="s">
        <v>4529</v>
      </c>
      <c r="J393" s="177" t="s">
        <v>4628</v>
      </c>
      <c r="K393" s="179">
        <v>1</v>
      </c>
      <c r="L393" s="197" t="s">
        <v>4821</v>
      </c>
      <c r="M393" s="197" t="s">
        <v>4669</v>
      </c>
      <c r="N393" s="198">
        <v>15</v>
      </c>
      <c r="O393" s="31" t="s">
        <v>4604</v>
      </c>
    </row>
    <row r="394" spans="1:15" ht="15" customHeight="1" x14ac:dyDescent="0.3">
      <c r="A394" s="155" t="s">
        <v>3698</v>
      </c>
      <c r="B394" s="155" t="s">
        <v>4394</v>
      </c>
      <c r="C394" s="157" t="s">
        <v>384</v>
      </c>
      <c r="D394" s="251" t="s">
        <v>3124</v>
      </c>
      <c r="E394" s="45" t="s">
        <v>2987</v>
      </c>
      <c r="F394" s="45">
        <v>25</v>
      </c>
      <c r="G394" s="24" t="s">
        <v>3248</v>
      </c>
      <c r="H394" s="33" t="s">
        <v>4538</v>
      </c>
      <c r="I394" s="33" t="s">
        <v>4529</v>
      </c>
      <c r="J394" s="177" t="s">
        <v>4628</v>
      </c>
      <c r="K394" s="179">
        <v>2</v>
      </c>
      <c r="L394" s="197" t="s">
        <v>4821</v>
      </c>
      <c r="M394" s="197" t="s">
        <v>4669</v>
      </c>
      <c r="N394" s="198">
        <v>15</v>
      </c>
      <c r="O394" s="31" t="s">
        <v>4604</v>
      </c>
    </row>
    <row r="395" spans="1:15" ht="15" customHeight="1" x14ac:dyDescent="0.3">
      <c r="A395" s="155" t="s">
        <v>3699</v>
      </c>
      <c r="B395" s="155" t="s">
        <v>4394</v>
      </c>
      <c r="C395" s="157" t="s">
        <v>385</v>
      </c>
      <c r="D395" s="251" t="s">
        <v>3124</v>
      </c>
      <c r="E395" s="45" t="s">
        <v>2987</v>
      </c>
      <c r="F395" s="45">
        <v>20</v>
      </c>
      <c r="G395" s="24" t="s">
        <v>3249</v>
      </c>
      <c r="H395" s="33" t="s">
        <v>4538</v>
      </c>
      <c r="I395" s="33" t="s">
        <v>4529</v>
      </c>
      <c r="J395" s="177" t="s">
        <v>4628</v>
      </c>
      <c r="K395" s="179">
        <v>3</v>
      </c>
      <c r="L395" s="197" t="s">
        <v>4821</v>
      </c>
      <c r="M395" s="197" t="s">
        <v>4669</v>
      </c>
      <c r="N395" s="198">
        <v>15</v>
      </c>
      <c r="O395" s="31" t="s">
        <v>4604</v>
      </c>
    </row>
    <row r="396" spans="1:15" ht="15" customHeight="1" x14ac:dyDescent="0.3">
      <c r="A396" s="155" t="s">
        <v>3712</v>
      </c>
      <c r="B396" s="155" t="s">
        <v>4394</v>
      </c>
      <c r="C396" s="155" t="s">
        <v>3714</v>
      </c>
      <c r="D396" s="45"/>
      <c r="E396" s="45" t="s">
        <v>2987</v>
      </c>
      <c r="F396" s="45"/>
      <c r="G396" s="24"/>
      <c r="H396" s="33" t="s">
        <v>4538</v>
      </c>
      <c r="I396" s="33" t="s">
        <v>4529</v>
      </c>
      <c r="J396" s="185" t="s">
        <v>4480</v>
      </c>
      <c r="K396" s="185" t="s">
        <v>4480</v>
      </c>
      <c r="L396" s="197" t="s">
        <v>4822</v>
      </c>
      <c r="M396" s="197" t="s">
        <v>4661</v>
      </c>
      <c r="N396" s="198">
        <v>24</v>
      </c>
      <c r="O396" s="185" t="s">
        <v>4480</v>
      </c>
    </row>
    <row r="397" spans="1:15" ht="15" customHeight="1" x14ac:dyDescent="0.3">
      <c r="A397" s="155" t="s">
        <v>3713</v>
      </c>
      <c r="B397" s="155" t="s">
        <v>4394</v>
      </c>
      <c r="C397" s="155" t="s">
        <v>3715</v>
      </c>
      <c r="D397" s="45"/>
      <c r="E397" s="45" t="s">
        <v>2987</v>
      </c>
      <c r="F397" s="45"/>
      <c r="G397" s="24"/>
      <c r="H397" s="33" t="s">
        <v>4538</v>
      </c>
      <c r="I397" s="33" t="s">
        <v>4529</v>
      </c>
      <c r="J397" s="185" t="s">
        <v>4480</v>
      </c>
      <c r="K397" s="185" t="s">
        <v>4480</v>
      </c>
      <c r="L397" s="197" t="s">
        <v>4822</v>
      </c>
      <c r="M397" s="197" t="s">
        <v>4661</v>
      </c>
      <c r="N397" s="198">
        <v>24</v>
      </c>
      <c r="O397" s="185" t="s">
        <v>4480</v>
      </c>
    </row>
    <row r="398" spans="1:15" ht="15" customHeight="1" x14ac:dyDescent="0.3">
      <c r="A398" s="155" t="s">
        <v>3631</v>
      </c>
      <c r="B398" s="155" t="s">
        <v>4388</v>
      </c>
      <c r="C398" s="157" t="s">
        <v>386</v>
      </c>
      <c r="D398" s="151" t="s">
        <v>3222</v>
      </c>
      <c r="E398" s="151" t="s">
        <v>2987</v>
      </c>
      <c r="F398" s="45">
        <v>60</v>
      </c>
      <c r="G398" s="24" t="s">
        <v>3240</v>
      </c>
      <c r="H398" s="33" t="s">
        <v>4528</v>
      </c>
      <c r="I398" s="33" t="s">
        <v>4529</v>
      </c>
      <c r="J398" s="177" t="s">
        <v>4627</v>
      </c>
      <c r="K398" s="179">
        <v>1</v>
      </c>
      <c r="L398" s="197" t="s">
        <v>4812</v>
      </c>
      <c r="M398" s="197" t="s">
        <v>4661</v>
      </c>
      <c r="N398" s="198">
        <v>24</v>
      </c>
      <c r="O398" s="33" t="s">
        <v>4602</v>
      </c>
    </row>
    <row r="399" spans="1:15" ht="15" customHeight="1" x14ac:dyDescent="0.3">
      <c r="A399" s="155" t="s">
        <v>3632</v>
      </c>
      <c r="B399" s="155" t="s">
        <v>4388</v>
      </c>
      <c r="C399" s="157" t="s">
        <v>387</v>
      </c>
      <c r="D399" s="151" t="s">
        <v>3222</v>
      </c>
      <c r="E399" s="151" t="s">
        <v>2987</v>
      </c>
      <c r="F399" s="45">
        <v>60</v>
      </c>
      <c r="G399" s="24" t="s">
        <v>3240</v>
      </c>
      <c r="H399" s="33" t="s">
        <v>4528</v>
      </c>
      <c r="I399" s="33" t="s">
        <v>4529</v>
      </c>
      <c r="J399" s="177" t="s">
        <v>4627</v>
      </c>
      <c r="K399" s="179">
        <v>2</v>
      </c>
      <c r="L399" s="197" t="s">
        <v>4812</v>
      </c>
      <c r="M399" s="197" t="s">
        <v>4661</v>
      </c>
      <c r="N399" s="198">
        <v>24</v>
      </c>
      <c r="O399" s="33" t="s">
        <v>4602</v>
      </c>
    </row>
    <row r="400" spans="1:15" ht="15" customHeight="1" x14ac:dyDescent="0.3">
      <c r="A400" s="155" t="s">
        <v>3633</v>
      </c>
      <c r="B400" s="155" t="s">
        <v>4388</v>
      </c>
      <c r="C400" s="157" t="s">
        <v>388</v>
      </c>
      <c r="D400" s="151" t="s">
        <v>3222</v>
      </c>
      <c r="E400" s="151" t="s">
        <v>2987</v>
      </c>
      <c r="F400" s="45">
        <v>60</v>
      </c>
      <c r="G400" s="24" t="s">
        <v>3240</v>
      </c>
      <c r="H400" s="33" t="s">
        <v>4528</v>
      </c>
      <c r="I400" s="33" t="s">
        <v>4529</v>
      </c>
      <c r="J400" s="177" t="s">
        <v>4627</v>
      </c>
      <c r="K400" s="179">
        <v>3</v>
      </c>
      <c r="L400" s="197" t="s">
        <v>4812</v>
      </c>
      <c r="M400" s="197" t="s">
        <v>4661</v>
      </c>
      <c r="N400" s="198">
        <v>24</v>
      </c>
      <c r="O400" s="33" t="s">
        <v>4602</v>
      </c>
    </row>
    <row r="401" spans="1:15" ht="15" customHeight="1" x14ac:dyDescent="0.3">
      <c r="A401" s="155" t="s">
        <v>3634</v>
      </c>
      <c r="B401" s="155" t="s">
        <v>4388</v>
      </c>
      <c r="C401" s="157" t="s">
        <v>389</v>
      </c>
      <c r="D401" s="151" t="s">
        <v>3222</v>
      </c>
      <c r="E401" s="151" t="s">
        <v>2987</v>
      </c>
      <c r="F401" s="45">
        <v>60</v>
      </c>
      <c r="G401" s="24" t="s">
        <v>3240</v>
      </c>
      <c r="H401" s="33" t="s">
        <v>4528</v>
      </c>
      <c r="I401" s="33" t="s">
        <v>4529</v>
      </c>
      <c r="J401" s="177" t="s">
        <v>4627</v>
      </c>
      <c r="K401" s="179">
        <v>4</v>
      </c>
      <c r="L401" s="197" t="s">
        <v>4812</v>
      </c>
      <c r="M401" s="197" t="s">
        <v>4661</v>
      </c>
      <c r="N401" s="198">
        <v>24</v>
      </c>
      <c r="O401" s="33" t="s">
        <v>4602</v>
      </c>
    </row>
    <row r="402" spans="1:15" ht="15" customHeight="1" x14ac:dyDescent="0.3">
      <c r="A402" s="155" t="s">
        <v>3635</v>
      </c>
      <c r="B402" s="155" t="s">
        <v>4388</v>
      </c>
      <c r="C402" s="157" t="s">
        <v>390</v>
      </c>
      <c r="D402" s="151" t="s">
        <v>3222</v>
      </c>
      <c r="E402" s="151" t="s">
        <v>2987</v>
      </c>
      <c r="F402" s="45">
        <v>60</v>
      </c>
      <c r="G402" s="24" t="s">
        <v>3240</v>
      </c>
      <c r="H402" s="33" t="s">
        <v>4528</v>
      </c>
      <c r="I402" s="33" t="s">
        <v>4529</v>
      </c>
      <c r="J402" s="177" t="s">
        <v>4627</v>
      </c>
      <c r="K402" s="179">
        <v>5</v>
      </c>
      <c r="L402" s="197" t="s">
        <v>4812</v>
      </c>
      <c r="M402" s="197" t="s">
        <v>4661</v>
      </c>
      <c r="N402" s="198">
        <v>24</v>
      </c>
      <c r="O402" s="33" t="s">
        <v>4602</v>
      </c>
    </row>
    <row r="403" spans="1:15" ht="15" customHeight="1" x14ac:dyDescent="0.3">
      <c r="A403" s="155" t="s">
        <v>3626</v>
      </c>
      <c r="B403" s="155" t="s">
        <v>4388</v>
      </c>
      <c r="C403" s="157" t="s">
        <v>391</v>
      </c>
      <c r="D403" s="151" t="s">
        <v>3222</v>
      </c>
      <c r="E403" s="151" t="s">
        <v>2987</v>
      </c>
      <c r="F403" s="45">
        <v>60</v>
      </c>
      <c r="G403" s="24" t="s">
        <v>3240</v>
      </c>
      <c r="H403" s="33" t="s">
        <v>4528</v>
      </c>
      <c r="I403" s="33" t="s">
        <v>4529</v>
      </c>
      <c r="J403" s="177" t="s">
        <v>4627</v>
      </c>
      <c r="K403" s="179">
        <v>6</v>
      </c>
      <c r="L403" s="197" t="s">
        <v>4812</v>
      </c>
      <c r="M403" s="197" t="s">
        <v>4661</v>
      </c>
      <c r="N403" s="198">
        <v>24</v>
      </c>
      <c r="O403" s="33" t="s">
        <v>4602</v>
      </c>
    </row>
    <row r="404" spans="1:15" ht="15" customHeight="1" x14ac:dyDescent="0.3">
      <c r="A404" s="155" t="s">
        <v>3627</v>
      </c>
      <c r="B404" s="155" t="s">
        <v>4388</v>
      </c>
      <c r="C404" s="157" t="s">
        <v>392</v>
      </c>
      <c r="D404" s="151" t="s">
        <v>3222</v>
      </c>
      <c r="E404" s="151" t="s">
        <v>2987</v>
      </c>
      <c r="F404" s="45">
        <v>60</v>
      </c>
      <c r="G404" s="24" t="s">
        <v>3240</v>
      </c>
      <c r="H404" s="33" t="s">
        <v>4528</v>
      </c>
      <c r="I404" s="33" t="s">
        <v>4529</v>
      </c>
      <c r="J404" s="177" t="s">
        <v>4627</v>
      </c>
      <c r="K404" s="179">
        <v>7</v>
      </c>
      <c r="L404" s="197" t="s">
        <v>4812</v>
      </c>
      <c r="M404" s="197" t="s">
        <v>4661</v>
      </c>
      <c r="N404" s="198">
        <v>24</v>
      </c>
      <c r="O404" s="33" t="s">
        <v>4602</v>
      </c>
    </row>
    <row r="405" spans="1:15" ht="15" customHeight="1" x14ac:dyDescent="0.3">
      <c r="A405" s="155" t="s">
        <v>3628</v>
      </c>
      <c r="B405" s="155" t="s">
        <v>4388</v>
      </c>
      <c r="C405" s="157" t="s">
        <v>393</v>
      </c>
      <c r="D405" s="151" t="s">
        <v>3222</v>
      </c>
      <c r="E405" s="151" t="s">
        <v>2987</v>
      </c>
      <c r="F405" s="45">
        <v>60</v>
      </c>
      <c r="G405" s="24" t="s">
        <v>3240</v>
      </c>
      <c r="H405" s="33" t="s">
        <v>4528</v>
      </c>
      <c r="I405" s="33" t="s">
        <v>4529</v>
      </c>
      <c r="J405" s="177" t="s">
        <v>4627</v>
      </c>
      <c r="K405" s="179">
        <v>8</v>
      </c>
      <c r="L405" s="197" t="s">
        <v>4812</v>
      </c>
      <c r="M405" s="197" t="s">
        <v>4661</v>
      </c>
      <c r="N405" s="198">
        <v>24</v>
      </c>
      <c r="O405" s="33" t="s">
        <v>4602</v>
      </c>
    </row>
    <row r="406" spans="1:15" ht="15" customHeight="1" x14ac:dyDescent="0.3">
      <c r="A406" s="155" t="s">
        <v>3629</v>
      </c>
      <c r="B406" s="155" t="s">
        <v>4389</v>
      </c>
      <c r="C406" s="157" t="s">
        <v>394</v>
      </c>
      <c r="D406" s="151" t="s">
        <v>3222</v>
      </c>
      <c r="E406" s="151" t="s">
        <v>2987</v>
      </c>
      <c r="F406" s="45">
        <v>60</v>
      </c>
      <c r="G406" s="24" t="s">
        <v>3240</v>
      </c>
      <c r="H406" s="33" t="s">
        <v>4530</v>
      </c>
      <c r="I406" s="33" t="s">
        <v>4529</v>
      </c>
      <c r="J406" s="177" t="s">
        <v>4633</v>
      </c>
      <c r="K406" s="179">
        <v>1</v>
      </c>
      <c r="L406" s="197" t="s">
        <v>4813</v>
      </c>
      <c r="M406" s="197" t="s">
        <v>4661</v>
      </c>
      <c r="N406" s="198">
        <v>24</v>
      </c>
      <c r="O406" s="33" t="s">
        <v>4602</v>
      </c>
    </row>
    <row r="407" spans="1:15" ht="15" customHeight="1" x14ac:dyDescent="0.3">
      <c r="A407" s="155" t="s">
        <v>3630</v>
      </c>
      <c r="B407" s="155" t="s">
        <v>4389</v>
      </c>
      <c r="C407" s="157" t="s">
        <v>395</v>
      </c>
      <c r="D407" s="151" t="s">
        <v>3222</v>
      </c>
      <c r="E407" s="151" t="s">
        <v>2987</v>
      </c>
      <c r="F407" s="45">
        <v>60</v>
      </c>
      <c r="G407" s="24" t="s">
        <v>3240</v>
      </c>
      <c r="H407" s="33" t="s">
        <v>4530</v>
      </c>
      <c r="I407" s="33" t="s">
        <v>4529</v>
      </c>
      <c r="J407" s="177" t="s">
        <v>4633</v>
      </c>
      <c r="K407" s="179">
        <v>2</v>
      </c>
      <c r="L407" s="197" t="s">
        <v>4813</v>
      </c>
      <c r="M407" s="197" t="s">
        <v>4661</v>
      </c>
      <c r="N407" s="198">
        <v>24</v>
      </c>
      <c r="O407" s="33" t="s">
        <v>4602</v>
      </c>
    </row>
    <row r="408" spans="1:15" ht="15" customHeight="1" x14ac:dyDescent="0.3">
      <c r="A408" s="155" t="s">
        <v>3636</v>
      </c>
      <c r="B408" s="155" t="s">
        <v>4389</v>
      </c>
      <c r="C408" s="157" t="s">
        <v>396</v>
      </c>
      <c r="D408" s="151" t="s">
        <v>3222</v>
      </c>
      <c r="E408" s="151" t="s">
        <v>2987</v>
      </c>
      <c r="F408" s="45">
        <v>60</v>
      </c>
      <c r="G408" s="24" t="s">
        <v>3240</v>
      </c>
      <c r="H408" s="33" t="s">
        <v>4530</v>
      </c>
      <c r="I408" s="33" t="s">
        <v>4529</v>
      </c>
      <c r="J408" s="177" t="s">
        <v>4633</v>
      </c>
      <c r="K408" s="179">
        <v>3</v>
      </c>
      <c r="L408" s="197" t="s">
        <v>4813</v>
      </c>
      <c r="M408" s="197" t="s">
        <v>4661</v>
      </c>
      <c r="N408" s="198">
        <v>24</v>
      </c>
      <c r="O408" s="33" t="s">
        <v>4602</v>
      </c>
    </row>
    <row r="409" spans="1:15" ht="15" customHeight="1" x14ac:dyDescent="0.3">
      <c r="A409" s="155" t="s">
        <v>3637</v>
      </c>
      <c r="B409" s="155" t="s">
        <v>4389</v>
      </c>
      <c r="C409" s="157" t="s">
        <v>397</v>
      </c>
      <c r="D409" s="151" t="s">
        <v>3222</v>
      </c>
      <c r="E409" s="151" t="s">
        <v>2987</v>
      </c>
      <c r="F409" s="45">
        <v>60</v>
      </c>
      <c r="G409" s="24" t="s">
        <v>3240</v>
      </c>
      <c r="H409" s="33" t="s">
        <v>4530</v>
      </c>
      <c r="I409" s="33" t="s">
        <v>4529</v>
      </c>
      <c r="J409" s="177" t="s">
        <v>4633</v>
      </c>
      <c r="K409" s="179">
        <v>4</v>
      </c>
      <c r="L409" s="197" t="s">
        <v>4813</v>
      </c>
      <c r="M409" s="197" t="s">
        <v>4661</v>
      </c>
      <c r="N409" s="198">
        <v>24</v>
      </c>
      <c r="O409" s="33" t="s">
        <v>4602</v>
      </c>
    </row>
    <row r="410" spans="1:15" ht="15" customHeight="1" x14ac:dyDescent="0.3">
      <c r="A410" s="155" t="s">
        <v>3638</v>
      </c>
      <c r="B410" s="155" t="s">
        <v>4389</v>
      </c>
      <c r="C410" s="157" t="s">
        <v>398</v>
      </c>
      <c r="D410" s="151" t="s">
        <v>3222</v>
      </c>
      <c r="E410" s="151" t="s">
        <v>2987</v>
      </c>
      <c r="F410" s="45">
        <v>60</v>
      </c>
      <c r="G410" s="24" t="s">
        <v>3240</v>
      </c>
      <c r="H410" s="33" t="s">
        <v>4530</v>
      </c>
      <c r="I410" s="33" t="s">
        <v>4529</v>
      </c>
      <c r="J410" s="177" t="s">
        <v>4633</v>
      </c>
      <c r="K410" s="179">
        <v>5</v>
      </c>
      <c r="L410" s="197" t="s">
        <v>4813</v>
      </c>
      <c r="M410" s="197" t="s">
        <v>4661</v>
      </c>
      <c r="N410" s="198">
        <v>24</v>
      </c>
      <c r="O410" s="33" t="s">
        <v>4602</v>
      </c>
    </row>
    <row r="411" spans="1:15" ht="15" customHeight="1" x14ac:dyDescent="0.3">
      <c r="A411" s="155" t="s">
        <v>3639</v>
      </c>
      <c r="B411" s="155" t="s">
        <v>4389</v>
      </c>
      <c r="C411" s="157" t="s">
        <v>399</v>
      </c>
      <c r="D411" s="151" t="s">
        <v>3222</v>
      </c>
      <c r="E411" s="151" t="s">
        <v>2987</v>
      </c>
      <c r="F411" s="45">
        <v>60</v>
      </c>
      <c r="G411" s="24" t="s">
        <v>3240</v>
      </c>
      <c r="H411" s="33" t="s">
        <v>4530</v>
      </c>
      <c r="I411" s="33" t="s">
        <v>4529</v>
      </c>
      <c r="J411" s="177" t="s">
        <v>4633</v>
      </c>
      <c r="K411" s="179">
        <v>6</v>
      </c>
      <c r="L411" s="197" t="s">
        <v>4813</v>
      </c>
      <c r="M411" s="197" t="s">
        <v>4661</v>
      </c>
      <c r="N411" s="198">
        <v>24</v>
      </c>
      <c r="O411" s="33" t="s">
        <v>4602</v>
      </c>
    </row>
    <row r="412" spans="1:15" ht="15" customHeight="1" x14ac:dyDescent="0.3">
      <c r="A412" s="155" t="s">
        <v>3640</v>
      </c>
      <c r="B412" s="155" t="s">
        <v>4389</v>
      </c>
      <c r="C412" s="157" t="s">
        <v>400</v>
      </c>
      <c r="D412" s="151" t="s">
        <v>3222</v>
      </c>
      <c r="E412" s="151" t="s">
        <v>2987</v>
      </c>
      <c r="F412" s="45">
        <v>60</v>
      </c>
      <c r="G412" s="24" t="s">
        <v>3240</v>
      </c>
      <c r="H412" s="33" t="s">
        <v>4530</v>
      </c>
      <c r="I412" s="33" t="s">
        <v>4529</v>
      </c>
      <c r="J412" s="177" t="s">
        <v>4633</v>
      </c>
      <c r="K412" s="179">
        <v>7</v>
      </c>
      <c r="L412" s="197" t="s">
        <v>4813</v>
      </c>
      <c r="M412" s="197" t="s">
        <v>4661</v>
      </c>
      <c r="N412" s="198">
        <v>24</v>
      </c>
      <c r="O412" s="33" t="s">
        <v>4602</v>
      </c>
    </row>
    <row r="413" spans="1:15" ht="15" customHeight="1" x14ac:dyDescent="0.3">
      <c r="A413" s="155" t="s">
        <v>3641</v>
      </c>
      <c r="B413" s="155" t="s">
        <v>4389</v>
      </c>
      <c r="C413" s="157" t="s">
        <v>401</v>
      </c>
      <c r="D413" s="151" t="s">
        <v>3222</v>
      </c>
      <c r="E413" s="151" t="s">
        <v>2987</v>
      </c>
      <c r="F413" s="45">
        <v>60</v>
      </c>
      <c r="G413" s="24" t="s">
        <v>3240</v>
      </c>
      <c r="H413" s="33" t="s">
        <v>4530</v>
      </c>
      <c r="I413" s="33" t="s">
        <v>4529</v>
      </c>
      <c r="J413" s="177" t="s">
        <v>4633</v>
      </c>
      <c r="K413" s="179">
        <v>8</v>
      </c>
      <c r="L413" s="197" t="s">
        <v>4813</v>
      </c>
      <c r="M413" s="197" t="s">
        <v>4661</v>
      </c>
      <c r="N413" s="198">
        <v>24</v>
      </c>
      <c r="O413" s="33" t="s">
        <v>4602</v>
      </c>
    </row>
    <row r="414" spans="1:15" ht="15" customHeight="1" x14ac:dyDescent="0.3">
      <c r="A414" s="155" t="s">
        <v>3642</v>
      </c>
      <c r="B414" s="155" t="s">
        <v>4390</v>
      </c>
      <c r="C414" s="157" t="s">
        <v>402</v>
      </c>
      <c r="D414" s="151" t="s">
        <v>3222</v>
      </c>
      <c r="E414" s="151" t="s">
        <v>2987</v>
      </c>
      <c r="F414" s="45">
        <v>60</v>
      </c>
      <c r="G414" s="24" t="s">
        <v>3240</v>
      </c>
      <c r="H414" s="33" t="s">
        <v>4531</v>
      </c>
      <c r="I414" s="33" t="s">
        <v>4529</v>
      </c>
      <c r="J414" s="177" t="s">
        <v>4639</v>
      </c>
      <c r="K414" s="179">
        <v>1</v>
      </c>
      <c r="L414" s="197" t="s">
        <v>4814</v>
      </c>
      <c r="M414" s="197" t="s">
        <v>4661</v>
      </c>
      <c r="N414" s="198">
        <v>24</v>
      </c>
      <c r="O414" s="33" t="s">
        <v>4602</v>
      </c>
    </row>
    <row r="415" spans="1:15" ht="15" customHeight="1" x14ac:dyDescent="0.3">
      <c r="A415" s="155" t="s">
        <v>3643</v>
      </c>
      <c r="B415" s="155" t="s">
        <v>4390</v>
      </c>
      <c r="C415" s="157" t="s">
        <v>403</v>
      </c>
      <c r="D415" s="151" t="s">
        <v>3222</v>
      </c>
      <c r="E415" s="151" t="s">
        <v>2987</v>
      </c>
      <c r="F415" s="45">
        <v>60</v>
      </c>
      <c r="G415" s="24" t="s">
        <v>3240</v>
      </c>
      <c r="H415" s="33" t="s">
        <v>4531</v>
      </c>
      <c r="I415" s="33" t="s">
        <v>4529</v>
      </c>
      <c r="J415" s="177" t="s">
        <v>4639</v>
      </c>
      <c r="K415" s="179">
        <v>2</v>
      </c>
      <c r="L415" s="197" t="s">
        <v>4814</v>
      </c>
      <c r="M415" s="197" t="s">
        <v>4661</v>
      </c>
      <c r="N415" s="198">
        <v>24</v>
      </c>
      <c r="O415" s="33" t="s">
        <v>4602</v>
      </c>
    </row>
    <row r="416" spans="1:15" ht="15" customHeight="1" x14ac:dyDescent="0.3">
      <c r="A416" s="155" t="s">
        <v>3644</v>
      </c>
      <c r="B416" s="155" t="s">
        <v>4390</v>
      </c>
      <c r="C416" s="157" t="s">
        <v>404</v>
      </c>
      <c r="D416" s="151" t="s">
        <v>3222</v>
      </c>
      <c r="E416" s="151" t="s">
        <v>2987</v>
      </c>
      <c r="F416" s="45">
        <v>60</v>
      </c>
      <c r="G416" s="24" t="s">
        <v>3240</v>
      </c>
      <c r="H416" s="33" t="s">
        <v>4531</v>
      </c>
      <c r="I416" s="33" t="s">
        <v>4529</v>
      </c>
      <c r="J416" s="177" t="s">
        <v>4639</v>
      </c>
      <c r="K416" s="179">
        <v>3</v>
      </c>
      <c r="L416" s="197" t="s">
        <v>4814</v>
      </c>
      <c r="M416" s="197" t="s">
        <v>4661</v>
      </c>
      <c r="N416" s="198">
        <v>24</v>
      </c>
      <c r="O416" s="33" t="s">
        <v>4602</v>
      </c>
    </row>
    <row r="417" spans="1:15" ht="15" customHeight="1" x14ac:dyDescent="0.3">
      <c r="A417" s="155" t="s">
        <v>3645</v>
      </c>
      <c r="B417" s="155" t="s">
        <v>4390</v>
      </c>
      <c r="C417" s="157" t="s">
        <v>405</v>
      </c>
      <c r="D417" s="151" t="s">
        <v>3222</v>
      </c>
      <c r="E417" s="151" t="s">
        <v>2987</v>
      </c>
      <c r="F417" s="45">
        <v>60</v>
      </c>
      <c r="G417" s="24" t="s">
        <v>3240</v>
      </c>
      <c r="H417" s="33" t="s">
        <v>4531</v>
      </c>
      <c r="I417" s="33" t="s">
        <v>4529</v>
      </c>
      <c r="J417" s="177" t="s">
        <v>4639</v>
      </c>
      <c r="K417" s="179">
        <v>4</v>
      </c>
      <c r="L417" s="197" t="s">
        <v>4814</v>
      </c>
      <c r="M417" s="197" t="s">
        <v>4661</v>
      </c>
      <c r="N417" s="198">
        <v>24</v>
      </c>
      <c r="O417" s="33" t="s">
        <v>4602</v>
      </c>
    </row>
    <row r="418" spans="1:15" ht="15" customHeight="1" x14ac:dyDescent="0.3">
      <c r="A418" s="155" t="s">
        <v>3646</v>
      </c>
      <c r="B418" s="155" t="s">
        <v>4390</v>
      </c>
      <c r="C418" s="157" t="s">
        <v>406</v>
      </c>
      <c r="D418" s="151" t="s">
        <v>3222</v>
      </c>
      <c r="E418" s="151" t="s">
        <v>2987</v>
      </c>
      <c r="F418" s="45">
        <v>60</v>
      </c>
      <c r="G418" s="24" t="s">
        <v>3240</v>
      </c>
      <c r="H418" s="33" t="s">
        <v>4531</v>
      </c>
      <c r="I418" s="33" t="s">
        <v>4529</v>
      </c>
      <c r="J418" s="177" t="s">
        <v>4639</v>
      </c>
      <c r="K418" s="179">
        <v>5</v>
      </c>
      <c r="L418" s="197" t="s">
        <v>4814</v>
      </c>
      <c r="M418" s="197" t="s">
        <v>4661</v>
      </c>
      <c r="N418" s="198">
        <v>24</v>
      </c>
      <c r="O418" s="33" t="s">
        <v>4602</v>
      </c>
    </row>
    <row r="419" spans="1:15" ht="15" customHeight="1" x14ac:dyDescent="0.3">
      <c r="A419" s="155" t="s">
        <v>3647</v>
      </c>
      <c r="B419" s="155" t="s">
        <v>4390</v>
      </c>
      <c r="C419" s="157" t="s">
        <v>407</v>
      </c>
      <c r="D419" s="151" t="s">
        <v>3222</v>
      </c>
      <c r="E419" s="151" t="s">
        <v>2987</v>
      </c>
      <c r="F419" s="45">
        <v>60</v>
      </c>
      <c r="G419" s="24" t="s">
        <v>3240</v>
      </c>
      <c r="H419" s="33" t="s">
        <v>4531</v>
      </c>
      <c r="I419" s="33" t="s">
        <v>4529</v>
      </c>
      <c r="J419" s="177" t="s">
        <v>4639</v>
      </c>
      <c r="K419" s="179">
        <v>6</v>
      </c>
      <c r="L419" s="197" t="s">
        <v>4814</v>
      </c>
      <c r="M419" s="197" t="s">
        <v>4661</v>
      </c>
      <c r="N419" s="198">
        <v>24</v>
      </c>
      <c r="O419" s="33" t="s">
        <v>4602</v>
      </c>
    </row>
    <row r="420" spans="1:15" ht="15" customHeight="1" x14ac:dyDescent="0.3">
      <c r="A420" s="155" t="s">
        <v>3648</v>
      </c>
      <c r="B420" s="155" t="s">
        <v>4390</v>
      </c>
      <c r="C420" s="157" t="s">
        <v>408</v>
      </c>
      <c r="D420" s="151" t="s">
        <v>3222</v>
      </c>
      <c r="E420" s="151" t="s">
        <v>2987</v>
      </c>
      <c r="F420" s="45">
        <v>60</v>
      </c>
      <c r="G420" s="24" t="s">
        <v>3240</v>
      </c>
      <c r="H420" s="33" t="s">
        <v>4531</v>
      </c>
      <c r="I420" s="33" t="s">
        <v>4529</v>
      </c>
      <c r="J420" s="177" t="s">
        <v>4639</v>
      </c>
      <c r="K420" s="179">
        <v>7</v>
      </c>
      <c r="L420" s="197" t="s">
        <v>4814</v>
      </c>
      <c r="M420" s="197" t="s">
        <v>4661</v>
      </c>
      <c r="N420" s="198">
        <v>24</v>
      </c>
      <c r="O420" s="33" t="s">
        <v>4602</v>
      </c>
    </row>
    <row r="421" spans="1:15" x14ac:dyDescent="0.3">
      <c r="A421" s="155" t="s">
        <v>3649</v>
      </c>
      <c r="B421" s="155" t="s">
        <v>4390</v>
      </c>
      <c r="C421" s="157" t="s">
        <v>409</v>
      </c>
      <c r="D421" s="151" t="s">
        <v>3222</v>
      </c>
      <c r="E421" s="151" t="s">
        <v>2987</v>
      </c>
      <c r="F421" s="45">
        <v>60</v>
      </c>
      <c r="G421" s="24" t="s">
        <v>3240</v>
      </c>
      <c r="H421" s="33" t="s">
        <v>4531</v>
      </c>
      <c r="I421" s="33" t="s">
        <v>4529</v>
      </c>
      <c r="J421" s="177" t="s">
        <v>4639</v>
      </c>
      <c r="K421" s="179">
        <v>8</v>
      </c>
      <c r="L421" s="197" t="s">
        <v>4814</v>
      </c>
      <c r="M421" s="197" t="s">
        <v>4661</v>
      </c>
      <c r="N421" s="198">
        <v>24</v>
      </c>
      <c r="O421" s="33" t="s">
        <v>4602</v>
      </c>
    </row>
    <row r="422" spans="1:15" x14ac:dyDescent="0.3">
      <c r="A422" s="155" t="s">
        <v>3650</v>
      </c>
      <c r="B422" s="155" t="s">
        <v>4391</v>
      </c>
      <c r="C422" s="157" t="s">
        <v>410</v>
      </c>
      <c r="D422" s="151" t="s">
        <v>3222</v>
      </c>
      <c r="E422" s="151" t="s">
        <v>2987</v>
      </c>
      <c r="F422" s="45">
        <v>60</v>
      </c>
      <c r="G422" s="24" t="s">
        <v>3240</v>
      </c>
      <c r="H422" s="33" t="s">
        <v>4532</v>
      </c>
      <c r="I422" s="33" t="s">
        <v>4529</v>
      </c>
      <c r="J422" s="177" t="s">
        <v>4641</v>
      </c>
      <c r="K422" s="179">
        <v>1</v>
      </c>
      <c r="L422" s="197" t="s">
        <v>4815</v>
      </c>
      <c r="M422" s="197" t="s">
        <v>4661</v>
      </c>
      <c r="N422" s="198">
        <v>24</v>
      </c>
      <c r="O422" s="33" t="s">
        <v>4602</v>
      </c>
    </row>
    <row r="423" spans="1:15" x14ac:dyDescent="0.3">
      <c r="A423" s="155" t="s">
        <v>3651</v>
      </c>
      <c r="B423" s="155" t="s">
        <v>4391</v>
      </c>
      <c r="C423" s="157" t="s">
        <v>411</v>
      </c>
      <c r="D423" s="151" t="s">
        <v>3222</v>
      </c>
      <c r="E423" s="151" t="s">
        <v>2987</v>
      </c>
      <c r="F423" s="45">
        <v>60</v>
      </c>
      <c r="G423" s="24" t="s">
        <v>3240</v>
      </c>
      <c r="H423" s="33" t="s">
        <v>4532</v>
      </c>
      <c r="I423" s="33" t="s">
        <v>4529</v>
      </c>
      <c r="J423" s="177" t="s">
        <v>4641</v>
      </c>
      <c r="K423" s="179">
        <v>2</v>
      </c>
      <c r="L423" s="197" t="s">
        <v>4815</v>
      </c>
      <c r="M423" s="197" t="s">
        <v>4661</v>
      </c>
      <c r="N423" s="198">
        <v>24</v>
      </c>
      <c r="O423" s="33" t="s">
        <v>4602</v>
      </c>
    </row>
    <row r="424" spans="1:15" ht="15" customHeight="1" x14ac:dyDescent="0.3">
      <c r="A424" s="155" t="s">
        <v>3652</v>
      </c>
      <c r="B424" s="155" t="s">
        <v>4391</v>
      </c>
      <c r="C424" s="157" t="s">
        <v>412</v>
      </c>
      <c r="D424" s="151" t="s">
        <v>3222</v>
      </c>
      <c r="E424" s="151" t="s">
        <v>2987</v>
      </c>
      <c r="F424" s="45">
        <v>60</v>
      </c>
      <c r="G424" s="24" t="s">
        <v>3240</v>
      </c>
      <c r="H424" s="33" t="s">
        <v>4532</v>
      </c>
      <c r="I424" s="33" t="s">
        <v>4529</v>
      </c>
      <c r="J424" s="177" t="s">
        <v>4641</v>
      </c>
      <c r="K424" s="179">
        <v>3</v>
      </c>
      <c r="L424" s="197" t="s">
        <v>4815</v>
      </c>
      <c r="M424" s="197" t="s">
        <v>4661</v>
      </c>
      <c r="N424" s="198">
        <v>24</v>
      </c>
      <c r="O424" s="33" t="s">
        <v>4602</v>
      </c>
    </row>
    <row r="425" spans="1:15" ht="15" customHeight="1" x14ac:dyDescent="0.3">
      <c r="A425" s="155" t="s">
        <v>3653</v>
      </c>
      <c r="B425" s="155" t="s">
        <v>4391</v>
      </c>
      <c r="C425" s="157" t="s">
        <v>413</v>
      </c>
      <c r="D425" s="151" t="s">
        <v>3222</v>
      </c>
      <c r="E425" s="151" t="s">
        <v>2987</v>
      </c>
      <c r="F425" s="45">
        <v>60</v>
      </c>
      <c r="G425" s="24" t="s">
        <v>3240</v>
      </c>
      <c r="H425" s="33" t="s">
        <v>4532</v>
      </c>
      <c r="I425" s="33" t="s">
        <v>4529</v>
      </c>
      <c r="J425" s="177" t="s">
        <v>4641</v>
      </c>
      <c r="K425" s="179">
        <v>4</v>
      </c>
      <c r="L425" s="197" t="s">
        <v>4815</v>
      </c>
      <c r="M425" s="197" t="s">
        <v>4661</v>
      </c>
      <c r="N425" s="198">
        <v>24</v>
      </c>
      <c r="O425" s="33" t="s">
        <v>4602</v>
      </c>
    </row>
    <row r="426" spans="1:15" ht="15" customHeight="1" x14ac:dyDescent="0.3">
      <c r="A426" s="155" t="s">
        <v>3654</v>
      </c>
      <c r="B426" s="155" t="s">
        <v>4391</v>
      </c>
      <c r="C426" s="157" t="s">
        <v>414</v>
      </c>
      <c r="D426" s="151" t="s">
        <v>3222</v>
      </c>
      <c r="E426" s="151" t="s">
        <v>2987</v>
      </c>
      <c r="F426" s="45">
        <v>60</v>
      </c>
      <c r="G426" s="24" t="s">
        <v>3240</v>
      </c>
      <c r="H426" s="33" t="s">
        <v>4532</v>
      </c>
      <c r="I426" s="33" t="s">
        <v>4529</v>
      </c>
      <c r="J426" s="177" t="s">
        <v>4641</v>
      </c>
      <c r="K426" s="179">
        <v>5</v>
      </c>
      <c r="L426" s="197" t="s">
        <v>4815</v>
      </c>
      <c r="M426" s="197" t="s">
        <v>4661</v>
      </c>
      <c r="N426" s="198">
        <v>24</v>
      </c>
      <c r="O426" s="33" t="s">
        <v>4602</v>
      </c>
    </row>
    <row r="427" spans="1:15" ht="15" customHeight="1" x14ac:dyDescent="0.3">
      <c r="A427" s="155" t="s">
        <v>3655</v>
      </c>
      <c r="B427" s="155" t="s">
        <v>4391</v>
      </c>
      <c r="C427" s="157" t="s">
        <v>415</v>
      </c>
      <c r="D427" s="151" t="s">
        <v>3222</v>
      </c>
      <c r="E427" s="151" t="s">
        <v>2987</v>
      </c>
      <c r="F427" s="45">
        <v>60</v>
      </c>
      <c r="G427" s="24" t="s">
        <v>3240</v>
      </c>
      <c r="H427" s="33" t="s">
        <v>4532</v>
      </c>
      <c r="I427" s="33" t="s">
        <v>4529</v>
      </c>
      <c r="J427" s="177" t="s">
        <v>4641</v>
      </c>
      <c r="K427" s="179">
        <v>6</v>
      </c>
      <c r="L427" s="197" t="s">
        <v>4815</v>
      </c>
      <c r="M427" s="197" t="s">
        <v>4661</v>
      </c>
      <c r="N427" s="198">
        <v>24</v>
      </c>
      <c r="O427" s="33" t="s">
        <v>4602</v>
      </c>
    </row>
    <row r="428" spans="1:15" ht="15" customHeight="1" x14ac:dyDescent="0.3">
      <c r="A428" s="155" t="s">
        <v>3656</v>
      </c>
      <c r="B428" s="155" t="s">
        <v>4391</v>
      </c>
      <c r="C428" s="157" t="s">
        <v>416</v>
      </c>
      <c r="D428" s="151" t="s">
        <v>3222</v>
      </c>
      <c r="E428" s="151" t="s">
        <v>2987</v>
      </c>
      <c r="F428" s="45">
        <v>60</v>
      </c>
      <c r="G428" s="24" t="s">
        <v>3240</v>
      </c>
      <c r="H428" s="33" t="s">
        <v>4532</v>
      </c>
      <c r="I428" s="33" t="s">
        <v>4529</v>
      </c>
      <c r="J428" s="177" t="s">
        <v>4641</v>
      </c>
      <c r="K428" s="179">
        <v>7</v>
      </c>
      <c r="L428" s="197" t="s">
        <v>4815</v>
      </c>
      <c r="M428" s="197" t="s">
        <v>4661</v>
      </c>
      <c r="N428" s="198">
        <v>24</v>
      </c>
      <c r="O428" s="33" t="s">
        <v>4602</v>
      </c>
    </row>
    <row r="429" spans="1:15" ht="15" customHeight="1" x14ac:dyDescent="0.3">
      <c r="A429" s="155" t="s">
        <v>3657</v>
      </c>
      <c r="B429" s="155" t="s">
        <v>4391</v>
      </c>
      <c r="C429" s="157" t="s">
        <v>417</v>
      </c>
      <c r="D429" s="151" t="s">
        <v>3222</v>
      </c>
      <c r="E429" s="151" t="s">
        <v>2987</v>
      </c>
      <c r="F429" s="45">
        <v>60</v>
      </c>
      <c r="G429" s="24" t="s">
        <v>3240</v>
      </c>
      <c r="H429" s="33" t="s">
        <v>4532</v>
      </c>
      <c r="I429" s="33" t="s">
        <v>4529</v>
      </c>
      <c r="J429" s="177" t="s">
        <v>4641</v>
      </c>
      <c r="K429" s="179">
        <v>8</v>
      </c>
      <c r="L429" s="197" t="s">
        <v>4815</v>
      </c>
      <c r="M429" s="197" t="s">
        <v>4661</v>
      </c>
      <c r="N429" s="198">
        <v>24</v>
      </c>
      <c r="O429" s="33" t="s">
        <v>4602</v>
      </c>
    </row>
    <row r="430" spans="1:15" ht="15" customHeight="1" x14ac:dyDescent="0.3">
      <c r="A430" s="155" t="s">
        <v>3658</v>
      </c>
      <c r="B430" s="155" t="s">
        <v>4392</v>
      </c>
      <c r="C430" s="157" t="s">
        <v>418</v>
      </c>
      <c r="D430" s="151" t="s">
        <v>3222</v>
      </c>
      <c r="E430" s="151" t="s">
        <v>2987</v>
      </c>
      <c r="F430" s="45">
        <v>60</v>
      </c>
      <c r="G430" s="24" t="s">
        <v>3240</v>
      </c>
      <c r="H430" s="33" t="s">
        <v>4533</v>
      </c>
      <c r="I430" s="33" t="s">
        <v>4529</v>
      </c>
      <c r="J430" s="177" t="s">
        <v>4629</v>
      </c>
      <c r="K430" s="179">
        <v>1</v>
      </c>
      <c r="L430" s="197" t="s">
        <v>4816</v>
      </c>
      <c r="M430" s="197" t="s">
        <v>4661</v>
      </c>
      <c r="N430" s="198">
        <v>24</v>
      </c>
      <c r="O430" s="33" t="s">
        <v>4602</v>
      </c>
    </row>
    <row r="431" spans="1:15" ht="15" customHeight="1" x14ac:dyDescent="0.3">
      <c r="A431" s="155" t="s">
        <v>3659</v>
      </c>
      <c r="B431" s="155" t="s">
        <v>4392</v>
      </c>
      <c r="C431" s="157" t="s">
        <v>419</v>
      </c>
      <c r="D431" s="151" t="s">
        <v>3222</v>
      </c>
      <c r="E431" s="151" t="s">
        <v>2987</v>
      </c>
      <c r="F431" s="45">
        <v>60</v>
      </c>
      <c r="G431" s="24" t="s">
        <v>3240</v>
      </c>
      <c r="H431" s="33" t="s">
        <v>4533</v>
      </c>
      <c r="I431" s="33" t="s">
        <v>4529</v>
      </c>
      <c r="J431" s="177" t="s">
        <v>4629</v>
      </c>
      <c r="K431" s="179">
        <v>2</v>
      </c>
      <c r="L431" s="197" t="s">
        <v>4816</v>
      </c>
      <c r="M431" s="197" t="s">
        <v>4661</v>
      </c>
      <c r="N431" s="198">
        <v>24</v>
      </c>
      <c r="O431" s="33" t="s">
        <v>4602</v>
      </c>
    </row>
    <row r="432" spans="1:15" ht="15" customHeight="1" x14ac:dyDescent="0.3">
      <c r="A432" s="155" t="s">
        <v>3660</v>
      </c>
      <c r="B432" s="155" t="s">
        <v>4392</v>
      </c>
      <c r="C432" s="157" t="s">
        <v>420</v>
      </c>
      <c r="D432" s="151" t="s">
        <v>3222</v>
      </c>
      <c r="E432" s="151" t="s">
        <v>2987</v>
      </c>
      <c r="F432" s="45">
        <v>60</v>
      </c>
      <c r="G432" s="24" t="s">
        <v>3240</v>
      </c>
      <c r="H432" s="33" t="s">
        <v>4533</v>
      </c>
      <c r="I432" s="33" t="s">
        <v>4529</v>
      </c>
      <c r="J432" s="177" t="s">
        <v>4629</v>
      </c>
      <c r="K432" s="179">
        <v>3</v>
      </c>
      <c r="L432" s="197" t="s">
        <v>4816</v>
      </c>
      <c r="M432" s="197" t="s">
        <v>4661</v>
      </c>
      <c r="N432" s="198">
        <v>24</v>
      </c>
      <c r="O432" s="33" t="s">
        <v>4602</v>
      </c>
    </row>
    <row r="433" spans="1:40" ht="15" customHeight="1" x14ac:dyDescent="0.3">
      <c r="A433" s="155" t="s">
        <v>3661</v>
      </c>
      <c r="B433" s="155" t="s">
        <v>4392</v>
      </c>
      <c r="C433" s="157" t="s">
        <v>421</v>
      </c>
      <c r="D433" s="151" t="s">
        <v>3222</v>
      </c>
      <c r="E433" s="151" t="s">
        <v>2987</v>
      </c>
      <c r="F433" s="45">
        <v>60</v>
      </c>
      <c r="G433" s="24" t="s">
        <v>3240</v>
      </c>
      <c r="H433" s="33" t="s">
        <v>4533</v>
      </c>
      <c r="I433" s="33" t="s">
        <v>4529</v>
      </c>
      <c r="J433" s="177" t="s">
        <v>4629</v>
      </c>
      <c r="K433" s="179">
        <v>4</v>
      </c>
      <c r="L433" s="197" t="s">
        <v>4816</v>
      </c>
      <c r="M433" s="197" t="s">
        <v>4661</v>
      </c>
      <c r="N433" s="198">
        <v>24</v>
      </c>
      <c r="O433" s="33" t="s">
        <v>4602</v>
      </c>
    </row>
    <row r="434" spans="1:40" ht="15" customHeight="1" x14ac:dyDescent="0.3">
      <c r="A434" s="155" t="s">
        <v>3662</v>
      </c>
      <c r="B434" s="155" t="s">
        <v>4392</v>
      </c>
      <c r="C434" s="157" t="s">
        <v>422</v>
      </c>
      <c r="D434" s="151" t="s">
        <v>3222</v>
      </c>
      <c r="E434" s="151" t="s">
        <v>2987</v>
      </c>
      <c r="F434" s="45">
        <v>60</v>
      </c>
      <c r="G434" s="24" t="s">
        <v>3240</v>
      </c>
      <c r="H434" s="33" t="s">
        <v>4533</v>
      </c>
      <c r="I434" s="33" t="s">
        <v>4529</v>
      </c>
      <c r="J434" s="177" t="s">
        <v>4629</v>
      </c>
      <c r="K434" s="179">
        <v>5</v>
      </c>
      <c r="L434" s="197" t="s">
        <v>4816</v>
      </c>
      <c r="M434" s="197" t="s">
        <v>4661</v>
      </c>
      <c r="N434" s="198">
        <v>24</v>
      </c>
      <c r="O434" s="33" t="s">
        <v>4602</v>
      </c>
    </row>
    <row r="435" spans="1:40" ht="15" customHeight="1" x14ac:dyDescent="0.3">
      <c r="A435" s="155" t="s">
        <v>3663</v>
      </c>
      <c r="B435" s="155" t="s">
        <v>4392</v>
      </c>
      <c r="C435" s="157" t="s">
        <v>423</v>
      </c>
      <c r="D435" s="151" t="s">
        <v>3222</v>
      </c>
      <c r="E435" s="151" t="s">
        <v>2987</v>
      </c>
      <c r="F435" s="45">
        <v>60</v>
      </c>
      <c r="G435" s="24" t="s">
        <v>3240</v>
      </c>
      <c r="H435" s="33" t="s">
        <v>4533</v>
      </c>
      <c r="I435" s="33" t="s">
        <v>4529</v>
      </c>
      <c r="J435" s="177" t="s">
        <v>4629</v>
      </c>
      <c r="K435" s="179">
        <v>6</v>
      </c>
      <c r="L435" s="197" t="s">
        <v>4816</v>
      </c>
      <c r="M435" s="197" t="s">
        <v>4661</v>
      </c>
      <c r="N435" s="198">
        <v>24</v>
      </c>
      <c r="O435" s="33" t="s">
        <v>4602</v>
      </c>
    </row>
    <row r="436" spans="1:40" ht="15" customHeight="1" x14ac:dyDescent="0.3">
      <c r="A436" s="155" t="s">
        <v>3664</v>
      </c>
      <c r="B436" s="155" t="s">
        <v>4392</v>
      </c>
      <c r="C436" s="157" t="s">
        <v>424</v>
      </c>
      <c r="D436" s="151" t="s">
        <v>3222</v>
      </c>
      <c r="E436" s="151" t="s">
        <v>2987</v>
      </c>
      <c r="F436" s="45">
        <v>60</v>
      </c>
      <c r="G436" s="24" t="s">
        <v>3240</v>
      </c>
      <c r="H436" s="33" t="s">
        <v>4533</v>
      </c>
      <c r="I436" s="33" t="s">
        <v>4529</v>
      </c>
      <c r="J436" s="177" t="s">
        <v>4629</v>
      </c>
      <c r="K436" s="179">
        <v>7</v>
      </c>
      <c r="L436" s="197" t="s">
        <v>4816</v>
      </c>
      <c r="M436" s="197" t="s">
        <v>4661</v>
      </c>
      <c r="N436" s="198">
        <v>24</v>
      </c>
      <c r="O436" s="33" t="s">
        <v>4602</v>
      </c>
    </row>
    <row r="437" spans="1:40" ht="15" customHeight="1" x14ac:dyDescent="0.3">
      <c r="A437" s="155" t="s">
        <v>3665</v>
      </c>
      <c r="B437" s="155" t="s">
        <v>4392</v>
      </c>
      <c r="C437" s="157" t="s">
        <v>425</v>
      </c>
      <c r="D437" s="151" t="s">
        <v>3222</v>
      </c>
      <c r="E437" s="151" t="s">
        <v>2987</v>
      </c>
      <c r="F437" s="45">
        <v>60</v>
      </c>
      <c r="G437" s="24" t="s">
        <v>3240</v>
      </c>
      <c r="H437" s="33" t="s">
        <v>4533</v>
      </c>
      <c r="I437" s="33" t="s">
        <v>4529</v>
      </c>
      <c r="J437" s="177" t="s">
        <v>4629</v>
      </c>
      <c r="K437" s="179">
        <v>8</v>
      </c>
      <c r="L437" s="197" t="s">
        <v>4816</v>
      </c>
      <c r="M437" s="197" t="s">
        <v>4661</v>
      </c>
      <c r="N437" s="198">
        <v>24</v>
      </c>
      <c r="O437" s="33" t="s">
        <v>4602</v>
      </c>
    </row>
    <row r="438" spans="1:40" ht="15" customHeight="1" x14ac:dyDescent="0.3">
      <c r="A438" s="155" t="s">
        <v>3666</v>
      </c>
      <c r="B438" s="155" t="s">
        <v>4393</v>
      </c>
      <c r="C438" s="157" t="s">
        <v>426</v>
      </c>
      <c r="D438" s="151" t="s">
        <v>3222</v>
      </c>
      <c r="E438" s="151" t="s">
        <v>2987</v>
      </c>
      <c r="F438" s="45">
        <v>60</v>
      </c>
      <c r="G438" s="24" t="s">
        <v>3240</v>
      </c>
      <c r="H438" s="33" t="s">
        <v>4534</v>
      </c>
      <c r="I438" s="33" t="s">
        <v>4529</v>
      </c>
      <c r="J438" s="177" t="s">
        <v>4632</v>
      </c>
      <c r="K438" s="179">
        <v>7</v>
      </c>
      <c r="L438" s="197" t="s">
        <v>4817</v>
      </c>
      <c r="M438" s="197" t="s">
        <v>4661</v>
      </c>
      <c r="N438" s="198">
        <v>24</v>
      </c>
      <c r="O438" s="33" t="s">
        <v>4602</v>
      </c>
    </row>
    <row r="439" spans="1:40" ht="15" customHeight="1" x14ac:dyDescent="0.3">
      <c r="A439" s="155" t="s">
        <v>3667</v>
      </c>
      <c r="B439" s="155" t="s">
        <v>4393</v>
      </c>
      <c r="C439" s="157" t="s">
        <v>427</v>
      </c>
      <c r="D439" s="151" t="s">
        <v>3222</v>
      </c>
      <c r="E439" s="151" t="s">
        <v>2987</v>
      </c>
      <c r="F439" s="45">
        <v>60</v>
      </c>
      <c r="G439" s="24" t="s">
        <v>3240</v>
      </c>
      <c r="H439" s="33" t="s">
        <v>4534</v>
      </c>
      <c r="I439" s="33" t="s">
        <v>4529</v>
      </c>
      <c r="J439" s="177" t="s">
        <v>4632</v>
      </c>
      <c r="K439" s="179">
        <v>8</v>
      </c>
      <c r="L439" s="197" t="s">
        <v>4817</v>
      </c>
      <c r="M439" s="197" t="s">
        <v>4661</v>
      </c>
      <c r="N439" s="198">
        <v>24</v>
      </c>
      <c r="O439" s="33" t="s">
        <v>4602</v>
      </c>
    </row>
    <row r="440" spans="1:40" s="116" customFormat="1" ht="15" customHeight="1" x14ac:dyDescent="0.3">
      <c r="A440" s="155"/>
      <c r="B440" s="121"/>
      <c r="C440" s="271" t="s">
        <v>4272</v>
      </c>
      <c r="D440" s="151"/>
      <c r="E440" s="151"/>
      <c r="F440" s="45"/>
      <c r="G440" s="24"/>
      <c r="H440" s="33"/>
      <c r="I440" s="33"/>
      <c r="J440" s="177"/>
      <c r="K440" s="179"/>
      <c r="L440" s="179"/>
      <c r="M440" s="179"/>
      <c r="N440" s="33"/>
      <c r="O440" s="33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</row>
    <row r="441" spans="1:40" s="116" customFormat="1" ht="15" customHeight="1" x14ac:dyDescent="0.3">
      <c r="A441" s="232"/>
      <c r="B441" s="136" t="s">
        <v>4419</v>
      </c>
      <c r="C441" s="118" t="s">
        <v>3311</v>
      </c>
      <c r="D441" s="75"/>
      <c r="E441" s="12"/>
      <c r="F441" s="12"/>
      <c r="G441" s="75"/>
      <c r="H441" s="156"/>
      <c r="I441" s="156"/>
      <c r="J441" s="272"/>
      <c r="K441" s="273"/>
      <c r="L441" s="273"/>
      <c r="M441" s="273"/>
      <c r="N441" s="156"/>
      <c r="O441" s="156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</row>
    <row r="442" spans="1:40" x14ac:dyDescent="0.3">
      <c r="A442" s="232"/>
      <c r="B442" s="136" t="s">
        <v>4419</v>
      </c>
      <c r="C442" s="118" t="s">
        <v>3309</v>
      </c>
      <c r="D442" s="75"/>
      <c r="E442" s="12"/>
      <c r="F442" s="12"/>
      <c r="G442" s="75"/>
      <c r="H442" s="156"/>
      <c r="I442" s="156"/>
      <c r="J442" s="272"/>
      <c r="K442" s="273"/>
      <c r="L442" s="273"/>
      <c r="M442" s="273"/>
      <c r="N442" s="156"/>
      <c r="O442" s="156"/>
    </row>
    <row r="443" spans="1:40" x14ac:dyDescent="0.3">
      <c r="A443" s="232"/>
      <c r="B443" s="136" t="s">
        <v>4419</v>
      </c>
      <c r="C443" s="118" t="s">
        <v>3312</v>
      </c>
      <c r="D443" s="75"/>
      <c r="E443" s="12"/>
      <c r="F443" s="12"/>
      <c r="G443" s="75"/>
      <c r="H443" s="156"/>
      <c r="I443" s="156"/>
      <c r="J443" s="272"/>
      <c r="K443" s="273"/>
      <c r="L443" s="273"/>
      <c r="M443" s="273"/>
      <c r="N443" s="156"/>
      <c r="O443" s="156"/>
    </row>
    <row r="444" spans="1:40" x14ac:dyDescent="0.3">
      <c r="A444" s="232"/>
      <c r="B444" s="136" t="s">
        <v>4419</v>
      </c>
      <c r="C444" s="118" t="s">
        <v>3310</v>
      </c>
      <c r="D444" s="75"/>
      <c r="E444" s="12"/>
      <c r="F444" s="12"/>
      <c r="G444" s="75"/>
      <c r="H444" s="156"/>
      <c r="I444" s="156"/>
      <c r="J444" s="272"/>
      <c r="K444" s="273"/>
      <c r="L444" s="273"/>
      <c r="M444" s="273"/>
      <c r="N444" s="156"/>
      <c r="O444" s="156"/>
    </row>
    <row r="445" spans="1:40" ht="15" customHeight="1" x14ac:dyDescent="0.3">
      <c r="A445" s="192"/>
      <c r="B445" s="136" t="s">
        <v>4419</v>
      </c>
      <c r="C445" s="138" t="s">
        <v>428</v>
      </c>
      <c r="D445" s="251"/>
      <c r="E445" s="45" t="s">
        <v>2987</v>
      </c>
      <c r="F445" s="45"/>
      <c r="G445" s="24"/>
      <c r="H445" s="33"/>
      <c r="I445" s="33" t="e">
        <v>#N/A</v>
      </c>
      <c r="J445" s="177"/>
      <c r="K445" s="179"/>
      <c r="L445" s="179"/>
      <c r="M445" s="179"/>
      <c r="N445" s="33"/>
      <c r="O445" s="33"/>
    </row>
    <row r="446" spans="1:40" ht="15" customHeight="1" x14ac:dyDescent="0.3">
      <c r="A446" s="192"/>
      <c r="B446" s="136" t="s">
        <v>4419</v>
      </c>
      <c r="C446" s="138" t="s">
        <v>428</v>
      </c>
      <c r="D446" s="251"/>
      <c r="E446" s="45" t="s">
        <v>2987</v>
      </c>
      <c r="F446" s="45"/>
      <c r="G446" s="24"/>
      <c r="H446" s="33"/>
      <c r="I446" s="33" t="e">
        <v>#N/A</v>
      </c>
      <c r="J446" s="177"/>
      <c r="K446" s="179"/>
      <c r="L446" s="179"/>
      <c r="M446" s="179"/>
      <c r="N446" s="33"/>
      <c r="O446" s="33"/>
    </row>
    <row r="447" spans="1:40" x14ac:dyDescent="0.3">
      <c r="A447" s="192"/>
      <c r="B447" s="136" t="s">
        <v>4419</v>
      </c>
      <c r="C447" s="138" t="s">
        <v>429</v>
      </c>
      <c r="D447" s="251"/>
      <c r="E447" s="45" t="s">
        <v>2987</v>
      </c>
      <c r="F447" s="45"/>
      <c r="G447" s="24"/>
      <c r="H447" s="33"/>
      <c r="I447" s="33" t="e">
        <v>#N/A</v>
      </c>
      <c r="J447" s="177"/>
      <c r="K447" s="179"/>
      <c r="L447" s="179"/>
      <c r="M447" s="179"/>
      <c r="N447" s="33"/>
      <c r="O447" s="33"/>
    </row>
    <row r="448" spans="1:40" x14ac:dyDescent="0.3">
      <c r="A448" s="192"/>
      <c r="B448" s="136" t="s">
        <v>4419</v>
      </c>
      <c r="C448" s="138" t="s">
        <v>429</v>
      </c>
      <c r="D448" s="251"/>
      <c r="E448" s="45" t="s">
        <v>2987</v>
      </c>
      <c r="F448" s="45"/>
      <c r="G448" s="24"/>
      <c r="H448" s="33"/>
      <c r="I448" s="33" t="e">
        <v>#N/A</v>
      </c>
      <c r="J448" s="177"/>
      <c r="K448" s="179"/>
      <c r="L448" s="179"/>
      <c r="M448" s="179"/>
      <c r="N448" s="33"/>
      <c r="O448" s="33"/>
    </row>
    <row r="449" spans="1:40" s="132" customFormat="1" x14ac:dyDescent="0.3">
      <c r="A449" s="128"/>
      <c r="B449" s="128"/>
      <c r="C449" s="129"/>
      <c r="D449" s="130"/>
      <c r="E449" s="131"/>
      <c r="F449" s="131"/>
      <c r="H449" s="115"/>
      <c r="I449" s="133"/>
      <c r="J449" s="186"/>
      <c r="K449" s="190"/>
      <c r="L449" s="190"/>
      <c r="M449" s="190"/>
      <c r="N449" s="133"/>
      <c r="O449" s="133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/>
      <c r="AK449" s="24"/>
      <c r="AL449" s="24"/>
      <c r="AM449" s="24"/>
      <c r="AN449" s="24"/>
    </row>
    <row r="450" spans="1:40" s="116" customFormat="1" x14ac:dyDescent="0.3">
      <c r="A450" s="155" t="s">
        <v>3273</v>
      </c>
      <c r="B450" s="192" t="s">
        <v>4341</v>
      </c>
      <c r="C450" s="274" t="s">
        <v>3275</v>
      </c>
      <c r="D450" s="151" t="s">
        <v>3133</v>
      </c>
      <c r="E450" s="150"/>
      <c r="F450" s="150"/>
      <c r="G450" s="275"/>
      <c r="H450" s="151" t="s">
        <v>4461</v>
      </c>
      <c r="I450" s="40" t="s">
        <v>4462</v>
      </c>
      <c r="J450" s="175" t="s">
        <v>4584</v>
      </c>
      <c r="K450" s="191">
        <v>1</v>
      </c>
      <c r="L450" s="125" t="s">
        <v>4667</v>
      </c>
      <c r="M450" s="125" t="s">
        <v>4661</v>
      </c>
      <c r="N450" s="125">
        <v>22</v>
      </c>
      <c r="O450" s="151" t="s">
        <v>4604</v>
      </c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24"/>
    </row>
    <row r="451" spans="1:40" ht="15" customHeight="1" x14ac:dyDescent="0.3">
      <c r="A451" s="155" t="s">
        <v>3274</v>
      </c>
      <c r="B451" s="192" t="s">
        <v>4341</v>
      </c>
      <c r="C451" s="274" t="s">
        <v>3275</v>
      </c>
      <c r="D451" s="151" t="s">
        <v>3133</v>
      </c>
      <c r="E451" s="150"/>
      <c r="F451" s="150"/>
      <c r="G451" s="275"/>
      <c r="H451" s="151" t="s">
        <v>4461</v>
      </c>
      <c r="I451" s="40" t="s">
        <v>4462</v>
      </c>
      <c r="J451" s="175" t="s">
        <v>4584</v>
      </c>
      <c r="K451" s="191">
        <v>2</v>
      </c>
      <c r="L451" s="125" t="s">
        <v>4667</v>
      </c>
      <c r="M451" s="125" t="s">
        <v>4661</v>
      </c>
      <c r="N451" s="125">
        <v>22</v>
      </c>
      <c r="O451" s="151" t="s">
        <v>4604</v>
      </c>
    </row>
    <row r="452" spans="1:40" ht="15" customHeight="1" x14ac:dyDescent="0.3">
      <c r="A452" s="155" t="s">
        <v>3276</v>
      </c>
      <c r="B452" s="192" t="s">
        <v>4342</v>
      </c>
      <c r="C452" s="155" t="s">
        <v>3278</v>
      </c>
      <c r="D452" s="151" t="s">
        <v>3133</v>
      </c>
      <c r="E452" s="150"/>
      <c r="F452" s="150"/>
      <c r="G452" s="275"/>
      <c r="H452" s="151" t="s">
        <v>4465</v>
      </c>
      <c r="I452" s="40" t="s">
        <v>4462</v>
      </c>
      <c r="J452" s="175" t="s">
        <v>4599</v>
      </c>
      <c r="K452" s="191">
        <v>1</v>
      </c>
      <c r="L452" s="125" t="s">
        <v>4677</v>
      </c>
      <c r="M452" s="125" t="s">
        <v>4661</v>
      </c>
      <c r="N452" s="125">
        <v>22</v>
      </c>
      <c r="O452" s="151" t="s">
        <v>4604</v>
      </c>
    </row>
    <row r="453" spans="1:40" ht="15" customHeight="1" x14ac:dyDescent="0.3">
      <c r="A453" s="155" t="s">
        <v>3277</v>
      </c>
      <c r="B453" s="192" t="s">
        <v>4342</v>
      </c>
      <c r="C453" s="155" t="s">
        <v>3278</v>
      </c>
      <c r="D453" s="151" t="s">
        <v>3133</v>
      </c>
      <c r="E453" s="150"/>
      <c r="F453" s="150"/>
      <c r="G453" s="275"/>
      <c r="H453" s="151" t="s">
        <v>4465</v>
      </c>
      <c r="I453" s="40" t="s">
        <v>4462</v>
      </c>
      <c r="J453" s="175" t="s">
        <v>4599</v>
      </c>
      <c r="K453" s="191">
        <v>2</v>
      </c>
      <c r="L453" s="125" t="s">
        <v>4677</v>
      </c>
      <c r="M453" s="125" t="s">
        <v>4661</v>
      </c>
      <c r="N453" s="125">
        <v>22</v>
      </c>
      <c r="O453" s="151" t="s">
        <v>4604</v>
      </c>
    </row>
    <row r="454" spans="1:40" ht="15" customHeight="1" x14ac:dyDescent="0.3">
      <c r="A454" s="155" t="s">
        <v>3279</v>
      </c>
      <c r="B454" s="120" t="s">
        <v>4343</v>
      </c>
      <c r="C454" s="155" t="s">
        <v>3281</v>
      </c>
      <c r="D454" s="151" t="s">
        <v>3133</v>
      </c>
      <c r="E454" s="150"/>
      <c r="F454" s="150"/>
      <c r="G454" s="275"/>
      <c r="H454" s="151" t="s">
        <v>4467</v>
      </c>
      <c r="I454" s="40" t="s">
        <v>4463</v>
      </c>
      <c r="J454" s="175" t="s">
        <v>4610</v>
      </c>
      <c r="K454" s="191">
        <v>1</v>
      </c>
      <c r="L454" s="125" t="s">
        <v>4688</v>
      </c>
      <c r="M454" s="125" t="s">
        <v>4661</v>
      </c>
      <c r="N454" s="125">
        <v>22</v>
      </c>
      <c r="O454" s="40" t="s">
        <v>4604</v>
      </c>
    </row>
    <row r="455" spans="1:40" ht="15" customHeight="1" x14ac:dyDescent="0.3">
      <c r="A455" s="155" t="s">
        <v>3280</v>
      </c>
      <c r="B455" s="120" t="s">
        <v>4343</v>
      </c>
      <c r="C455" s="155" t="s">
        <v>3281</v>
      </c>
      <c r="D455" s="151" t="s">
        <v>3133</v>
      </c>
      <c r="E455" s="150"/>
      <c r="F455" s="150"/>
      <c r="G455" s="275"/>
      <c r="H455" s="151" t="s">
        <v>4466</v>
      </c>
      <c r="I455" s="40" t="s">
        <v>4463</v>
      </c>
      <c r="J455" s="175" t="s">
        <v>4610</v>
      </c>
      <c r="K455" s="191">
        <v>2</v>
      </c>
      <c r="L455" s="125" t="s">
        <v>4688</v>
      </c>
      <c r="M455" s="125" t="s">
        <v>4661</v>
      </c>
      <c r="N455" s="125">
        <v>22</v>
      </c>
      <c r="O455" s="40" t="s">
        <v>4604</v>
      </c>
    </row>
    <row r="456" spans="1:40" ht="15" customHeight="1" x14ac:dyDescent="0.3">
      <c r="A456" s="155" t="s">
        <v>3282</v>
      </c>
      <c r="B456" s="120" t="s">
        <v>4161</v>
      </c>
      <c r="C456" s="155" t="s">
        <v>4434</v>
      </c>
      <c r="D456" s="151" t="s">
        <v>3133</v>
      </c>
      <c r="E456" s="150"/>
      <c r="F456" s="150"/>
      <c r="G456" s="275"/>
      <c r="H456" s="151" t="s">
        <v>4468</v>
      </c>
      <c r="I456" s="40" t="s">
        <v>4462</v>
      </c>
      <c r="J456" s="277" t="s">
        <v>4584</v>
      </c>
      <c r="K456" s="191">
        <v>1</v>
      </c>
      <c r="L456" s="125" t="s">
        <v>4692</v>
      </c>
      <c r="M456" s="125" t="s">
        <v>4669</v>
      </c>
      <c r="N456" s="125">
        <v>15</v>
      </c>
      <c r="O456" s="180" t="s">
        <v>4604</v>
      </c>
    </row>
    <row r="457" spans="1:40" s="116" customFormat="1" ht="15" customHeight="1" x14ac:dyDescent="0.3">
      <c r="A457" s="155" t="s">
        <v>3283</v>
      </c>
      <c r="B457" s="120" t="s">
        <v>4471</v>
      </c>
      <c r="C457" s="276" t="s">
        <v>4435</v>
      </c>
      <c r="D457" s="151"/>
      <c r="E457" s="150"/>
      <c r="F457" s="150"/>
      <c r="G457" s="275"/>
      <c r="H457" s="151" t="s">
        <v>4473</v>
      </c>
      <c r="I457" s="40" t="s">
        <v>4462</v>
      </c>
      <c r="J457" s="175" t="s">
        <v>4599</v>
      </c>
      <c r="K457" s="191">
        <v>1</v>
      </c>
      <c r="L457" s="125" t="s">
        <v>4695</v>
      </c>
      <c r="M457" s="125" t="s">
        <v>4669</v>
      </c>
      <c r="N457" s="125">
        <v>15</v>
      </c>
      <c r="O457" s="45" t="s">
        <v>4604</v>
      </c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</row>
    <row r="458" spans="1:40" s="116" customFormat="1" ht="15" customHeight="1" x14ac:dyDescent="0.3">
      <c r="A458" s="155" t="s">
        <v>4174</v>
      </c>
      <c r="B458" s="120" t="s">
        <v>4172</v>
      </c>
      <c r="C458" s="276" t="s">
        <v>4437</v>
      </c>
      <c r="D458" s="151"/>
      <c r="E458" s="150"/>
      <c r="F458" s="150"/>
      <c r="G458" s="275"/>
      <c r="H458" s="151" t="s">
        <v>4474</v>
      </c>
      <c r="I458" s="40" t="s">
        <v>4463</v>
      </c>
      <c r="J458" s="184" t="s">
        <v>4480</v>
      </c>
      <c r="K458" s="189" t="s">
        <v>4480</v>
      </c>
      <c r="L458" s="125" t="s">
        <v>4696</v>
      </c>
      <c r="M458" s="125" t="s">
        <v>4697</v>
      </c>
      <c r="N458" s="125">
        <v>11</v>
      </c>
      <c r="O458" s="137" t="s">
        <v>4480</v>
      </c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</row>
    <row r="459" spans="1:40" s="116" customFormat="1" ht="15" customHeight="1" x14ac:dyDescent="0.3">
      <c r="A459" s="155" t="s">
        <v>4436</v>
      </c>
      <c r="B459" s="120" t="s">
        <v>4475</v>
      </c>
      <c r="C459" s="276" t="s">
        <v>4438</v>
      </c>
      <c r="D459" s="151"/>
      <c r="E459" s="150"/>
      <c r="F459" s="150"/>
      <c r="G459" s="275"/>
      <c r="H459" s="151" t="s">
        <v>4476</v>
      </c>
      <c r="I459" s="40" t="s">
        <v>4463</v>
      </c>
      <c r="J459" s="184" t="s">
        <v>4480</v>
      </c>
      <c r="K459" s="189" t="s">
        <v>4480</v>
      </c>
      <c r="L459" s="125" t="s">
        <v>4698</v>
      </c>
      <c r="M459" s="125" t="s">
        <v>4697</v>
      </c>
      <c r="N459" s="125">
        <v>11</v>
      </c>
      <c r="O459" s="137" t="s">
        <v>4480</v>
      </c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</row>
    <row r="460" spans="1:40" s="116" customFormat="1" ht="15" customHeight="1" x14ac:dyDescent="0.3">
      <c r="A460" s="155" t="s">
        <v>4439</v>
      </c>
      <c r="B460" s="120" t="s">
        <v>4173</v>
      </c>
      <c r="C460" s="276" t="s">
        <v>4440</v>
      </c>
      <c r="D460" s="151"/>
      <c r="E460" s="45" t="s">
        <v>2986</v>
      </c>
      <c r="F460" s="150"/>
      <c r="G460" s="275"/>
      <c r="H460" s="33" t="s">
        <v>4477</v>
      </c>
      <c r="I460" s="33" t="s">
        <v>4470</v>
      </c>
      <c r="J460" s="185" t="s">
        <v>4480</v>
      </c>
      <c r="K460" s="143" t="s">
        <v>4480</v>
      </c>
      <c r="L460" s="197" t="s">
        <v>4699</v>
      </c>
      <c r="M460" s="197" t="s">
        <v>4697</v>
      </c>
      <c r="N460" s="199">
        <v>11</v>
      </c>
      <c r="O460" s="145" t="s">
        <v>4480</v>
      </c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</row>
    <row r="461" spans="1:40" s="116" customFormat="1" ht="15" customHeight="1" x14ac:dyDescent="0.3">
      <c r="A461" s="155" t="s">
        <v>4441</v>
      </c>
      <c r="B461" s="120" t="s">
        <v>4178</v>
      </c>
      <c r="C461" s="276" t="s">
        <v>4442</v>
      </c>
      <c r="D461" s="151"/>
      <c r="E461" s="45" t="s">
        <v>2986</v>
      </c>
      <c r="F461" s="150"/>
      <c r="G461" s="275"/>
      <c r="H461" s="33" t="s">
        <v>4481</v>
      </c>
      <c r="I461" s="33" t="s">
        <v>4470</v>
      </c>
      <c r="J461" s="185" t="s">
        <v>4480</v>
      </c>
      <c r="K461" s="143" t="s">
        <v>4480</v>
      </c>
      <c r="L461" s="197" t="s">
        <v>4704</v>
      </c>
      <c r="M461" s="197" t="s">
        <v>4697</v>
      </c>
      <c r="N461" s="199">
        <v>11</v>
      </c>
      <c r="O461" s="145" t="s">
        <v>4480</v>
      </c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</row>
    <row r="462" spans="1:40" s="116" customFormat="1" ht="15" customHeight="1" x14ac:dyDescent="0.3">
      <c r="A462" s="155" t="s">
        <v>4443</v>
      </c>
      <c r="B462" s="120" t="s">
        <v>4184</v>
      </c>
      <c r="C462" s="276" t="s">
        <v>4444</v>
      </c>
      <c r="D462" s="151"/>
      <c r="E462" s="45" t="s">
        <v>2986</v>
      </c>
      <c r="F462" s="150"/>
      <c r="G462" s="275"/>
      <c r="H462" s="33" t="s">
        <v>4487</v>
      </c>
      <c r="I462" s="137" t="s">
        <v>4480</v>
      </c>
      <c r="J462" s="137" t="s">
        <v>4480</v>
      </c>
      <c r="K462" s="189" t="s">
        <v>4480</v>
      </c>
      <c r="L462" s="197" t="s">
        <v>4716</v>
      </c>
      <c r="M462" s="197" t="s">
        <v>4697</v>
      </c>
      <c r="N462" s="199">
        <v>11</v>
      </c>
      <c r="O462" s="137" t="s">
        <v>4480</v>
      </c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</row>
    <row r="463" spans="1:40" s="116" customFormat="1" ht="15" customHeight="1" x14ac:dyDescent="0.3">
      <c r="A463" s="155" t="s">
        <v>4344</v>
      </c>
      <c r="B463" s="120" t="s">
        <v>4189</v>
      </c>
      <c r="C463" s="276" t="s">
        <v>4345</v>
      </c>
      <c r="D463" s="151"/>
      <c r="E463" s="45" t="s">
        <v>2986</v>
      </c>
      <c r="F463" s="150"/>
      <c r="G463" s="275"/>
      <c r="H463" s="33" t="s">
        <v>4492</v>
      </c>
      <c r="I463" s="31" t="s">
        <v>4470</v>
      </c>
      <c r="J463" s="137" t="s">
        <v>4480</v>
      </c>
      <c r="K463" s="137" t="s">
        <v>4480</v>
      </c>
      <c r="L463" s="197" t="s">
        <v>4725</v>
      </c>
      <c r="M463" s="197" t="s">
        <v>4697</v>
      </c>
      <c r="N463" s="199">
        <v>11</v>
      </c>
      <c r="O463" s="137" t="s">
        <v>4480</v>
      </c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</row>
    <row r="464" spans="1:40" s="116" customFormat="1" ht="15" customHeight="1" x14ac:dyDescent="0.3">
      <c r="A464" s="155" t="s">
        <v>4324</v>
      </c>
      <c r="B464" s="120" t="s">
        <v>4195</v>
      </c>
      <c r="C464" s="276" t="s">
        <v>4347</v>
      </c>
      <c r="D464" s="151"/>
      <c r="E464" s="45" t="s">
        <v>2986</v>
      </c>
      <c r="F464" s="150"/>
      <c r="G464" s="275"/>
      <c r="H464" s="33" t="s">
        <v>4496</v>
      </c>
      <c r="I464" s="31" t="s">
        <v>4470</v>
      </c>
      <c r="J464" s="137" t="s">
        <v>4480</v>
      </c>
      <c r="K464" s="137" t="s">
        <v>4480</v>
      </c>
      <c r="L464" s="197" t="s">
        <v>4734</v>
      </c>
      <c r="M464" s="197" t="s">
        <v>4697</v>
      </c>
      <c r="N464" s="199">
        <v>11</v>
      </c>
      <c r="O464" s="137" t="s">
        <v>4480</v>
      </c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</row>
    <row r="465" spans="1:40" s="116" customFormat="1" ht="15" customHeight="1" x14ac:dyDescent="0.3">
      <c r="A465" s="155" t="s">
        <v>4350</v>
      </c>
      <c r="B465" s="120" t="s">
        <v>4197</v>
      </c>
      <c r="C465" s="276" t="s">
        <v>4351</v>
      </c>
      <c r="D465" s="151"/>
      <c r="E465" s="150"/>
      <c r="F465" s="150"/>
      <c r="G465" s="275"/>
      <c r="H465" s="33" t="s">
        <v>4500</v>
      </c>
      <c r="I465" s="31" t="s">
        <v>4470</v>
      </c>
      <c r="J465" s="137" t="s">
        <v>4480</v>
      </c>
      <c r="K465" s="137" t="s">
        <v>4480</v>
      </c>
      <c r="L465" s="197" t="s">
        <v>4743</v>
      </c>
      <c r="M465" s="197" t="s">
        <v>4697</v>
      </c>
      <c r="N465" s="199">
        <v>11</v>
      </c>
      <c r="O465" s="137" t="s">
        <v>4480</v>
      </c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</row>
    <row r="466" spans="1:40" s="116" customFormat="1" ht="15" customHeight="1" x14ac:dyDescent="0.3">
      <c r="A466" s="155" t="s">
        <v>4352</v>
      </c>
      <c r="B466" s="120" t="s">
        <v>4203</v>
      </c>
      <c r="C466" s="276" t="s">
        <v>4353</v>
      </c>
      <c r="D466" s="151"/>
      <c r="E466" s="150"/>
      <c r="F466" s="150"/>
      <c r="G466" s="275"/>
      <c r="H466" s="33" t="s">
        <v>4504</v>
      </c>
      <c r="I466" s="31" t="s">
        <v>4470</v>
      </c>
      <c r="J466" s="137" t="s">
        <v>4480</v>
      </c>
      <c r="K466" s="137" t="s">
        <v>4480</v>
      </c>
      <c r="L466" s="197" t="s">
        <v>4752</v>
      </c>
      <c r="M466" s="197" t="s">
        <v>4697</v>
      </c>
      <c r="N466" s="199">
        <v>11</v>
      </c>
      <c r="O466" s="137" t="s">
        <v>4480</v>
      </c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</row>
    <row r="467" spans="1:40" s="116" customFormat="1" ht="15" customHeight="1" x14ac:dyDescent="0.3">
      <c r="A467" s="155" t="s">
        <v>4354</v>
      </c>
      <c r="B467" s="120" t="s">
        <v>4327</v>
      </c>
      <c r="C467" s="276" t="s">
        <v>4355</v>
      </c>
      <c r="D467" s="151"/>
      <c r="E467" s="150"/>
      <c r="F467" s="150"/>
      <c r="G467" s="275"/>
      <c r="H467" s="33" t="s">
        <v>4508</v>
      </c>
      <c r="I467" s="31" t="s">
        <v>4470</v>
      </c>
      <c r="J467" s="137" t="s">
        <v>4480</v>
      </c>
      <c r="K467" s="137" t="s">
        <v>4480</v>
      </c>
      <c r="L467" s="197" t="s">
        <v>4761</v>
      </c>
      <c r="M467" s="197" t="s">
        <v>4697</v>
      </c>
      <c r="N467" s="199">
        <v>11</v>
      </c>
      <c r="O467" s="137" t="s">
        <v>4480</v>
      </c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</row>
    <row r="468" spans="1:40" s="116" customFormat="1" ht="15" customHeight="1" x14ac:dyDescent="0.3">
      <c r="A468" s="155" t="s">
        <v>4356</v>
      </c>
      <c r="B468" s="120" t="s">
        <v>4328</v>
      </c>
      <c r="C468" s="276" t="s">
        <v>4510</v>
      </c>
      <c r="D468" s="151"/>
      <c r="E468" s="150"/>
      <c r="F468" s="150"/>
      <c r="G468" s="275"/>
      <c r="H468" s="33" t="s">
        <v>4511</v>
      </c>
      <c r="I468" s="98" t="s">
        <v>4470</v>
      </c>
      <c r="J468" s="137" t="s">
        <v>4480</v>
      </c>
      <c r="K468" s="137" t="s">
        <v>4480</v>
      </c>
      <c r="L468" s="125" t="s">
        <v>4764</v>
      </c>
      <c r="M468" s="125" t="s">
        <v>4669</v>
      </c>
      <c r="N468" s="125">
        <v>14</v>
      </c>
      <c r="O468" s="137" t="s">
        <v>4480</v>
      </c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</row>
    <row r="469" spans="1:40" s="116" customFormat="1" ht="15" customHeight="1" x14ac:dyDescent="0.3">
      <c r="A469" s="155" t="s">
        <v>4509</v>
      </c>
      <c r="B469" s="120" t="s">
        <v>4328</v>
      </c>
      <c r="C469" s="276" t="s">
        <v>4510</v>
      </c>
      <c r="D469" s="151"/>
      <c r="E469" s="150"/>
      <c r="F469" s="150"/>
      <c r="G469" s="275"/>
      <c r="H469" s="33" t="s">
        <v>4511</v>
      </c>
      <c r="I469" s="98" t="s">
        <v>4470</v>
      </c>
      <c r="J469" s="137" t="s">
        <v>4480</v>
      </c>
      <c r="K469" s="137" t="s">
        <v>4480</v>
      </c>
      <c r="L469" s="125" t="s">
        <v>4764</v>
      </c>
      <c r="M469" s="125" t="s">
        <v>4669</v>
      </c>
      <c r="N469" s="125">
        <v>14</v>
      </c>
      <c r="O469" s="137" t="s">
        <v>4480</v>
      </c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</row>
    <row r="470" spans="1:40" s="116" customFormat="1" ht="15" customHeight="1" x14ac:dyDescent="0.3">
      <c r="A470" s="155" t="s">
        <v>4357</v>
      </c>
      <c r="B470" s="120" t="s">
        <v>4329</v>
      </c>
      <c r="C470" s="276" t="s">
        <v>4376</v>
      </c>
      <c r="D470" s="151"/>
      <c r="E470" s="150"/>
      <c r="F470" s="150"/>
      <c r="G470" s="275"/>
      <c r="H470" s="33" t="s">
        <v>4512</v>
      </c>
      <c r="I470" s="137" t="s">
        <v>4480</v>
      </c>
      <c r="J470" s="137" t="s">
        <v>4480</v>
      </c>
      <c r="K470" s="137" t="s">
        <v>4480</v>
      </c>
      <c r="L470" s="200" t="s">
        <v>4765</v>
      </c>
      <c r="M470" s="200" t="s">
        <v>4697</v>
      </c>
      <c r="N470" s="200">
        <v>11</v>
      </c>
      <c r="O470" s="137" t="s">
        <v>4480</v>
      </c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</row>
    <row r="471" spans="1:40" s="116" customFormat="1" ht="15" customHeight="1" x14ac:dyDescent="0.3">
      <c r="A471" s="155" t="s">
        <v>4331</v>
      </c>
      <c r="B471" s="120" t="s">
        <v>4330</v>
      </c>
      <c r="C471" s="276" t="s">
        <v>4377</v>
      </c>
      <c r="D471" s="151"/>
      <c r="E471" s="150"/>
      <c r="F471" s="150"/>
      <c r="G471" s="275"/>
      <c r="H471" s="33" t="s">
        <v>4513</v>
      </c>
      <c r="I471" s="137" t="s">
        <v>4480</v>
      </c>
      <c r="J471" s="137" t="s">
        <v>4480</v>
      </c>
      <c r="K471" s="137" t="s">
        <v>4480</v>
      </c>
      <c r="L471" s="200" t="s">
        <v>4766</v>
      </c>
      <c r="M471" s="200" t="s">
        <v>4697</v>
      </c>
      <c r="N471" s="200">
        <v>11</v>
      </c>
      <c r="O471" s="137" t="s">
        <v>4480</v>
      </c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</row>
    <row r="472" spans="1:40" s="116" customFormat="1" ht="15" customHeight="1" x14ac:dyDescent="0.3">
      <c r="A472" s="155" t="s">
        <v>4383</v>
      </c>
      <c r="B472" s="120" t="s">
        <v>4379</v>
      </c>
      <c r="C472" s="276" t="s">
        <v>4384</v>
      </c>
      <c r="D472" s="151"/>
      <c r="E472" s="150"/>
      <c r="F472" s="150"/>
      <c r="G472" s="275"/>
      <c r="H472" s="33" t="s">
        <v>4525</v>
      </c>
      <c r="I472" s="143" t="s">
        <v>4480</v>
      </c>
      <c r="J472" s="143" t="s">
        <v>4480</v>
      </c>
      <c r="K472" s="143" t="s">
        <v>4480</v>
      </c>
      <c r="L472" s="197" t="s">
        <v>4809</v>
      </c>
      <c r="M472" s="197" t="s">
        <v>4697</v>
      </c>
      <c r="N472" s="199">
        <v>11</v>
      </c>
      <c r="O472" s="143" t="s">
        <v>4480</v>
      </c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</row>
    <row r="473" spans="1:40" s="116" customFormat="1" ht="15" customHeight="1" x14ac:dyDescent="0.3">
      <c r="A473" s="155" t="s">
        <v>4399</v>
      </c>
      <c r="B473" s="120" t="s">
        <v>4398</v>
      </c>
      <c r="C473" s="276" t="s">
        <v>4400</v>
      </c>
      <c r="D473" s="151"/>
      <c r="E473" s="150"/>
      <c r="F473" s="150"/>
      <c r="G473" s="275"/>
      <c r="H473" s="98" t="s">
        <v>4540</v>
      </c>
      <c r="I473" s="98" t="s">
        <v>4529</v>
      </c>
      <c r="J473" s="193" t="s">
        <v>4480</v>
      </c>
      <c r="K473" s="193" t="s">
        <v>4480</v>
      </c>
      <c r="L473" s="197" t="s">
        <v>4823</v>
      </c>
      <c r="M473" s="197" t="s">
        <v>4669</v>
      </c>
      <c r="N473" s="199">
        <v>16</v>
      </c>
      <c r="O473" s="193" t="s">
        <v>4480</v>
      </c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</row>
    <row r="474" spans="1:40" s="116" customFormat="1" ht="15" customHeight="1" x14ac:dyDescent="0.3">
      <c r="A474" s="155" t="s">
        <v>4545</v>
      </c>
      <c r="B474" s="120" t="s">
        <v>4402</v>
      </c>
      <c r="C474" s="276" t="s">
        <v>4546</v>
      </c>
      <c r="D474" s="151"/>
      <c r="E474" s="150"/>
      <c r="F474" s="150"/>
      <c r="G474" s="275"/>
      <c r="H474" s="98" t="s">
        <v>4542</v>
      </c>
      <c r="I474" s="137" t="s">
        <v>4480</v>
      </c>
      <c r="J474" s="137" t="s">
        <v>4480</v>
      </c>
      <c r="K474" s="137" t="s">
        <v>4480</v>
      </c>
      <c r="L474" s="125" t="s">
        <v>4832</v>
      </c>
      <c r="M474" s="125" t="s">
        <v>4661</v>
      </c>
      <c r="N474" s="125">
        <v>21</v>
      </c>
      <c r="O474" s="137" t="s">
        <v>4480</v>
      </c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</row>
    <row r="475" spans="1:40" ht="15" customHeight="1" x14ac:dyDescent="0.3">
      <c r="A475" s="155" t="s">
        <v>4445</v>
      </c>
      <c r="B475" s="120" t="s">
        <v>4401</v>
      </c>
      <c r="C475" s="276" t="s">
        <v>4446</v>
      </c>
      <c r="D475" s="151"/>
      <c r="E475" s="150"/>
      <c r="F475" s="150"/>
      <c r="G475" s="275"/>
      <c r="H475" s="98" t="s">
        <v>4541</v>
      </c>
      <c r="I475" s="114" t="s">
        <v>4480</v>
      </c>
      <c r="J475" s="114" t="s">
        <v>4480</v>
      </c>
      <c r="K475" s="114" t="s">
        <v>4480</v>
      </c>
      <c r="L475" s="197" t="s">
        <v>4828</v>
      </c>
      <c r="M475" s="197" t="s">
        <v>4690</v>
      </c>
      <c r="N475" s="199">
        <v>6</v>
      </c>
      <c r="O475" s="114" t="s">
        <v>4480</v>
      </c>
    </row>
    <row r="476" spans="1:40" ht="15" customHeight="1" x14ac:dyDescent="0.3">
      <c r="A476" s="155" t="s">
        <v>4547</v>
      </c>
      <c r="B476" s="120" t="s">
        <v>4403</v>
      </c>
      <c r="C476" s="276" t="s">
        <v>4548</v>
      </c>
      <c r="D476" s="151"/>
      <c r="E476" s="150"/>
      <c r="F476" s="150"/>
      <c r="G476" s="275"/>
      <c r="H476" s="98" t="s">
        <v>4543</v>
      </c>
      <c r="I476" s="137" t="s">
        <v>4480</v>
      </c>
      <c r="J476" s="137" t="s">
        <v>4480</v>
      </c>
      <c r="K476" s="137" t="s">
        <v>4480</v>
      </c>
      <c r="L476" s="125" t="s">
        <v>4834</v>
      </c>
      <c r="M476" s="125" t="s">
        <v>4661</v>
      </c>
      <c r="N476" s="125">
        <v>21</v>
      </c>
      <c r="O476" s="137" t="s">
        <v>4480</v>
      </c>
    </row>
    <row r="477" spans="1:40" ht="15" customHeight="1" x14ac:dyDescent="0.3">
      <c r="A477" s="155" t="s">
        <v>4567</v>
      </c>
      <c r="B477" s="120" t="s">
        <v>4559</v>
      </c>
      <c r="C477" s="276" t="s">
        <v>4568</v>
      </c>
      <c r="D477" s="151"/>
      <c r="E477" s="150"/>
      <c r="F477" s="150"/>
      <c r="G477" s="275"/>
      <c r="H477" s="98" t="s">
        <v>4565</v>
      </c>
      <c r="I477" s="137" t="s">
        <v>4480</v>
      </c>
      <c r="J477" s="137" t="s">
        <v>4480</v>
      </c>
      <c r="K477" s="137" t="s">
        <v>4480</v>
      </c>
      <c r="L477" s="197" t="s">
        <v>4861</v>
      </c>
      <c r="M477" s="197" t="s">
        <v>4669</v>
      </c>
      <c r="N477" s="199">
        <v>15</v>
      </c>
      <c r="O477" s="137" t="s">
        <v>4480</v>
      </c>
    </row>
    <row r="478" spans="1:40" ht="15" customHeight="1" x14ac:dyDescent="0.3">
      <c r="A478" s="155" t="s">
        <v>4569</v>
      </c>
      <c r="B478" s="120" t="s">
        <v>4560</v>
      </c>
      <c r="C478" s="276" t="s">
        <v>4570</v>
      </c>
      <c r="D478" s="151"/>
      <c r="E478" s="150"/>
      <c r="F478" s="150"/>
      <c r="G478" s="275"/>
      <c r="H478" s="98" t="s">
        <v>4566</v>
      </c>
      <c r="I478" s="137" t="s">
        <v>4480</v>
      </c>
      <c r="J478" s="137" t="s">
        <v>4480</v>
      </c>
      <c r="K478" s="137" t="s">
        <v>4480</v>
      </c>
      <c r="L478" s="197" t="s">
        <v>4862</v>
      </c>
      <c r="M478" s="197" t="s">
        <v>4669</v>
      </c>
      <c r="N478" s="199">
        <v>15</v>
      </c>
      <c r="O478" s="137" t="s">
        <v>4480</v>
      </c>
    </row>
    <row r="479" spans="1:40" ht="15" customHeight="1" x14ac:dyDescent="0.3">
      <c r="A479" s="280" t="s">
        <v>4429</v>
      </c>
      <c r="B479" s="135" t="s">
        <v>4346</v>
      </c>
      <c r="C479" s="140" t="s">
        <v>4427</v>
      </c>
      <c r="D479" s="151"/>
      <c r="E479" s="150"/>
      <c r="F479" s="150"/>
      <c r="G479" s="275"/>
      <c r="H479" s="33"/>
      <c r="I479" s="151"/>
      <c r="J479" s="278"/>
      <c r="K479" s="279"/>
      <c r="L479" s="279"/>
      <c r="M479" s="279"/>
      <c r="N479" s="151"/>
      <c r="O479" s="151"/>
    </row>
    <row r="480" spans="1:40" ht="15" customHeight="1" x14ac:dyDescent="0.3">
      <c r="A480" s="281" t="s">
        <v>4433</v>
      </c>
      <c r="B480" s="135" t="s">
        <v>4346</v>
      </c>
      <c r="C480" s="139" t="s">
        <v>4428</v>
      </c>
      <c r="D480" s="151"/>
      <c r="E480" s="150"/>
      <c r="F480" s="150"/>
      <c r="G480" s="275"/>
      <c r="H480" s="33"/>
      <c r="I480" s="151"/>
      <c r="J480" s="278"/>
      <c r="K480" s="279"/>
      <c r="L480" s="279"/>
      <c r="M480" s="279"/>
      <c r="N480" s="151"/>
      <c r="O480" s="151"/>
    </row>
    <row r="481" spans="1:15" ht="15" customHeight="1" x14ac:dyDescent="0.3">
      <c r="A481" s="280" t="s">
        <v>3287</v>
      </c>
      <c r="B481" s="135" t="s">
        <v>4346</v>
      </c>
      <c r="C481" s="140" t="s">
        <v>4431</v>
      </c>
      <c r="D481" s="151"/>
      <c r="E481" s="150"/>
      <c r="F481" s="150"/>
      <c r="G481" s="275"/>
      <c r="H481" s="33"/>
      <c r="I481" s="151"/>
      <c r="J481" s="278"/>
      <c r="K481" s="279"/>
      <c r="L481" s="279"/>
      <c r="M481" s="279"/>
      <c r="N481" s="151"/>
      <c r="O481" s="151"/>
    </row>
    <row r="482" spans="1:15" ht="15" customHeight="1" x14ac:dyDescent="0.3">
      <c r="A482" s="281" t="s">
        <v>3288</v>
      </c>
      <c r="B482" s="135" t="s">
        <v>4346</v>
      </c>
      <c r="C482" s="139" t="s">
        <v>4432</v>
      </c>
      <c r="D482" s="151"/>
      <c r="E482" s="150"/>
      <c r="F482" s="150"/>
      <c r="G482" s="275"/>
      <c r="H482" s="33"/>
      <c r="I482" s="151"/>
      <c r="J482" s="278"/>
      <c r="K482" s="279"/>
      <c r="L482" s="279"/>
      <c r="M482" s="279"/>
      <c r="N482" s="151"/>
      <c r="O482" s="151"/>
    </row>
    <row r="483" spans="1:15" s="24" customFormat="1" ht="15" customHeight="1" x14ac:dyDescent="0.3">
      <c r="A483" s="155"/>
      <c r="B483" s="120"/>
      <c r="C483" s="276"/>
      <c r="D483" s="151"/>
      <c r="E483" s="150"/>
      <c r="F483" s="150"/>
      <c r="G483" s="275"/>
      <c r="H483" s="33"/>
      <c r="I483" s="151"/>
      <c r="J483" s="278"/>
      <c r="K483" s="279"/>
      <c r="L483" s="279"/>
      <c r="M483" s="279"/>
      <c r="N483" s="151"/>
      <c r="O483" s="151"/>
    </row>
    <row r="484" spans="1:15" s="24" customFormat="1" x14ac:dyDescent="0.3">
      <c r="A484" s="158"/>
      <c r="B484" s="158"/>
      <c r="C484" s="282"/>
      <c r="D484" s="251"/>
      <c r="E484" s="251"/>
      <c r="F484" s="251"/>
      <c r="H484" s="153"/>
      <c r="I484" s="153"/>
      <c r="J484" s="194"/>
      <c r="K484" s="195"/>
      <c r="L484" s="195"/>
      <c r="M484" s="195"/>
      <c r="N484" s="153"/>
      <c r="O484" s="153"/>
    </row>
    <row r="485" spans="1:15" s="24" customFormat="1" x14ac:dyDescent="0.3">
      <c r="A485" s="158"/>
      <c r="B485" s="158"/>
      <c r="C485" s="282"/>
      <c r="D485" s="251"/>
      <c r="E485" s="251"/>
      <c r="F485" s="251"/>
      <c r="H485" s="153"/>
      <c r="I485" s="153"/>
      <c r="J485" s="194"/>
      <c r="K485" s="195"/>
      <c r="L485" s="195"/>
      <c r="M485" s="195"/>
      <c r="N485" s="153"/>
      <c r="O485" s="153"/>
    </row>
    <row r="486" spans="1:15" s="24" customFormat="1" x14ac:dyDescent="0.3">
      <c r="A486" s="158"/>
      <c r="B486" s="158"/>
      <c r="C486" s="282"/>
      <c r="D486" s="251"/>
      <c r="E486" s="251"/>
      <c r="F486" s="251"/>
      <c r="H486" s="153"/>
      <c r="I486" s="153"/>
      <c r="J486" s="194"/>
      <c r="K486" s="195"/>
      <c r="L486" s="195"/>
      <c r="M486" s="195"/>
      <c r="N486" s="153"/>
      <c r="O486" s="153"/>
    </row>
    <row r="487" spans="1:15" s="24" customFormat="1" x14ac:dyDescent="0.3">
      <c r="A487" s="158"/>
      <c r="B487" s="158"/>
      <c r="C487" s="282"/>
      <c r="D487" s="251"/>
      <c r="E487" s="251"/>
      <c r="F487" s="251"/>
      <c r="H487" s="153"/>
      <c r="I487" s="153"/>
      <c r="J487" s="194"/>
      <c r="K487" s="195"/>
      <c r="L487" s="195"/>
      <c r="M487" s="195"/>
      <c r="N487" s="153"/>
      <c r="O487" s="153"/>
    </row>
    <row r="488" spans="1:15" s="24" customFormat="1" x14ac:dyDescent="0.3">
      <c r="A488" s="158"/>
      <c r="B488" s="158"/>
      <c r="C488" s="282"/>
      <c r="D488" s="251"/>
      <c r="E488" s="251"/>
      <c r="F488" s="251"/>
      <c r="H488" s="153"/>
      <c r="I488" s="153"/>
      <c r="J488" s="194"/>
      <c r="K488" s="195"/>
      <c r="L488" s="195"/>
      <c r="M488" s="195"/>
      <c r="N488" s="153"/>
      <c r="O488" s="153"/>
    </row>
    <row r="489" spans="1:15" s="24" customFormat="1" x14ac:dyDescent="0.3">
      <c r="A489" s="158"/>
      <c r="B489" s="158"/>
      <c r="C489" s="282"/>
      <c r="D489" s="251"/>
      <c r="E489" s="251"/>
      <c r="F489" s="251"/>
      <c r="H489" s="153"/>
      <c r="I489" s="153"/>
      <c r="J489" s="194"/>
      <c r="K489" s="195"/>
      <c r="L489" s="195"/>
      <c r="M489" s="195"/>
      <c r="N489" s="153"/>
      <c r="O489" s="153"/>
    </row>
    <row r="490" spans="1:15" s="24" customFormat="1" x14ac:dyDescent="0.3">
      <c r="A490" s="158"/>
      <c r="B490" s="158"/>
      <c r="C490" s="282"/>
      <c r="D490" s="251"/>
      <c r="E490" s="251"/>
      <c r="F490" s="251"/>
      <c r="H490" s="153"/>
      <c r="I490" s="153"/>
      <c r="J490" s="194"/>
      <c r="K490" s="195"/>
      <c r="L490" s="195"/>
      <c r="M490" s="195"/>
      <c r="N490" s="153"/>
      <c r="O490" s="153"/>
    </row>
    <row r="491" spans="1:15" s="24" customFormat="1" x14ac:dyDescent="0.3">
      <c r="A491" s="158"/>
      <c r="B491" s="158"/>
      <c r="C491" s="282"/>
      <c r="D491" s="251"/>
      <c r="E491" s="251"/>
      <c r="F491" s="251"/>
      <c r="H491" s="153"/>
      <c r="I491" s="153"/>
      <c r="J491" s="194"/>
      <c r="K491" s="195"/>
      <c r="L491" s="195"/>
      <c r="M491" s="195"/>
      <c r="N491" s="153"/>
      <c r="O491" s="153"/>
    </row>
    <row r="492" spans="1:15" s="24" customFormat="1" x14ac:dyDescent="0.3">
      <c r="A492" s="158"/>
      <c r="B492" s="158"/>
      <c r="C492" s="282"/>
      <c r="D492" s="251"/>
      <c r="E492" s="251"/>
      <c r="F492" s="251"/>
      <c r="H492" s="153"/>
      <c r="I492" s="153"/>
      <c r="J492" s="194"/>
      <c r="K492" s="195"/>
      <c r="L492" s="195"/>
      <c r="M492" s="195"/>
      <c r="N492" s="153"/>
      <c r="O492" s="153"/>
    </row>
    <row r="493" spans="1:15" s="24" customFormat="1" x14ac:dyDescent="0.3">
      <c r="A493" s="158"/>
      <c r="B493" s="158"/>
      <c r="C493" s="282"/>
      <c r="D493" s="251"/>
      <c r="E493" s="251"/>
      <c r="F493" s="251"/>
      <c r="H493" s="153"/>
      <c r="I493" s="153"/>
      <c r="J493" s="194"/>
      <c r="K493" s="195"/>
      <c r="L493" s="195"/>
      <c r="M493" s="195"/>
      <c r="N493" s="153"/>
      <c r="O493" s="153"/>
    </row>
    <row r="494" spans="1:15" s="24" customFormat="1" x14ac:dyDescent="0.3">
      <c r="A494" s="158"/>
      <c r="B494" s="158"/>
      <c r="C494" s="282"/>
      <c r="D494" s="251"/>
      <c r="E494" s="251"/>
      <c r="F494" s="251"/>
      <c r="H494" s="153"/>
      <c r="I494" s="153"/>
      <c r="J494" s="194"/>
      <c r="K494" s="195"/>
      <c r="L494" s="195"/>
      <c r="M494" s="195"/>
      <c r="N494" s="153"/>
      <c r="O494" s="153"/>
    </row>
    <row r="495" spans="1:15" s="24" customFormat="1" x14ac:dyDescent="0.3">
      <c r="A495" s="158"/>
      <c r="B495" s="158"/>
      <c r="C495" s="282"/>
      <c r="D495" s="251"/>
      <c r="E495" s="251"/>
      <c r="F495" s="251"/>
      <c r="H495" s="153"/>
      <c r="I495" s="153"/>
      <c r="J495" s="194"/>
      <c r="K495" s="195"/>
      <c r="L495" s="195"/>
      <c r="M495" s="195"/>
      <c r="N495" s="153"/>
      <c r="O495" s="153"/>
    </row>
    <row r="496" spans="1:15" s="24" customFormat="1" x14ac:dyDescent="0.3">
      <c r="A496" s="158"/>
      <c r="B496" s="158"/>
      <c r="C496" s="282"/>
      <c r="D496" s="251"/>
      <c r="E496" s="251"/>
      <c r="F496" s="251"/>
      <c r="H496" s="153"/>
      <c r="I496" s="153"/>
      <c r="J496" s="194"/>
      <c r="K496" s="195"/>
      <c r="L496" s="195"/>
      <c r="M496" s="195"/>
      <c r="N496" s="153"/>
      <c r="O496" s="153"/>
    </row>
    <row r="497" spans="1:15" s="24" customFormat="1" x14ac:dyDescent="0.3">
      <c r="A497" s="158"/>
      <c r="B497" s="158"/>
      <c r="C497" s="282"/>
      <c r="D497" s="251"/>
      <c r="E497" s="251"/>
      <c r="F497" s="251"/>
      <c r="H497" s="153"/>
      <c r="I497" s="153"/>
      <c r="J497" s="194"/>
      <c r="K497" s="195"/>
      <c r="L497" s="195"/>
      <c r="M497" s="195"/>
      <c r="N497" s="153"/>
      <c r="O497" s="153"/>
    </row>
    <row r="498" spans="1:15" s="24" customFormat="1" x14ac:dyDescent="0.3">
      <c r="A498" s="158"/>
      <c r="B498" s="158"/>
      <c r="C498" s="282"/>
      <c r="D498" s="251"/>
      <c r="E498" s="251"/>
      <c r="F498" s="251"/>
      <c r="H498" s="153"/>
      <c r="I498" s="153"/>
      <c r="J498" s="194"/>
      <c r="K498" s="195"/>
      <c r="L498" s="195"/>
      <c r="M498" s="195"/>
      <c r="N498" s="153"/>
      <c r="O498" s="153"/>
    </row>
    <row r="499" spans="1:15" s="24" customFormat="1" x14ac:dyDescent="0.3">
      <c r="A499" s="158"/>
      <c r="B499" s="158"/>
      <c r="C499" s="282"/>
      <c r="D499" s="251"/>
      <c r="E499" s="251"/>
      <c r="F499" s="251"/>
      <c r="H499" s="153"/>
      <c r="I499" s="153"/>
      <c r="J499" s="194"/>
      <c r="K499" s="195"/>
      <c r="L499" s="195"/>
      <c r="M499" s="195"/>
      <c r="N499" s="153"/>
      <c r="O499" s="153"/>
    </row>
    <row r="500" spans="1:15" s="24" customFormat="1" x14ac:dyDescent="0.3">
      <c r="A500" s="158"/>
      <c r="B500" s="158"/>
      <c r="C500" s="282"/>
      <c r="D500" s="251"/>
      <c r="E500" s="251"/>
      <c r="F500" s="251"/>
      <c r="H500" s="153"/>
      <c r="I500" s="153"/>
      <c r="J500" s="194"/>
      <c r="K500" s="195"/>
      <c r="L500" s="195"/>
      <c r="M500" s="195"/>
      <c r="N500" s="153"/>
      <c r="O500" s="153"/>
    </row>
    <row r="501" spans="1:15" s="24" customFormat="1" x14ac:dyDescent="0.3">
      <c r="A501" s="158"/>
      <c r="B501" s="158"/>
      <c r="C501" s="282"/>
      <c r="D501" s="251"/>
      <c r="E501" s="251"/>
      <c r="F501" s="251"/>
      <c r="H501" s="153"/>
      <c r="I501" s="153"/>
      <c r="J501" s="194"/>
      <c r="K501" s="195"/>
      <c r="L501" s="195"/>
      <c r="M501" s="195"/>
      <c r="N501" s="153"/>
      <c r="O501" s="153"/>
    </row>
    <row r="502" spans="1:15" s="24" customFormat="1" x14ac:dyDescent="0.3">
      <c r="A502" s="158"/>
      <c r="B502" s="158"/>
      <c r="C502" s="282"/>
      <c r="D502" s="251"/>
      <c r="E502" s="251"/>
      <c r="F502" s="251"/>
      <c r="H502" s="153"/>
      <c r="I502" s="153"/>
      <c r="J502" s="194"/>
      <c r="K502" s="195"/>
      <c r="L502" s="195"/>
      <c r="M502" s="195"/>
      <c r="N502" s="153"/>
      <c r="O502" s="153"/>
    </row>
    <row r="503" spans="1:15" s="24" customFormat="1" x14ac:dyDescent="0.3">
      <c r="A503" s="158"/>
      <c r="B503" s="158"/>
      <c r="C503" s="282"/>
      <c r="D503" s="251"/>
      <c r="E503" s="251"/>
      <c r="F503" s="251"/>
      <c r="H503" s="153"/>
      <c r="I503" s="153"/>
      <c r="J503" s="194"/>
      <c r="K503" s="195"/>
      <c r="L503" s="195"/>
      <c r="M503" s="195"/>
      <c r="N503" s="153"/>
      <c r="O503" s="153"/>
    </row>
    <row r="504" spans="1:15" s="24" customFormat="1" x14ac:dyDescent="0.3">
      <c r="A504" s="158"/>
      <c r="B504" s="158"/>
      <c r="C504" s="282"/>
      <c r="D504" s="251"/>
      <c r="E504" s="251"/>
      <c r="F504" s="251"/>
      <c r="H504" s="153"/>
      <c r="I504" s="153"/>
      <c r="J504" s="194"/>
      <c r="K504" s="195"/>
      <c r="L504" s="195"/>
      <c r="M504" s="195"/>
      <c r="N504" s="153"/>
      <c r="O504" s="153"/>
    </row>
    <row r="505" spans="1:15" s="24" customFormat="1" x14ac:dyDescent="0.3">
      <c r="A505" s="158"/>
      <c r="B505" s="158"/>
      <c r="C505" s="282"/>
      <c r="D505" s="251"/>
      <c r="E505" s="251"/>
      <c r="F505" s="251"/>
      <c r="H505" s="153"/>
      <c r="I505" s="153"/>
      <c r="J505" s="194"/>
      <c r="K505" s="195"/>
      <c r="L505" s="195"/>
      <c r="M505" s="195"/>
      <c r="N505" s="153"/>
      <c r="O505" s="153"/>
    </row>
    <row r="506" spans="1:15" s="24" customFormat="1" x14ac:dyDescent="0.3">
      <c r="A506" s="158"/>
      <c r="B506" s="158"/>
      <c r="C506" s="282"/>
      <c r="D506" s="251"/>
      <c r="E506" s="251"/>
      <c r="F506" s="251"/>
      <c r="H506" s="153"/>
      <c r="I506" s="153"/>
      <c r="J506" s="194"/>
      <c r="K506" s="195"/>
      <c r="L506" s="195"/>
      <c r="M506" s="195"/>
      <c r="N506" s="153"/>
      <c r="O506" s="153"/>
    </row>
    <row r="507" spans="1:15" s="24" customFormat="1" x14ac:dyDescent="0.3">
      <c r="A507" s="158"/>
      <c r="B507" s="158"/>
      <c r="C507" s="282"/>
      <c r="D507" s="251"/>
      <c r="E507" s="251"/>
      <c r="F507" s="251"/>
      <c r="H507" s="153"/>
      <c r="I507" s="153"/>
      <c r="J507" s="194"/>
      <c r="K507" s="195"/>
      <c r="L507" s="195"/>
      <c r="M507" s="195"/>
      <c r="N507" s="153"/>
      <c r="O507" s="153"/>
    </row>
    <row r="508" spans="1:15" s="24" customFormat="1" x14ac:dyDescent="0.3">
      <c r="A508" s="158"/>
      <c r="B508" s="158"/>
      <c r="C508" s="282"/>
      <c r="D508" s="251"/>
      <c r="E508" s="251"/>
      <c r="F508" s="251"/>
      <c r="H508" s="153"/>
      <c r="I508" s="153"/>
      <c r="J508" s="194"/>
      <c r="K508" s="195"/>
      <c r="L508" s="195"/>
      <c r="M508" s="195"/>
      <c r="N508" s="153"/>
      <c r="O508" s="153"/>
    </row>
    <row r="509" spans="1:15" s="24" customFormat="1" x14ac:dyDescent="0.3">
      <c r="A509" s="158"/>
      <c r="B509" s="158"/>
      <c r="C509" s="282"/>
      <c r="D509" s="251"/>
      <c r="E509" s="251"/>
      <c r="F509" s="251"/>
      <c r="H509" s="153"/>
      <c r="I509" s="153"/>
      <c r="J509" s="194"/>
      <c r="K509" s="195"/>
      <c r="L509" s="195"/>
      <c r="M509" s="195"/>
      <c r="N509" s="153"/>
      <c r="O509" s="153"/>
    </row>
    <row r="510" spans="1:15" s="24" customFormat="1" x14ac:dyDescent="0.3">
      <c r="A510" s="158"/>
      <c r="B510" s="158"/>
      <c r="C510" s="282"/>
      <c r="D510" s="251"/>
      <c r="E510" s="251"/>
      <c r="F510" s="251"/>
      <c r="H510" s="153"/>
      <c r="I510" s="153"/>
      <c r="J510" s="194"/>
      <c r="K510" s="195"/>
      <c r="L510" s="195"/>
      <c r="M510" s="195"/>
      <c r="N510" s="153"/>
      <c r="O510" s="153"/>
    </row>
    <row r="511" spans="1:15" s="24" customFormat="1" x14ac:dyDescent="0.3">
      <c r="A511" s="158"/>
      <c r="B511" s="158"/>
      <c r="C511" s="282"/>
      <c r="D511" s="251"/>
      <c r="E511" s="251"/>
      <c r="F511" s="251"/>
      <c r="H511" s="153"/>
      <c r="I511" s="153"/>
      <c r="J511" s="194"/>
      <c r="K511" s="195"/>
      <c r="L511" s="195"/>
      <c r="M511" s="195"/>
      <c r="N511" s="153"/>
      <c r="O511" s="153"/>
    </row>
    <row r="512" spans="1:15" s="24" customFormat="1" x14ac:dyDescent="0.3">
      <c r="A512" s="158"/>
      <c r="B512" s="158"/>
      <c r="C512" s="282"/>
      <c r="D512" s="251"/>
      <c r="E512" s="251"/>
      <c r="F512" s="251"/>
      <c r="H512" s="153"/>
      <c r="I512" s="153"/>
      <c r="J512" s="194"/>
      <c r="K512" s="195"/>
      <c r="L512" s="195"/>
      <c r="M512" s="195"/>
      <c r="N512" s="153"/>
      <c r="O512" s="153"/>
    </row>
    <row r="513" spans="1:15" s="24" customFormat="1" x14ac:dyDescent="0.3">
      <c r="A513" s="158"/>
      <c r="B513" s="158"/>
      <c r="C513" s="282"/>
      <c r="D513" s="251"/>
      <c r="E513" s="251"/>
      <c r="F513" s="251"/>
      <c r="H513" s="153"/>
      <c r="I513" s="153"/>
      <c r="J513" s="194"/>
      <c r="K513" s="195"/>
      <c r="L513" s="195"/>
      <c r="M513" s="195"/>
      <c r="N513" s="153"/>
      <c r="O513" s="153"/>
    </row>
    <row r="514" spans="1:15" s="24" customFormat="1" x14ac:dyDescent="0.3">
      <c r="A514" s="158"/>
      <c r="B514" s="158"/>
      <c r="C514" s="282"/>
      <c r="D514" s="251"/>
      <c r="E514" s="251"/>
      <c r="F514" s="251"/>
      <c r="H514" s="153"/>
      <c r="I514" s="153"/>
      <c r="J514" s="194"/>
      <c r="K514" s="195"/>
      <c r="L514" s="195"/>
      <c r="M514" s="195"/>
      <c r="N514" s="153"/>
      <c r="O514" s="153"/>
    </row>
    <row r="515" spans="1:15" s="24" customFormat="1" x14ac:dyDescent="0.3">
      <c r="A515" s="158"/>
      <c r="B515" s="158"/>
      <c r="C515" s="282"/>
      <c r="D515" s="251"/>
      <c r="E515" s="251"/>
      <c r="F515" s="251"/>
      <c r="H515" s="153"/>
      <c r="I515" s="153"/>
      <c r="J515" s="194"/>
      <c r="K515" s="195"/>
      <c r="L515" s="195"/>
      <c r="M515" s="195"/>
      <c r="N515" s="153"/>
      <c r="O515" s="153"/>
    </row>
    <row r="516" spans="1:15" s="24" customFormat="1" x14ac:dyDescent="0.3">
      <c r="A516" s="158"/>
      <c r="B516" s="158"/>
      <c r="C516" s="282"/>
      <c r="D516" s="251"/>
      <c r="E516" s="251"/>
      <c r="F516" s="251"/>
      <c r="H516" s="153"/>
      <c r="I516" s="153"/>
      <c r="J516" s="194"/>
      <c r="K516" s="195"/>
      <c r="L516" s="195"/>
      <c r="M516" s="195"/>
      <c r="N516" s="153"/>
      <c r="O516" s="153"/>
    </row>
    <row r="517" spans="1:15" s="24" customFormat="1" x14ac:dyDescent="0.3">
      <c r="A517" s="158"/>
      <c r="B517" s="158"/>
      <c r="C517" s="282"/>
      <c r="D517" s="251"/>
      <c r="E517" s="251"/>
      <c r="F517" s="251"/>
      <c r="H517" s="153"/>
      <c r="I517" s="153"/>
      <c r="J517" s="194"/>
      <c r="K517" s="195"/>
      <c r="L517" s="195"/>
      <c r="M517" s="195"/>
      <c r="N517" s="153"/>
      <c r="O517" s="153"/>
    </row>
    <row r="518" spans="1:15" s="24" customFormat="1" x14ac:dyDescent="0.3">
      <c r="A518" s="158"/>
      <c r="B518" s="158"/>
      <c r="C518" s="282"/>
      <c r="D518" s="251"/>
      <c r="E518" s="251"/>
      <c r="F518" s="251"/>
      <c r="H518" s="153"/>
      <c r="I518" s="153"/>
      <c r="J518" s="194"/>
      <c r="K518" s="195"/>
      <c r="L518" s="195"/>
      <c r="M518" s="195"/>
      <c r="N518" s="153"/>
      <c r="O518" s="153"/>
    </row>
    <row r="519" spans="1:15" s="24" customFormat="1" x14ac:dyDescent="0.3">
      <c r="A519" s="158"/>
      <c r="B519" s="158"/>
      <c r="C519" s="282"/>
      <c r="D519" s="251"/>
      <c r="E519" s="251"/>
      <c r="F519" s="251"/>
      <c r="H519" s="153"/>
      <c r="I519" s="153"/>
      <c r="J519" s="194"/>
      <c r="K519" s="195"/>
      <c r="L519" s="195"/>
      <c r="M519" s="195"/>
      <c r="N519" s="153"/>
      <c r="O519" s="153"/>
    </row>
    <row r="520" spans="1:15" s="24" customFormat="1" x14ac:dyDescent="0.3">
      <c r="A520" s="158"/>
      <c r="B520" s="158"/>
      <c r="C520" s="282"/>
      <c r="D520" s="251"/>
      <c r="E520" s="251"/>
      <c r="F520" s="251"/>
      <c r="H520" s="153"/>
      <c r="I520" s="153"/>
      <c r="J520" s="194"/>
      <c r="K520" s="195"/>
      <c r="L520" s="195"/>
      <c r="M520" s="195"/>
      <c r="N520" s="153"/>
      <c r="O520" s="153"/>
    </row>
    <row r="521" spans="1:15" s="24" customFormat="1" x14ac:dyDescent="0.3">
      <c r="A521" s="158"/>
      <c r="B521" s="158"/>
      <c r="C521" s="282"/>
      <c r="D521" s="251"/>
      <c r="E521" s="251"/>
      <c r="F521" s="251"/>
      <c r="H521" s="153"/>
      <c r="I521" s="153"/>
      <c r="J521" s="194"/>
      <c r="K521" s="195"/>
      <c r="L521" s="195"/>
      <c r="M521" s="195"/>
      <c r="N521" s="153"/>
      <c r="O521" s="153"/>
    </row>
    <row r="522" spans="1:15" s="24" customFormat="1" x14ac:dyDescent="0.3">
      <c r="A522" s="158"/>
      <c r="B522" s="158"/>
      <c r="C522" s="282"/>
      <c r="D522" s="251"/>
      <c r="E522" s="251"/>
      <c r="F522" s="251"/>
      <c r="H522" s="153"/>
      <c r="I522" s="153"/>
      <c r="J522" s="194"/>
      <c r="K522" s="195"/>
      <c r="L522" s="195"/>
      <c r="M522" s="195"/>
      <c r="N522" s="153"/>
      <c r="O522" s="153"/>
    </row>
    <row r="523" spans="1:15" s="24" customFormat="1" x14ac:dyDescent="0.3">
      <c r="A523" s="158"/>
      <c r="B523" s="158"/>
      <c r="C523" s="282"/>
      <c r="D523" s="251"/>
      <c r="E523" s="251"/>
      <c r="F523" s="251"/>
      <c r="H523" s="153"/>
      <c r="I523" s="153"/>
      <c r="J523" s="194"/>
      <c r="K523" s="195"/>
      <c r="L523" s="195"/>
      <c r="M523" s="195"/>
      <c r="N523" s="153"/>
      <c r="O523" s="153"/>
    </row>
    <row r="524" spans="1:15" s="24" customFormat="1" x14ac:dyDescent="0.3">
      <c r="A524" s="158"/>
      <c r="B524" s="158"/>
      <c r="C524" s="282"/>
      <c r="D524" s="251"/>
      <c r="E524" s="251"/>
      <c r="F524" s="251"/>
      <c r="H524" s="153"/>
      <c r="I524" s="153"/>
      <c r="J524" s="194"/>
      <c r="K524" s="195"/>
      <c r="L524" s="195"/>
      <c r="M524" s="195"/>
      <c r="N524" s="153"/>
      <c r="O524" s="153"/>
    </row>
    <row r="525" spans="1:15" s="24" customFormat="1" x14ac:dyDescent="0.3">
      <c r="A525" s="158"/>
      <c r="B525" s="158"/>
      <c r="C525" s="282"/>
      <c r="D525" s="251"/>
      <c r="E525" s="251"/>
      <c r="F525" s="251"/>
      <c r="H525" s="153"/>
      <c r="I525" s="153"/>
      <c r="J525" s="194"/>
      <c r="K525" s="195"/>
      <c r="L525" s="195"/>
      <c r="M525" s="195"/>
      <c r="N525" s="153"/>
      <c r="O525" s="153"/>
    </row>
    <row r="526" spans="1:15" s="24" customFormat="1" x14ac:dyDescent="0.3">
      <c r="A526" s="158"/>
      <c r="B526" s="158"/>
      <c r="C526" s="282"/>
      <c r="D526" s="251"/>
      <c r="E526" s="251"/>
      <c r="F526" s="251"/>
      <c r="H526" s="153"/>
      <c r="I526" s="153"/>
      <c r="J526" s="194"/>
      <c r="K526" s="195"/>
      <c r="L526" s="195"/>
      <c r="M526" s="195"/>
      <c r="N526" s="153"/>
      <c r="O526" s="153"/>
    </row>
    <row r="527" spans="1:15" s="24" customFormat="1" x14ac:dyDescent="0.3">
      <c r="A527" s="158"/>
      <c r="B527" s="158"/>
      <c r="C527" s="282"/>
      <c r="D527" s="251"/>
      <c r="E527" s="251"/>
      <c r="F527" s="251"/>
      <c r="H527" s="153"/>
      <c r="I527" s="153"/>
      <c r="J527" s="194"/>
      <c r="K527" s="195"/>
      <c r="L527" s="195"/>
      <c r="M527" s="195"/>
      <c r="N527" s="153"/>
      <c r="O527" s="153"/>
    </row>
    <row r="528" spans="1:15" s="24" customFormat="1" x14ac:dyDescent="0.3">
      <c r="A528" s="158"/>
      <c r="B528" s="158"/>
      <c r="C528" s="282"/>
      <c r="D528" s="251"/>
      <c r="E528" s="251"/>
      <c r="F528" s="251"/>
      <c r="H528" s="153"/>
      <c r="I528" s="153"/>
      <c r="J528" s="194"/>
      <c r="K528" s="195"/>
      <c r="L528" s="195"/>
      <c r="M528" s="195"/>
      <c r="N528" s="153"/>
      <c r="O528" s="153"/>
    </row>
    <row r="529" spans="1:15" s="24" customFormat="1" x14ac:dyDescent="0.3">
      <c r="A529" s="158"/>
      <c r="B529" s="158"/>
      <c r="C529" s="282"/>
      <c r="D529" s="251"/>
      <c r="E529" s="251"/>
      <c r="F529" s="251"/>
      <c r="H529" s="153"/>
      <c r="I529" s="153"/>
      <c r="J529" s="194"/>
      <c r="K529" s="195"/>
      <c r="L529" s="195"/>
      <c r="M529" s="195"/>
      <c r="N529" s="153"/>
      <c r="O529" s="153"/>
    </row>
    <row r="530" spans="1:15" s="24" customFormat="1" x14ac:dyDescent="0.3">
      <c r="A530" s="158"/>
      <c r="B530" s="158"/>
      <c r="C530" s="282"/>
      <c r="D530" s="251"/>
      <c r="E530" s="251"/>
      <c r="F530" s="251"/>
      <c r="H530" s="153"/>
      <c r="I530" s="153"/>
      <c r="J530" s="194"/>
      <c r="K530" s="195"/>
      <c r="L530" s="195"/>
      <c r="M530" s="195"/>
      <c r="N530" s="153"/>
      <c r="O530" s="153"/>
    </row>
    <row r="531" spans="1:15" s="24" customFormat="1" x14ac:dyDescent="0.3">
      <c r="A531" s="158"/>
      <c r="B531" s="158"/>
      <c r="C531" s="282"/>
      <c r="D531" s="251"/>
      <c r="E531" s="251"/>
      <c r="F531" s="251"/>
      <c r="H531" s="153"/>
      <c r="I531" s="153"/>
      <c r="J531" s="194"/>
      <c r="K531" s="195"/>
      <c r="L531" s="195"/>
      <c r="M531" s="195"/>
      <c r="N531" s="153"/>
      <c r="O531" s="153"/>
    </row>
    <row r="532" spans="1:15" s="24" customFormat="1" x14ac:dyDescent="0.3">
      <c r="A532" s="158"/>
      <c r="B532" s="158"/>
      <c r="C532" s="282"/>
      <c r="D532" s="251"/>
      <c r="E532" s="251"/>
      <c r="F532" s="251"/>
      <c r="H532" s="153"/>
      <c r="I532" s="153"/>
      <c r="J532" s="194"/>
      <c r="K532" s="195"/>
      <c r="L532" s="195"/>
      <c r="M532" s="195"/>
      <c r="N532" s="153"/>
      <c r="O532" s="153"/>
    </row>
    <row r="533" spans="1:15" s="24" customFormat="1" x14ac:dyDescent="0.3">
      <c r="A533" s="158"/>
      <c r="B533" s="158"/>
      <c r="C533" s="282"/>
      <c r="D533" s="251"/>
      <c r="E533" s="251"/>
      <c r="F533" s="251"/>
      <c r="H533" s="153"/>
      <c r="I533" s="153"/>
      <c r="J533" s="194"/>
      <c r="K533" s="195"/>
      <c r="L533" s="195"/>
      <c r="M533" s="195"/>
      <c r="N533" s="153"/>
      <c r="O533" s="153"/>
    </row>
    <row r="534" spans="1:15" s="24" customFormat="1" x14ac:dyDescent="0.3">
      <c r="A534" s="158"/>
      <c r="B534" s="158"/>
      <c r="C534" s="282"/>
      <c r="D534" s="251"/>
      <c r="E534" s="251"/>
      <c r="F534" s="251"/>
      <c r="H534" s="153"/>
      <c r="I534" s="153"/>
      <c r="J534" s="194"/>
      <c r="K534" s="195"/>
      <c r="L534" s="195"/>
      <c r="M534" s="195"/>
      <c r="N534" s="153"/>
      <c r="O534" s="153"/>
    </row>
    <row r="535" spans="1:15" s="24" customFormat="1" x14ac:dyDescent="0.3">
      <c r="A535" s="158"/>
      <c r="B535" s="158"/>
      <c r="C535" s="282"/>
      <c r="D535" s="251"/>
      <c r="E535" s="251"/>
      <c r="F535" s="251"/>
      <c r="H535" s="153"/>
      <c r="I535" s="153"/>
      <c r="J535" s="194"/>
      <c r="K535" s="195"/>
      <c r="L535" s="195"/>
      <c r="M535" s="195"/>
      <c r="N535" s="153"/>
      <c r="O535" s="153"/>
    </row>
  </sheetData>
  <phoneticPr fontId="14" type="noConversion"/>
  <conditionalFormatting sqref="A39:A42">
    <cfRule type="duplicateValues" dxfId="16" priority="1167"/>
  </conditionalFormatting>
  <conditionalFormatting sqref="A49:A52">
    <cfRule type="duplicateValues" dxfId="15" priority="1168"/>
  </conditionalFormatting>
  <conditionalFormatting sqref="A25:A36">
    <cfRule type="duplicateValues" dxfId="14" priority="1193"/>
  </conditionalFormatting>
  <conditionalFormatting sqref="A23:A24">
    <cfRule type="duplicateValues" dxfId="13" priority="1195"/>
  </conditionalFormatting>
  <conditionalFormatting sqref="A7:A18">
    <cfRule type="duplicateValues" dxfId="12" priority="1196"/>
  </conditionalFormatting>
  <conditionalFormatting sqref="A5:A6">
    <cfRule type="duplicateValues" dxfId="11" priority="1198"/>
  </conditionalFormatting>
  <conditionalFormatting sqref="B2 A21:A22 A2:A4">
    <cfRule type="duplicateValues" dxfId="10" priority="1290"/>
  </conditionalFormatting>
  <conditionalFormatting sqref="A229:B229 A193:A198 A21:A22 A3:A4 A200 A211 A219 A275:A276 B230 A266">
    <cfRule type="duplicateValues" dxfId="0" priority="1294"/>
  </conditionalFormatting>
  <pageMargins left="0.31496062992125984" right="0.31496062992125984" top="0.35433070866141736" bottom="0.35433070866141736" header="0.31496062992125984" footer="0.31496062992125984"/>
  <pageSetup paperSize="9" scale="59" orientation="landscape" r:id="rId1"/>
  <customProperties>
    <customPr name="EpmWorksheetKeyString_GUID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3"/>
  <dimension ref="A1:J56"/>
  <sheetViews>
    <sheetView zoomScale="85" zoomScaleNormal="85" workbookViewId="0">
      <selection activeCell="B6" sqref="B6"/>
    </sheetView>
  </sheetViews>
  <sheetFormatPr defaultRowHeight="14.4" x14ac:dyDescent="0.3"/>
  <cols>
    <col min="2" max="2" width="22.77734375" customWidth="1"/>
    <col min="3" max="4" width="50" customWidth="1"/>
    <col min="5" max="5" width="37.21875" customWidth="1"/>
    <col min="6" max="7" width="14.21875" customWidth="1"/>
    <col min="8" max="8" width="10.77734375" customWidth="1"/>
    <col min="9" max="9" width="14.21875" bestFit="1" customWidth="1"/>
  </cols>
  <sheetData>
    <row r="1" spans="1:10" ht="15" thickBot="1" x14ac:dyDescent="0.35">
      <c r="A1" s="56" t="s">
        <v>507</v>
      </c>
      <c r="B1" s="57" t="s">
        <v>440</v>
      </c>
      <c r="C1" s="57" t="s">
        <v>2433</v>
      </c>
      <c r="D1" s="58" t="s">
        <v>2434</v>
      </c>
      <c r="E1" s="58" t="s">
        <v>2435</v>
      </c>
      <c r="F1" s="57" t="s">
        <v>2390</v>
      </c>
      <c r="G1" s="57" t="s">
        <v>2391</v>
      </c>
      <c r="H1" s="57" t="s">
        <v>509</v>
      </c>
      <c r="I1" s="57" t="s">
        <v>2425</v>
      </c>
    </row>
    <row r="2" spans="1:10" ht="14.25" customHeight="1" x14ac:dyDescent="0.3">
      <c r="A2" s="59">
        <v>1</v>
      </c>
      <c r="B2" s="62" t="s">
        <v>2406</v>
      </c>
      <c r="C2" s="63" t="s">
        <v>2392</v>
      </c>
      <c r="D2" s="67" t="s">
        <v>2427</v>
      </c>
      <c r="E2" s="65" t="s">
        <v>2437</v>
      </c>
      <c r="F2" s="24"/>
      <c r="G2" s="24"/>
      <c r="H2" s="24"/>
      <c r="I2" s="24"/>
      <c r="J2" s="24"/>
    </row>
    <row r="3" spans="1:10" x14ac:dyDescent="0.3">
      <c r="A3" s="59">
        <v>2</v>
      </c>
      <c r="B3" s="36" t="s">
        <v>2407</v>
      </c>
      <c r="C3" s="60" t="s">
        <v>2427</v>
      </c>
      <c r="D3" s="66"/>
      <c r="E3" s="65" t="s">
        <v>2436</v>
      </c>
      <c r="F3" s="24"/>
      <c r="G3" s="24"/>
      <c r="H3" s="24"/>
      <c r="I3" s="24"/>
      <c r="J3" s="24"/>
    </row>
    <row r="4" spans="1:10" x14ac:dyDescent="0.3">
      <c r="A4" s="59">
        <v>3</v>
      </c>
      <c r="B4" s="36" t="s">
        <v>2408</v>
      </c>
      <c r="C4" s="60" t="s">
        <v>2393</v>
      </c>
      <c r="D4" s="66"/>
      <c r="E4" s="65" t="s">
        <v>2436</v>
      </c>
      <c r="F4" s="24"/>
      <c r="G4" s="24"/>
      <c r="H4" s="24"/>
      <c r="I4" s="24"/>
      <c r="J4" s="24"/>
    </row>
    <row r="5" spans="1:10" x14ac:dyDescent="0.3">
      <c r="A5" s="59">
        <v>4</v>
      </c>
      <c r="B5" s="62" t="s">
        <v>2409</v>
      </c>
      <c r="C5" s="63" t="s">
        <v>2394</v>
      </c>
      <c r="D5" s="67" t="s">
        <v>2430</v>
      </c>
      <c r="E5" s="65" t="s">
        <v>2437</v>
      </c>
      <c r="F5" s="24"/>
      <c r="G5" s="24"/>
      <c r="H5" s="24"/>
      <c r="I5" s="24"/>
      <c r="J5" s="24"/>
    </row>
    <row r="6" spans="1:10" x14ac:dyDescent="0.3">
      <c r="A6" s="59"/>
      <c r="B6" s="62" t="s">
        <v>2410</v>
      </c>
      <c r="C6" s="63" t="s">
        <v>2428</v>
      </c>
      <c r="D6" s="67" t="s">
        <v>2431</v>
      </c>
      <c r="E6" s="65" t="s">
        <v>2437</v>
      </c>
      <c r="F6" s="24"/>
      <c r="G6" s="24"/>
      <c r="H6" s="24"/>
      <c r="I6" s="24"/>
      <c r="J6" s="24"/>
    </row>
    <row r="7" spans="1:10" x14ac:dyDescent="0.3">
      <c r="A7" s="59">
        <v>5</v>
      </c>
      <c r="B7" s="62" t="s">
        <v>2411</v>
      </c>
      <c r="C7" s="63" t="s">
        <v>2395</v>
      </c>
      <c r="D7" s="67" t="s">
        <v>2432</v>
      </c>
      <c r="E7" s="65" t="s">
        <v>2437</v>
      </c>
      <c r="F7" s="24"/>
      <c r="G7" s="24"/>
      <c r="H7" s="24"/>
      <c r="I7" s="24"/>
      <c r="J7" s="24"/>
    </row>
    <row r="8" spans="1:10" x14ac:dyDescent="0.3">
      <c r="A8" s="59">
        <v>6</v>
      </c>
      <c r="B8" s="36" t="s">
        <v>2423</v>
      </c>
      <c r="C8" s="60" t="s">
        <v>2430</v>
      </c>
      <c r="D8" s="66"/>
      <c r="E8" s="65" t="s">
        <v>2436</v>
      </c>
      <c r="F8" s="24"/>
      <c r="G8" s="24"/>
      <c r="H8" s="24"/>
      <c r="I8" s="24"/>
      <c r="J8" s="24"/>
    </row>
    <row r="9" spans="1:10" x14ac:dyDescent="0.3">
      <c r="A9" s="59">
        <v>7</v>
      </c>
      <c r="B9" s="36" t="s">
        <v>2424</v>
      </c>
      <c r="C9" s="60" t="s">
        <v>2431</v>
      </c>
      <c r="D9" s="66"/>
      <c r="E9" s="65" t="s">
        <v>2436</v>
      </c>
      <c r="F9" s="24"/>
      <c r="G9" s="24"/>
      <c r="H9" s="24"/>
      <c r="I9" s="24"/>
      <c r="J9" s="24"/>
    </row>
    <row r="10" spans="1:10" x14ac:dyDescent="0.3">
      <c r="A10" s="59">
        <v>8</v>
      </c>
      <c r="B10" s="36" t="s">
        <v>2412</v>
      </c>
      <c r="C10" s="60" t="s">
        <v>2396</v>
      </c>
      <c r="D10" s="66"/>
      <c r="E10" s="65" t="s">
        <v>2436</v>
      </c>
      <c r="F10" s="24"/>
      <c r="G10" s="24"/>
      <c r="H10" s="24"/>
      <c r="I10" s="24"/>
      <c r="J10" s="24"/>
    </row>
    <row r="11" spans="1:10" x14ac:dyDescent="0.3">
      <c r="A11" s="59">
        <v>9</v>
      </c>
      <c r="B11" s="36" t="s">
        <v>2413</v>
      </c>
      <c r="C11" s="60" t="s">
        <v>2397</v>
      </c>
      <c r="D11" s="66"/>
      <c r="E11" s="65" t="s">
        <v>2436</v>
      </c>
      <c r="F11" s="24"/>
      <c r="G11" s="24"/>
      <c r="H11" s="24"/>
      <c r="I11" s="24"/>
      <c r="J11" s="24"/>
    </row>
    <row r="12" spans="1:10" x14ac:dyDescent="0.3">
      <c r="A12" s="59">
        <v>10</v>
      </c>
      <c r="B12" s="69" t="s">
        <v>2439</v>
      </c>
      <c r="C12" s="70"/>
      <c r="D12" s="69" t="s">
        <v>2429</v>
      </c>
      <c r="E12" s="65" t="s">
        <v>2438</v>
      </c>
      <c r="F12" s="24"/>
      <c r="G12" s="24"/>
      <c r="H12" s="24"/>
      <c r="I12" s="24"/>
      <c r="J12" s="24"/>
    </row>
    <row r="13" spans="1:10" x14ac:dyDescent="0.3">
      <c r="A13" s="59">
        <v>11</v>
      </c>
      <c r="B13" s="36" t="s">
        <v>2414</v>
      </c>
      <c r="C13" s="60" t="s">
        <v>2429</v>
      </c>
      <c r="D13" s="66"/>
      <c r="E13" s="65" t="s">
        <v>2436</v>
      </c>
      <c r="F13" s="24"/>
      <c r="G13" s="24"/>
      <c r="H13" s="24"/>
      <c r="I13" s="24"/>
      <c r="J13" s="24"/>
    </row>
    <row r="14" spans="1:10" x14ac:dyDescent="0.3">
      <c r="A14" s="59">
        <v>12</v>
      </c>
      <c r="B14" s="36" t="s">
        <v>2415</v>
      </c>
      <c r="C14" s="60" t="s">
        <v>2398</v>
      </c>
      <c r="D14" s="71"/>
      <c r="E14" s="65" t="s">
        <v>2436</v>
      </c>
      <c r="F14" s="24"/>
      <c r="G14" s="24"/>
      <c r="H14" s="24"/>
      <c r="I14" s="24"/>
      <c r="J14" s="24"/>
    </row>
    <row r="15" spans="1:10" x14ac:dyDescent="0.3">
      <c r="A15" s="59">
        <v>13</v>
      </c>
      <c r="B15" s="36" t="s">
        <v>2416</v>
      </c>
      <c r="C15" s="60" t="s">
        <v>2399</v>
      </c>
      <c r="D15" s="66"/>
      <c r="E15" s="65" t="s">
        <v>2436</v>
      </c>
      <c r="F15" s="24"/>
      <c r="G15" s="24"/>
      <c r="H15" s="24"/>
      <c r="I15" s="24"/>
      <c r="J15" s="24"/>
    </row>
    <row r="16" spans="1:10" x14ac:dyDescent="0.3">
      <c r="A16" s="59">
        <v>14</v>
      </c>
      <c r="B16" s="36" t="s">
        <v>2417</v>
      </c>
      <c r="C16" s="60" t="s">
        <v>2400</v>
      </c>
      <c r="D16" s="66"/>
      <c r="E16" s="65" t="s">
        <v>2436</v>
      </c>
      <c r="F16" s="24"/>
      <c r="G16" s="24"/>
      <c r="H16" s="24"/>
      <c r="I16" s="24"/>
      <c r="J16" s="24"/>
    </row>
    <row r="17" spans="1:10" x14ac:dyDescent="0.3">
      <c r="A17" s="59">
        <v>15</v>
      </c>
      <c r="B17" s="36" t="s">
        <v>2418</v>
      </c>
      <c r="C17" s="60" t="s">
        <v>2401</v>
      </c>
      <c r="D17" s="66"/>
      <c r="E17" s="65" t="s">
        <v>2436</v>
      </c>
      <c r="F17" s="24"/>
      <c r="G17" s="24"/>
      <c r="H17" s="24"/>
      <c r="I17" s="24"/>
      <c r="J17" s="24"/>
    </row>
    <row r="18" spans="1:10" x14ac:dyDescent="0.3">
      <c r="A18" s="59">
        <v>16</v>
      </c>
      <c r="B18" s="36" t="s">
        <v>2419</v>
      </c>
      <c r="C18" s="60" t="s">
        <v>2402</v>
      </c>
      <c r="D18" s="66"/>
      <c r="E18" s="65" t="s">
        <v>2436</v>
      </c>
      <c r="F18" s="24"/>
      <c r="G18" s="24"/>
      <c r="H18" s="24"/>
      <c r="I18" s="24"/>
      <c r="J18" s="24"/>
    </row>
    <row r="19" spans="1:10" x14ac:dyDescent="0.3">
      <c r="A19" s="59">
        <v>17</v>
      </c>
      <c r="B19" s="36" t="s">
        <v>2420</v>
      </c>
      <c r="C19" s="60" t="s">
        <v>2403</v>
      </c>
      <c r="D19" s="66"/>
      <c r="E19" s="65" t="s">
        <v>2436</v>
      </c>
      <c r="F19" s="24"/>
      <c r="G19" s="24"/>
      <c r="H19" s="24"/>
      <c r="I19" s="24"/>
      <c r="J19" s="24"/>
    </row>
    <row r="20" spans="1:10" x14ac:dyDescent="0.3">
      <c r="A20" s="59">
        <v>18</v>
      </c>
      <c r="B20" s="36" t="s">
        <v>2421</v>
      </c>
      <c r="C20" s="60" t="s">
        <v>2404</v>
      </c>
      <c r="D20" s="66"/>
      <c r="E20" s="65" t="s">
        <v>2436</v>
      </c>
      <c r="F20" s="24"/>
      <c r="G20" s="24"/>
      <c r="H20" s="24"/>
      <c r="I20" s="24"/>
      <c r="J20" s="24"/>
    </row>
    <row r="21" spans="1:10" x14ac:dyDescent="0.3">
      <c r="A21" s="59">
        <v>19</v>
      </c>
      <c r="B21" s="36" t="s">
        <v>2422</v>
      </c>
      <c r="C21" s="60" t="s">
        <v>2405</v>
      </c>
      <c r="D21" s="66"/>
      <c r="E21" s="65" t="s">
        <v>2436</v>
      </c>
      <c r="F21" s="24"/>
      <c r="G21" s="24"/>
      <c r="H21" s="24"/>
      <c r="I21" s="24"/>
      <c r="J21" s="24"/>
    </row>
    <row r="22" spans="1:10" x14ac:dyDescent="0.3">
      <c r="A22" s="59">
        <v>20</v>
      </c>
      <c r="B22" s="68" t="s">
        <v>2440</v>
      </c>
      <c r="C22" s="70"/>
      <c r="D22" s="69" t="s">
        <v>2426</v>
      </c>
      <c r="E22" s="65" t="s">
        <v>2438</v>
      </c>
      <c r="F22" s="24"/>
      <c r="G22" s="24"/>
      <c r="H22" s="24"/>
      <c r="I22" s="24"/>
      <c r="J22" s="24"/>
    </row>
    <row r="23" spans="1:10" x14ac:dyDescent="0.3">
      <c r="A23" s="59">
        <v>21</v>
      </c>
      <c r="B23" s="24"/>
      <c r="C23" s="64"/>
      <c r="D23" s="65"/>
      <c r="E23" s="65"/>
      <c r="F23" s="24"/>
      <c r="G23" s="24"/>
      <c r="H23" s="24"/>
      <c r="I23" s="24"/>
      <c r="J23" s="24"/>
    </row>
    <row r="24" spans="1:10" x14ac:dyDescent="0.3">
      <c r="A24" s="59">
        <v>22</v>
      </c>
      <c r="B24" s="24"/>
      <c r="C24" s="64"/>
      <c r="D24" s="65"/>
      <c r="E24" s="65"/>
      <c r="F24" s="24"/>
      <c r="G24" s="24"/>
      <c r="H24" s="24"/>
      <c r="I24" s="24"/>
      <c r="J24" s="24"/>
    </row>
    <row r="25" spans="1:10" x14ac:dyDescent="0.3">
      <c r="A25" s="59">
        <v>23</v>
      </c>
      <c r="B25" s="24"/>
      <c r="C25" s="64"/>
      <c r="D25" s="65"/>
      <c r="E25" s="65"/>
      <c r="F25" s="24"/>
      <c r="G25" s="24"/>
      <c r="H25" s="24"/>
      <c r="I25" s="24"/>
      <c r="J25" s="24"/>
    </row>
    <row r="26" spans="1:10" x14ac:dyDescent="0.3">
      <c r="A26" s="59">
        <v>24</v>
      </c>
      <c r="B26" s="24"/>
      <c r="C26" s="64"/>
      <c r="D26" s="65"/>
      <c r="E26" s="65"/>
      <c r="F26" s="24"/>
      <c r="G26" s="24"/>
      <c r="H26" s="24"/>
      <c r="I26" s="24"/>
      <c r="J26" s="24"/>
    </row>
    <row r="27" spans="1:10" x14ac:dyDescent="0.3">
      <c r="A27" s="59">
        <v>25</v>
      </c>
      <c r="B27" s="24"/>
      <c r="C27" s="64"/>
      <c r="D27" s="65"/>
      <c r="E27" s="65"/>
      <c r="F27" s="24"/>
      <c r="G27" s="24"/>
      <c r="H27" s="24"/>
      <c r="I27" s="24"/>
      <c r="J27" s="24"/>
    </row>
    <row r="28" spans="1:10" x14ac:dyDescent="0.3">
      <c r="A28" s="59">
        <v>26</v>
      </c>
      <c r="B28" s="24"/>
      <c r="C28" s="64"/>
      <c r="D28" s="65"/>
      <c r="E28" s="65"/>
      <c r="F28" s="24"/>
      <c r="G28" s="24"/>
      <c r="H28" s="24"/>
      <c r="I28" s="24"/>
      <c r="J28" s="24"/>
    </row>
    <row r="29" spans="1:10" x14ac:dyDescent="0.3">
      <c r="A29" s="59">
        <v>27</v>
      </c>
      <c r="B29" s="24"/>
      <c r="C29" s="64"/>
      <c r="D29" s="65"/>
      <c r="E29" s="65"/>
      <c r="F29" s="24"/>
      <c r="G29" s="24"/>
      <c r="H29" s="24"/>
      <c r="I29" s="24"/>
      <c r="J29" s="24"/>
    </row>
    <row r="30" spans="1:10" x14ac:dyDescent="0.3">
      <c r="A30" s="59">
        <v>28</v>
      </c>
      <c r="B30" s="24"/>
      <c r="C30" s="64"/>
      <c r="D30" s="65"/>
      <c r="E30" s="65"/>
      <c r="F30" s="24"/>
      <c r="G30" s="24"/>
      <c r="H30" s="24"/>
      <c r="I30" s="24"/>
      <c r="J30" s="24"/>
    </row>
    <row r="31" spans="1:10" x14ac:dyDescent="0.3">
      <c r="A31" s="59">
        <v>29</v>
      </c>
      <c r="B31" s="24"/>
      <c r="C31" s="64"/>
      <c r="D31" s="65"/>
      <c r="E31" s="65"/>
      <c r="F31" s="24"/>
      <c r="G31" s="24"/>
      <c r="H31" s="24"/>
      <c r="I31" s="24"/>
      <c r="J31" s="24"/>
    </row>
    <row r="32" spans="1:10" x14ac:dyDescent="0.3">
      <c r="A32" s="59">
        <v>30</v>
      </c>
      <c r="B32" s="24"/>
      <c r="C32" s="64"/>
      <c r="D32" s="65"/>
      <c r="E32" s="65"/>
      <c r="F32" s="24"/>
      <c r="G32" s="24"/>
      <c r="H32" s="24"/>
      <c r="I32" s="24"/>
      <c r="J32" s="24"/>
    </row>
    <row r="33" spans="1:10" x14ac:dyDescent="0.3">
      <c r="A33" s="59">
        <v>31</v>
      </c>
      <c r="B33" s="24"/>
      <c r="C33" s="64"/>
      <c r="D33" s="65"/>
      <c r="E33" s="65"/>
      <c r="F33" s="24"/>
      <c r="G33" s="24"/>
      <c r="H33" s="24"/>
      <c r="I33" s="24"/>
      <c r="J33" s="24"/>
    </row>
    <row r="34" spans="1:10" x14ac:dyDescent="0.3">
      <c r="A34" s="59">
        <v>32</v>
      </c>
      <c r="B34" s="24"/>
      <c r="C34" s="64"/>
      <c r="D34" s="65"/>
      <c r="E34" s="65"/>
      <c r="F34" s="24"/>
      <c r="G34" s="24"/>
      <c r="H34" s="24"/>
      <c r="I34" s="24"/>
      <c r="J34" s="24"/>
    </row>
    <row r="35" spans="1:10" x14ac:dyDescent="0.3">
      <c r="A35" s="59">
        <v>33</v>
      </c>
      <c r="B35" s="24"/>
      <c r="C35" s="64"/>
      <c r="D35" s="65"/>
      <c r="E35" s="65"/>
      <c r="F35" s="24"/>
      <c r="G35" s="24"/>
      <c r="H35" s="24"/>
      <c r="I35" s="24"/>
      <c r="J35" s="24"/>
    </row>
    <row r="36" spans="1:10" x14ac:dyDescent="0.3">
      <c r="A36" s="59">
        <v>34</v>
      </c>
      <c r="B36" s="24"/>
      <c r="C36" s="64"/>
      <c r="D36" s="65"/>
      <c r="E36" s="65"/>
      <c r="F36" s="24"/>
      <c r="G36" s="24"/>
      <c r="H36" s="24"/>
      <c r="I36" s="24"/>
      <c r="J36" s="24"/>
    </row>
    <row r="37" spans="1:10" x14ac:dyDescent="0.3">
      <c r="A37" s="59">
        <v>35</v>
      </c>
      <c r="B37" s="24"/>
      <c r="C37" s="64"/>
      <c r="D37" s="65"/>
      <c r="E37" s="65"/>
      <c r="F37" s="24"/>
      <c r="G37" s="24"/>
      <c r="H37" s="24"/>
      <c r="I37" s="24"/>
      <c r="J37" s="24"/>
    </row>
    <row r="38" spans="1:10" x14ac:dyDescent="0.3">
      <c r="A38" s="59">
        <v>36</v>
      </c>
      <c r="B38" s="24"/>
      <c r="C38" s="64"/>
      <c r="D38" s="65"/>
      <c r="E38" s="65"/>
      <c r="F38" s="24"/>
      <c r="G38" s="24"/>
      <c r="H38" s="24"/>
      <c r="I38" s="24"/>
      <c r="J38" s="24"/>
    </row>
    <row r="39" spans="1:10" x14ac:dyDescent="0.3">
      <c r="A39" s="59">
        <v>37</v>
      </c>
      <c r="B39" s="24"/>
      <c r="C39" s="64"/>
      <c r="D39" s="65"/>
      <c r="E39" s="65"/>
      <c r="F39" s="24"/>
      <c r="G39" s="24"/>
      <c r="H39" s="24"/>
      <c r="I39" s="24"/>
      <c r="J39" s="24"/>
    </row>
    <row r="40" spans="1:10" x14ac:dyDescent="0.3">
      <c r="A40" s="59">
        <v>38</v>
      </c>
      <c r="B40" s="24"/>
      <c r="C40" s="64"/>
      <c r="D40" s="65"/>
      <c r="E40" s="65"/>
      <c r="F40" s="24"/>
      <c r="G40" s="24"/>
      <c r="H40" s="24"/>
      <c r="I40" s="24"/>
      <c r="J40" s="24"/>
    </row>
    <row r="41" spans="1:10" x14ac:dyDescent="0.3">
      <c r="A41" s="59">
        <v>39</v>
      </c>
      <c r="B41" s="24"/>
      <c r="C41" s="64"/>
      <c r="D41" s="65"/>
      <c r="E41" s="65"/>
      <c r="F41" s="24"/>
      <c r="G41" s="24"/>
      <c r="H41" s="24"/>
      <c r="I41" s="24"/>
      <c r="J41" s="24"/>
    </row>
    <row r="42" spans="1:10" x14ac:dyDescent="0.3">
      <c r="A42" s="59">
        <v>40</v>
      </c>
      <c r="B42" s="24"/>
      <c r="C42" s="64"/>
      <c r="D42" s="65"/>
      <c r="E42" s="65"/>
      <c r="F42" s="24"/>
      <c r="G42" s="24"/>
      <c r="H42" s="24"/>
      <c r="I42" s="24"/>
      <c r="J42" s="24"/>
    </row>
    <row r="43" spans="1:10" x14ac:dyDescent="0.3">
      <c r="A43" s="59">
        <v>41</v>
      </c>
      <c r="B43" s="24"/>
      <c r="C43" s="64"/>
      <c r="D43" s="65"/>
      <c r="E43" s="65"/>
      <c r="F43" s="24"/>
      <c r="G43" s="24"/>
      <c r="H43" s="24"/>
      <c r="I43" s="24"/>
      <c r="J43" s="24"/>
    </row>
    <row r="44" spans="1:10" x14ac:dyDescent="0.3">
      <c r="A44" s="59">
        <v>42</v>
      </c>
      <c r="B44" s="24"/>
      <c r="C44" s="64"/>
      <c r="D44" s="65"/>
      <c r="E44" s="65"/>
      <c r="F44" s="24"/>
      <c r="G44" s="24"/>
      <c r="H44" s="24"/>
      <c r="I44" s="24"/>
      <c r="J44" s="24"/>
    </row>
    <row r="45" spans="1:10" x14ac:dyDescent="0.3">
      <c r="A45" s="59">
        <v>43</v>
      </c>
      <c r="B45" s="24"/>
      <c r="C45" s="64"/>
      <c r="D45" s="65"/>
      <c r="E45" s="65"/>
      <c r="F45" s="24"/>
      <c r="G45" s="24"/>
      <c r="H45" s="24"/>
      <c r="I45" s="24"/>
      <c r="J45" s="24"/>
    </row>
    <row r="46" spans="1:10" x14ac:dyDescent="0.3">
      <c r="A46" s="59">
        <v>44</v>
      </c>
      <c r="B46" s="24"/>
      <c r="C46" s="64"/>
      <c r="D46" s="65"/>
      <c r="E46" s="65"/>
      <c r="F46" s="24"/>
      <c r="G46" s="24"/>
      <c r="H46" s="24"/>
      <c r="I46" s="24"/>
      <c r="J46" s="24"/>
    </row>
    <row r="47" spans="1:10" x14ac:dyDescent="0.3">
      <c r="A47" s="59">
        <v>45</v>
      </c>
      <c r="B47" s="24"/>
      <c r="C47" s="64"/>
      <c r="D47" s="65"/>
      <c r="E47" s="65"/>
      <c r="F47" s="24"/>
      <c r="G47" s="24"/>
      <c r="H47" s="24"/>
      <c r="I47" s="24"/>
      <c r="J47" s="24"/>
    </row>
    <row r="48" spans="1:10" x14ac:dyDescent="0.3">
      <c r="A48" s="59">
        <v>46</v>
      </c>
      <c r="B48" s="24"/>
      <c r="C48" s="64"/>
      <c r="D48" s="65"/>
      <c r="E48" s="65"/>
      <c r="F48" s="24"/>
      <c r="G48" s="24"/>
      <c r="H48" s="24"/>
      <c r="I48" s="24"/>
      <c r="J48" s="24"/>
    </row>
    <row r="49" spans="1:10" x14ac:dyDescent="0.3">
      <c r="A49" s="59">
        <v>47</v>
      </c>
      <c r="B49" s="24"/>
      <c r="C49" s="64"/>
      <c r="D49" s="65"/>
      <c r="E49" s="65"/>
      <c r="F49" s="24"/>
      <c r="G49" s="24"/>
      <c r="H49" s="24"/>
      <c r="I49" s="24"/>
      <c r="J49" s="24"/>
    </row>
    <row r="50" spans="1:10" x14ac:dyDescent="0.3">
      <c r="A50" s="59">
        <v>48</v>
      </c>
      <c r="B50" s="24"/>
      <c r="C50" s="64"/>
      <c r="D50" s="65"/>
      <c r="E50" s="65"/>
      <c r="F50" s="24"/>
      <c r="G50" s="24"/>
      <c r="H50" s="24"/>
      <c r="I50" s="24"/>
      <c r="J50" s="24"/>
    </row>
    <row r="51" spans="1:10" x14ac:dyDescent="0.3">
      <c r="A51" s="59">
        <v>49</v>
      </c>
      <c r="B51" s="24"/>
      <c r="C51" s="64"/>
      <c r="D51" s="65"/>
      <c r="E51" s="65"/>
      <c r="F51" s="24"/>
      <c r="G51" s="24"/>
      <c r="H51" s="24"/>
      <c r="I51" s="24"/>
      <c r="J51" s="24"/>
    </row>
    <row r="52" spans="1:10" x14ac:dyDescent="0.3">
      <c r="A52" s="59">
        <v>50</v>
      </c>
      <c r="B52" s="24"/>
      <c r="C52" s="64"/>
      <c r="D52" s="65"/>
      <c r="E52" s="65"/>
      <c r="F52" s="24"/>
      <c r="G52" s="24"/>
      <c r="H52" s="24"/>
      <c r="I52" s="24"/>
      <c r="J52" s="24"/>
    </row>
    <row r="53" spans="1:10" x14ac:dyDescent="0.3">
      <c r="A53" s="59">
        <v>51</v>
      </c>
      <c r="B53" s="24"/>
      <c r="C53" s="64"/>
      <c r="D53" s="65"/>
      <c r="E53" s="65"/>
      <c r="F53" s="24"/>
      <c r="G53" s="24"/>
      <c r="H53" s="24"/>
      <c r="I53" s="24"/>
      <c r="J53" s="24"/>
    </row>
    <row r="54" spans="1:10" x14ac:dyDescent="0.3">
      <c r="A54" s="59">
        <v>52</v>
      </c>
      <c r="B54" s="24"/>
      <c r="C54" s="64"/>
      <c r="D54" s="65"/>
      <c r="E54" s="65"/>
      <c r="F54" s="24"/>
      <c r="G54" s="24"/>
      <c r="H54" s="24"/>
      <c r="I54" s="24"/>
      <c r="J54" s="24"/>
    </row>
    <row r="55" spans="1:10" x14ac:dyDescent="0.3">
      <c r="A55" s="59">
        <v>53</v>
      </c>
      <c r="B55" s="24"/>
      <c r="C55" s="64"/>
      <c r="D55" s="65"/>
      <c r="E55" s="65"/>
      <c r="F55" s="24"/>
      <c r="G55" s="24"/>
      <c r="H55" s="24"/>
      <c r="I55" s="24"/>
      <c r="J55" s="24"/>
    </row>
    <row r="56" spans="1:10" x14ac:dyDescent="0.3">
      <c r="A56" s="61"/>
      <c r="B56" s="24"/>
      <c r="C56" s="64"/>
      <c r="D56" s="65"/>
      <c r="E56" s="65"/>
      <c r="F56" s="24"/>
      <c r="G56" s="24"/>
      <c r="H56" s="24"/>
      <c r="I56" s="24"/>
      <c r="J56" s="24"/>
    </row>
  </sheetData>
  <conditionalFormatting sqref="B12 B22:B56">
    <cfRule type="duplicateValues" dxfId="9" priority="9"/>
  </conditionalFormatting>
  <conditionalFormatting sqref="B2:B4">
    <cfRule type="duplicateValues" dxfId="8" priority="8"/>
  </conditionalFormatting>
  <conditionalFormatting sqref="E1:E1048576">
    <cfRule type="cellIs" dxfId="7" priority="2" operator="equal">
      <formula>"Створення"</formula>
    </cfRule>
    <cfRule type="containsText" dxfId="6" priority="6" operator="containsText" text="Перейменування">
      <formula>NOT(ISERROR(SEARCH("Перейменування",E1)))</formula>
    </cfRule>
    <cfRule type="cellIs" dxfId="5" priority="7" operator="equal">
      <formula>"Видалення"</formula>
    </cfRule>
  </conditionalFormatting>
  <conditionalFormatting sqref="B5:B7">
    <cfRule type="duplicateValues" dxfId="4" priority="5"/>
  </conditionalFormatting>
  <conditionalFormatting sqref="B8:B9">
    <cfRule type="duplicateValues" dxfId="3" priority="4"/>
  </conditionalFormatting>
  <conditionalFormatting sqref="B10:B11">
    <cfRule type="duplicateValues" dxfId="2" priority="3"/>
  </conditionalFormatting>
  <conditionalFormatting sqref="B13:B21">
    <cfRule type="duplicateValues" dxfId="1" priority="1"/>
  </conditionalFormatting>
  <pageMargins left="0.7" right="0.7" top="0.75" bottom="0.75" header="0.3" footer="0.3"/>
  <pageSetup paperSize="9" orientation="portrait" horizontalDpi="0" verticalDpi="0" r:id="rId1"/>
  <customProperties>
    <customPr name="EpmWorksheetKeyString_GU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">
    <tabColor theme="0" tint="-0.499984740745262"/>
  </sheetPr>
  <dimension ref="B1:M11"/>
  <sheetViews>
    <sheetView workbookViewId="0">
      <selection activeCell="K20" sqref="K20"/>
    </sheetView>
  </sheetViews>
  <sheetFormatPr defaultRowHeight="14.4" x14ac:dyDescent="0.3"/>
  <cols>
    <col min="2" max="2" width="26.77734375" customWidth="1"/>
    <col min="6" max="6" width="14.77734375" customWidth="1"/>
  </cols>
  <sheetData>
    <row r="1" spans="2:13" x14ac:dyDescent="0.3">
      <c r="B1" s="2" t="s">
        <v>0</v>
      </c>
      <c r="C1" s="22" t="s">
        <v>1</v>
      </c>
      <c r="F1" s="18" t="s">
        <v>510</v>
      </c>
      <c r="G1" s="13" t="s">
        <v>1</v>
      </c>
      <c r="H1" s="7" t="s">
        <v>443</v>
      </c>
      <c r="I1" s="8" t="s">
        <v>444</v>
      </c>
      <c r="J1" s="6" t="s">
        <v>497</v>
      </c>
      <c r="K1" s="1" t="s">
        <v>499</v>
      </c>
      <c r="L1" s="15" t="s">
        <v>500</v>
      </c>
      <c r="M1" s="16" t="s">
        <v>505</v>
      </c>
    </row>
    <row r="2" spans="2:13" x14ac:dyDescent="0.3">
      <c r="B2" s="15" t="s">
        <v>434</v>
      </c>
      <c r="C2" s="17">
        <f>SUM(L2:L10)</f>
        <v>399</v>
      </c>
      <c r="F2" s="14" t="s">
        <v>496</v>
      </c>
      <c r="G2" s="12">
        <f>MAX(Механізми!A:A)</f>
        <v>59</v>
      </c>
      <c r="H2" s="17">
        <f>3*G2</f>
        <v>177</v>
      </c>
      <c r="I2" s="17">
        <f>G2*2</f>
        <v>118</v>
      </c>
      <c r="J2" s="17"/>
      <c r="K2" s="17"/>
      <c r="L2" s="17"/>
      <c r="M2" s="17"/>
    </row>
    <row r="3" spans="2:13" x14ac:dyDescent="0.3">
      <c r="B3" s="1" t="s">
        <v>433</v>
      </c>
      <c r="C3" s="17">
        <f>SUM(K2:K10)</f>
        <v>367</v>
      </c>
      <c r="F3" s="18" t="s">
        <v>678</v>
      </c>
      <c r="G3" s="2"/>
      <c r="H3" s="17">
        <f>3*G3</f>
        <v>0</v>
      </c>
      <c r="I3" s="17">
        <f>2*G3</f>
        <v>0</v>
      </c>
      <c r="J3" s="20"/>
      <c r="K3" s="20"/>
      <c r="L3" s="20"/>
      <c r="M3" s="20"/>
    </row>
    <row r="4" spans="2:13" x14ac:dyDescent="0.3">
      <c r="B4" s="6" t="s">
        <v>435</v>
      </c>
      <c r="C4" s="17">
        <f>SUM(J2:J10)</f>
        <v>214</v>
      </c>
      <c r="F4" s="14" t="s">
        <v>495</v>
      </c>
      <c r="G4" s="21"/>
      <c r="H4" s="20"/>
      <c r="I4" s="20"/>
      <c r="J4" s="20"/>
      <c r="K4" s="20"/>
      <c r="L4" s="20"/>
      <c r="M4" s="20"/>
    </row>
    <row r="5" spans="2:13" x14ac:dyDescent="0.3">
      <c r="B5" s="7" t="s">
        <v>436</v>
      </c>
      <c r="C5" s="17">
        <f>SUM(H2:H11)</f>
        <v>177</v>
      </c>
      <c r="F5" s="14" t="s">
        <v>494</v>
      </c>
      <c r="G5" s="12"/>
      <c r="H5" s="17"/>
      <c r="I5" s="17"/>
      <c r="J5" s="17"/>
      <c r="K5" s="17"/>
      <c r="L5" s="17"/>
      <c r="M5" s="17"/>
    </row>
    <row r="6" spans="2:13" x14ac:dyDescent="0.3">
      <c r="B6" s="8" t="s">
        <v>437</v>
      </c>
      <c r="C6" s="17">
        <f>SUM(I2:I11)</f>
        <v>118</v>
      </c>
      <c r="F6" s="14" t="s">
        <v>679</v>
      </c>
      <c r="G6" s="12"/>
      <c r="H6" s="17"/>
      <c r="I6" s="17"/>
      <c r="J6" s="17"/>
      <c r="K6" s="17"/>
      <c r="L6" s="17"/>
      <c r="M6" s="17"/>
    </row>
    <row r="7" spans="2:13" x14ac:dyDescent="0.3">
      <c r="B7" s="16" t="s">
        <v>504</v>
      </c>
      <c r="C7" s="17">
        <f>SUM(M2:M10)</f>
        <v>0</v>
      </c>
      <c r="F7" s="18" t="s">
        <v>498</v>
      </c>
      <c r="G7" s="13">
        <f>SUM(G8:G11)</f>
        <v>980</v>
      </c>
      <c r="H7" s="17"/>
      <c r="I7" s="17"/>
      <c r="J7" s="17"/>
      <c r="K7" s="17"/>
      <c r="L7" s="17"/>
      <c r="M7" s="17"/>
    </row>
    <row r="8" spans="2:13" x14ac:dyDescent="0.3">
      <c r="F8" s="14" t="s">
        <v>502</v>
      </c>
      <c r="G8" s="12">
        <v>399</v>
      </c>
      <c r="H8" s="17"/>
      <c r="I8" s="17"/>
      <c r="J8" s="17"/>
      <c r="K8" s="17"/>
      <c r="L8" s="17">
        <f>G8</f>
        <v>399</v>
      </c>
      <c r="M8" s="17"/>
    </row>
    <row r="9" spans="2:13" x14ac:dyDescent="0.3">
      <c r="F9" s="14" t="s">
        <v>501</v>
      </c>
      <c r="G9" s="12">
        <v>367</v>
      </c>
      <c r="H9" s="17"/>
      <c r="I9" s="17"/>
      <c r="J9" s="17"/>
      <c r="K9" s="17">
        <f>G9</f>
        <v>367</v>
      </c>
      <c r="L9" s="17"/>
      <c r="M9" s="17"/>
    </row>
    <row r="10" spans="2:13" x14ac:dyDescent="0.3">
      <c r="F10" s="14" t="s">
        <v>503</v>
      </c>
      <c r="G10" s="12">
        <v>214</v>
      </c>
      <c r="H10" s="17"/>
      <c r="I10" s="17"/>
      <c r="J10" s="17">
        <f>G10</f>
        <v>214</v>
      </c>
      <c r="K10" s="17"/>
      <c r="L10" s="17"/>
      <c r="M10" s="17"/>
    </row>
    <row r="11" spans="2:13" x14ac:dyDescent="0.3">
      <c r="F11" s="14" t="s">
        <v>506</v>
      </c>
      <c r="G11" s="12"/>
      <c r="H11" s="17"/>
      <c r="I11" s="17"/>
      <c r="J11" s="17"/>
      <c r="K11" s="17"/>
      <c r="L11" s="17"/>
      <c r="M11" s="17"/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Механізми</vt:lpstr>
      <vt:lpstr>Механізми. Сигнали</vt:lpstr>
      <vt:lpstr>РСЗО. Схеми</vt:lpstr>
      <vt:lpstr>РСЗО. Сигнали</vt:lpstr>
      <vt:lpstr>ШЖСПС. Сигнали</vt:lpstr>
      <vt:lpstr>ТХА,ТХК</vt:lpstr>
      <vt:lpstr>ТСП, Pt</vt:lpstr>
      <vt:lpstr>СКМВТ_Зміни</vt:lpstr>
      <vt:lpstr>!Сигнали</vt:lpstr>
      <vt:lpstr>'ТСП, Pt'!Область_печати</vt:lpstr>
      <vt:lpstr>'ТХА,ТХК'!Область_печати</vt:lpstr>
    </vt:vector>
  </TitlesOfParts>
  <Company>DTEK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Vasylenko Oleksandr V.</dc:creator>
  <cp:lastModifiedBy>Evgeniy Ponomarenko</cp:lastModifiedBy>
  <cp:lastPrinted>2024-03-21T07:40:49Z</cp:lastPrinted>
  <dcterms:created xsi:type="dcterms:W3CDTF">2023-04-13T08:00:05Z</dcterms:created>
  <dcterms:modified xsi:type="dcterms:W3CDTF">2024-06-28T13:37:44Z</dcterms:modified>
</cp:coreProperties>
</file>